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topol\PycharmProjects\ase\docs\"/>
    </mc:Choice>
  </mc:AlternateContent>
  <xr:revisionPtr revIDLastSave="0" documentId="13_ncr:1_{6E369C4E-3133-4588-9EAD-79B6B5E9192C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Спецификация (общая)" sheetId="1" r:id="rId1"/>
    <sheet name="СПОТ (выделена из общей)" sheetId="4" r:id="rId2"/>
    <sheet name="Легенда" sheetId="3" r:id="rId3"/>
    <sheet name="Чертежи по проходкам" sheetId="2" r:id="rId4"/>
    <sheet name="Лист2" sheetId="5" r:id="rId5"/>
  </sheets>
  <functionGroups builtInGroupCount="19"/>
  <definedNames>
    <definedName name="_xlnm._FilterDatabase" localSheetId="0" hidden="1">'Спецификация (общая)'!$A$1:$Q$2915</definedName>
    <definedName name="_xlnm._FilterDatabase" localSheetId="1" hidden="1">'СПОТ (выделена из общей)'!$A$1:$R$212</definedName>
    <definedName name="OLE_LINK1" localSheetId="0">'Спецификация (общая)'!$A$1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3" i="1" l="1"/>
  <c r="Z3" i="1"/>
  <c r="Y3" i="1"/>
  <c r="AA3" i="1" l="1"/>
  <c r="U2914" i="1"/>
  <c r="J997" i="5" l="1"/>
  <c r="J991" i="5"/>
  <c r="J953" i="5"/>
  <c r="J805" i="5"/>
  <c r="J705" i="5"/>
  <c r="J704" i="5"/>
  <c r="J541" i="5"/>
  <c r="J523" i="5"/>
  <c r="J405" i="5"/>
  <c r="J404" i="5"/>
  <c r="J403" i="5"/>
  <c r="J348" i="5"/>
  <c r="J345" i="5"/>
  <c r="J338" i="5"/>
  <c r="J336" i="5"/>
  <c r="J330" i="5"/>
  <c r="J287" i="5"/>
  <c r="J255" i="5"/>
  <c r="J462" i="1" l="1"/>
  <c r="J508" i="1"/>
  <c r="J544" i="1"/>
  <c r="J572" i="1"/>
  <c r="J578" i="1"/>
  <c r="J580" i="1"/>
  <c r="J587" i="1"/>
  <c r="J590" i="1"/>
  <c r="J735" i="1"/>
  <c r="J747" i="1"/>
  <c r="J748" i="1"/>
  <c r="J749" i="1"/>
  <c r="J873" i="1"/>
  <c r="J948" i="1"/>
  <c r="J1014" i="1"/>
  <c r="J1023" i="1"/>
  <c r="J1080" i="1"/>
  <c r="J1104" i="1"/>
  <c r="J1140" i="1"/>
  <c r="J1155" i="1"/>
  <c r="J1191" i="1"/>
  <c r="J1257" i="1"/>
  <c r="J1444" i="1"/>
  <c r="J1445" i="1"/>
  <c r="J1897" i="1"/>
  <c r="J1921" i="1"/>
  <c r="J1936" i="1"/>
  <c r="J1954" i="1"/>
  <c r="J2092" i="1"/>
  <c r="J2095" i="1"/>
  <c r="J2140" i="1"/>
  <c r="J2146" i="1"/>
  <c r="J2172" i="1"/>
  <c r="J2577" i="1"/>
  <c r="J2580" i="1"/>
  <c r="J2592" i="1"/>
  <c r="J2601" i="1"/>
  <c r="J2661" i="1"/>
  <c r="J2667" i="1"/>
  <c r="J2737" i="1"/>
  <c r="J2775" i="1"/>
  <c r="J2781" i="1"/>
</calcChain>
</file>

<file path=xl/sharedStrings.xml><?xml version="1.0" encoding="utf-8"?>
<sst xmlns="http://schemas.openxmlformats.org/spreadsheetml/2006/main" count="12834" uniqueCount="586">
  <si>
    <t>№ п/п</t>
  </si>
  <si>
    <t>Код системы (KKS)</t>
  </si>
  <si>
    <t>Координаты оси проходки, мм</t>
  </si>
  <si>
    <t>Max темпе-ратура среды в трубо-про воде, °C</t>
  </si>
  <si>
    <t>Толщина изоляции трубопро вода Sи,</t>
  </si>
  <si>
    <t>Величина зазора между проходкой и трубопро водом (или между проходкой и изоляцией) Sуп, мм**</t>
  </si>
  <si>
    <t>Предел огне-стойко-сти EI, не менее</t>
  </si>
  <si>
    <t>Принад лежность к ЗКД или ЗСД</t>
  </si>
  <si>
    <t>Примечание</t>
  </si>
  <si>
    <t>Конструкции кольцевого коридора с отметки -7,500</t>
  </si>
  <si>
    <t>SGD10</t>
  </si>
  <si>
    <t>159х5</t>
  </si>
  <si>
    <t>377x8</t>
  </si>
  <si>
    <t>-</t>
  </si>
  <si>
    <t>*)</t>
  </si>
  <si>
    <t>10UJB97R310 / 10UJB97R350</t>
  </si>
  <si>
    <t>ЗСД</t>
  </si>
  <si>
    <t>исполнение 2)</t>
  </si>
  <si>
    <t>10UJB97R110 / 10UJB97R130</t>
  </si>
  <si>
    <t>219x7</t>
  </si>
  <si>
    <t>10UJB97R310 / 10UJE</t>
  </si>
  <si>
    <t>10UJB97R110 / 10UCB</t>
  </si>
  <si>
    <t>Межоболочечное пространство. Стены с отметки -1,250 до отметки +8,000</t>
  </si>
  <si>
    <t>KTF90</t>
  </si>
  <si>
    <t>89x5</t>
  </si>
  <si>
    <t>159x6</t>
  </si>
  <si>
    <t>10UJB91R350 / 10UJB91R250</t>
  </si>
  <si>
    <t>ЗКД</t>
  </si>
  <si>
    <t>ТХ ГХ 89/159-ЗКД  (Выполнить по листу 2 приложения Б)</t>
  </si>
  <si>
    <t>Межоболочечное пространство. Перекрытие на отметке +8,000</t>
  </si>
  <si>
    <t>89x3,5</t>
  </si>
  <si>
    <t>10UJB08R110 / 10UJB08R110</t>
  </si>
  <si>
    <t>ТХ ВХ 89/159-ЗКД  (Выполнить по листу 2 приложения Б)</t>
  </si>
  <si>
    <t>Количе ствотруб в проходке, шт.</t>
  </si>
  <si>
    <t>Диаметр и толщина стенки трубо-провода DxS,мм</t>
  </si>
  <si>
    <t>Длина закладной детали,мм</t>
  </si>
  <si>
    <t>Толщина стены или перекры тия (без полов),мм</t>
  </si>
  <si>
    <t>Диаметр и толщина стенки заклад-ной детали Dн×S,мм</t>
  </si>
  <si>
    <t>Номер смежных помещений*</t>
  </si>
  <si>
    <t>ТХ ГХ 159/377-ЗСД  (Выполнить по листу 4 приложения Б,исполнение 2)</t>
  </si>
  <si>
    <t>10UJB08R110 / 10UJB91R530</t>
  </si>
  <si>
    <t>10UJB91R250 / 10UJB08R110</t>
  </si>
  <si>
    <t>10UJB08R110 / 10UJB91R250</t>
  </si>
  <si>
    <t>JNB50</t>
  </si>
  <si>
    <t>325x8</t>
  </si>
  <si>
    <t>&lt;150/&lt;50</t>
  </si>
  <si>
    <t>ТХ ВГ 159/325-ЗКД (Выполнить по листу 3 приложения Б)</t>
  </si>
  <si>
    <t>Перекрытие на отметке -0,100</t>
  </si>
  <si>
    <t>JNB</t>
  </si>
  <si>
    <t>57x3</t>
  </si>
  <si>
    <t>108x5</t>
  </si>
  <si>
    <t>10UJA00R120 / 10UJA93R120</t>
  </si>
  <si>
    <t>Выполнить по рисунку В.4 приложения В настоящего комплекта</t>
  </si>
  <si>
    <t>10UJA00R120 / 10UJA93R320</t>
  </si>
  <si>
    <t>JNA</t>
  </si>
  <si>
    <t>273x7</t>
  </si>
  <si>
    <t>JND</t>
  </si>
  <si>
    <t>JMN</t>
  </si>
  <si>
    <t>219x11</t>
  </si>
  <si>
    <t>JNG</t>
  </si>
  <si>
    <t>325x12</t>
  </si>
  <si>
    <t>426x7</t>
  </si>
  <si>
    <t>FAK</t>
  </si>
  <si>
    <t>273x11</t>
  </si>
  <si>
    <t>KBA</t>
  </si>
  <si>
    <t>FAK50</t>
  </si>
  <si>
    <t>18x2,5</t>
  </si>
  <si>
    <t>133х5</t>
  </si>
  <si>
    <t>Стены с отметки -0,100 до отметки +6,800</t>
  </si>
  <si>
    <t>Смотрите таблицу Б.1.1.</t>
  </si>
  <si>
    <t>Стены под шахтами ревизии с отметки -0,100 до отметки +3,330</t>
  </si>
  <si>
    <t>Бокс арматуры KBE с отметки -0,100 до отметки +2,600</t>
  </si>
  <si>
    <t>Бокс арматуры KBE с отметки +2,600 до отметки +6,800</t>
  </si>
  <si>
    <t>Перекрытие на отметке +8,000</t>
  </si>
  <si>
    <t>KTF40</t>
  </si>
  <si>
    <t>10UJA00R120 / 10UJA08R121</t>
  </si>
  <si>
    <t>10UJA00R120 / 10UJA08R420</t>
  </si>
  <si>
    <t>10UJA00R120 / 10UJA08R240</t>
  </si>
  <si>
    <t>Стены с отметки +8,000 до отметки +14,500</t>
  </si>
  <si>
    <t>10UJA08R120 / 10UJA08R121</t>
  </si>
  <si>
    <t>10UJA08R121 / 10UJA08R121</t>
  </si>
  <si>
    <t>10UJA08R420 / 10UJA08R420</t>
  </si>
  <si>
    <t>Перекрытие на отметке +14,500</t>
  </si>
  <si>
    <t>10UJA08R240 / 10UJA14R240</t>
  </si>
  <si>
    <t>QKK22</t>
  </si>
  <si>
    <t>10UJA00R120 / 10UJA14R120</t>
  </si>
  <si>
    <t>Выполнить по рисунку В.3 приложения В</t>
  </si>
  <si>
    <t>QKK21</t>
  </si>
  <si>
    <t>Стены с отметки +14,500 до +25,100</t>
  </si>
  <si>
    <t>10UJA08R121 / 10UJA14R120</t>
  </si>
  <si>
    <t>10UJA08R420 / 10UJA14R540</t>
  </si>
  <si>
    <t>10UJA08R420 / 10UJA14R520</t>
  </si>
  <si>
    <t>Перекрытие на отметке +21,100</t>
  </si>
  <si>
    <t>Перекрытие на отметке +26,200</t>
  </si>
  <si>
    <t>133x6</t>
  </si>
  <si>
    <t>10UJA14R120 / 10UJA26R120</t>
  </si>
  <si>
    <t>530x8</t>
  </si>
  <si>
    <t>10UJA14R120 / 10UJA26R410</t>
  </si>
  <si>
    <t>ТХ ВХ 89/530-ЗКД  (Выполнить по листу 2 приложения Б)</t>
  </si>
  <si>
    <t>Стены с отметки +26,200</t>
  </si>
  <si>
    <t>Перекрытие на отметке +34,540</t>
  </si>
  <si>
    <t>10UJA26R410 / 10UJA26R120</t>
  </si>
  <si>
    <t>Наружная защитная оболочка с отметки -1,250 до отметки +22,000</t>
  </si>
  <si>
    <t>10UJB91R131 / 10UKA</t>
  </si>
  <si>
    <t>10UJB91R210 / 10UJE</t>
  </si>
  <si>
    <t>10UJB91R410 / 10UJE</t>
  </si>
  <si>
    <t>10UJB08R110 / 10UJE</t>
  </si>
  <si>
    <t>133x5</t>
  </si>
  <si>
    <t>10UJB91R250 / 10UKD</t>
  </si>
  <si>
    <t>ТХ ГХ 89/133-ЗКД  (Выполнить по листу 2 приложения Б)</t>
  </si>
  <si>
    <r>
      <t>10UJE / 10UJB08R11</t>
    </r>
    <r>
      <rPr>
        <sz val="12"/>
        <color rgb="FF000000"/>
        <rFont val="Times New Roman"/>
        <family val="1"/>
        <charset val="204"/>
      </rPr>
      <t>0</t>
    </r>
  </si>
  <si>
    <t>ЗСД/ЗКД</t>
  </si>
  <si>
    <t>ТХ ГГ 159/325-ЗКД (Выполнить по листу 3 приложения Б)</t>
  </si>
  <si>
    <t>Конструкции обстройки наружного купола. Перекрытие на отметке +54,450</t>
  </si>
  <si>
    <t>JNB80</t>
  </si>
  <si>
    <t>10UJB54R110/-</t>
  </si>
  <si>
    <t>ТХ ВГ 159/325-ЗСД (Выполнить по листу 6 приложения Б)</t>
  </si>
  <si>
    <t>Конструкции обстройки наружного купола. Стены на отметке +54,450</t>
  </si>
  <si>
    <t>JNB52</t>
  </si>
  <si>
    <t>10UJB54R120 / 10UJB54R411</t>
  </si>
  <si>
    <t>ТХ ГГ 159/325-ЗСД (Выполнить по листу 6 приложения Б)</t>
  </si>
  <si>
    <t>10UJB54R120 / 10UJB54R121</t>
  </si>
  <si>
    <t>JNB53</t>
  </si>
  <si>
    <t>10UJB54R540 / 10UJB54R251</t>
  </si>
  <si>
    <t>10UJB54R540 / 10UJB54R411</t>
  </si>
  <si>
    <t>10UJB54R410 / 10UJB54R411</t>
  </si>
  <si>
    <t>10UJB54R410 / 10UJB54R111</t>
  </si>
  <si>
    <t>10UJB54R110 / 10UJB54R111</t>
  </si>
  <si>
    <t>Конструкции обстройки наружного купола. Перекрытие на отметке +59,850</t>
  </si>
  <si>
    <t>JNB10</t>
  </si>
  <si>
    <t>76x7</t>
  </si>
  <si>
    <t>10UJB54R111 / 10UJB59R111</t>
  </si>
  <si>
    <t>ТХ ВГ 76/426-ЗСД (Выполнить по листу 6 приложения Б)</t>
  </si>
  <si>
    <t>273x20</t>
  </si>
  <si>
    <t>820x9</t>
  </si>
  <si>
    <t>ТХ ВГ 273/820-ЗСД (Выполнить по листу 6 приложения Б)</t>
  </si>
  <si>
    <t>JNB60</t>
  </si>
  <si>
    <t>10UJB54R120 / 10UJB59R120</t>
  </si>
  <si>
    <t>ТХ ВГ 89/325-ЗСД (Выполнить по листу 6 приложения Б)</t>
  </si>
  <si>
    <t>JNB20</t>
  </si>
  <si>
    <t>10UJB54R121 / 10UJB59R121</t>
  </si>
  <si>
    <t>JNB30</t>
  </si>
  <si>
    <t>10UJB54R251 / 10UJB59R251</t>
  </si>
  <si>
    <t>JNB70</t>
  </si>
  <si>
    <t>10UJB54R540 / 10UJB59R540</t>
  </si>
  <si>
    <t>JNB40</t>
  </si>
  <si>
    <t>10UJB54R411 / 10UJB59R411</t>
  </si>
  <si>
    <t>Конструкции обстройки наружного купола. Стены на отметке +59,850</t>
  </si>
  <si>
    <t>JNB83</t>
  </si>
  <si>
    <t>10UJB59R120 / 10UJB59R111</t>
  </si>
  <si>
    <t>10UJB59R120 / 10UJB59R121</t>
  </si>
  <si>
    <t>10UJB59R250 / 10UJB59R121</t>
  </si>
  <si>
    <t>10UJB59R250 / 10UJB59R251</t>
  </si>
  <si>
    <t>JNB84</t>
  </si>
  <si>
    <t>10UJB59R410 / 10UJB59R411</t>
  </si>
  <si>
    <t>10UJB59R410 / 10UJB59R111</t>
  </si>
  <si>
    <t>Купол наружной оболочки с отметки +44,600</t>
  </si>
  <si>
    <t>10UJB54R111 / 10UJB08R110</t>
  </si>
  <si>
    <t>Смотрите таблицу Б.1</t>
  </si>
  <si>
    <t>Межоболочечное пространство. Перекрытие на отметке +2,500</t>
  </si>
  <si>
    <t>KAA</t>
  </si>
  <si>
    <t>32x2,5</t>
  </si>
  <si>
    <t>10UJB91R510 / 10UJB08R110</t>
  </si>
  <si>
    <t>ТХ ВГ 32/219-ЗКД (Выполнить по листу 3 приложения Б)</t>
  </si>
  <si>
    <t>10UJB91R450 / 10UJB91R350</t>
  </si>
  <si>
    <t>10UJB91R140 / 10UJB91R250</t>
  </si>
  <si>
    <t>10UJB91R110 / 10UJB91R210</t>
  </si>
  <si>
    <t>KWA</t>
  </si>
  <si>
    <t>14x2</t>
  </si>
  <si>
    <t>ТХ ВГ 14/108-ЗКД (Выполнить по листу 3 приложения Б)</t>
  </si>
  <si>
    <t>10UJB91R510 / 10UJB91R410</t>
  </si>
  <si>
    <t>Таблица Б.1.1 Таблица проходов через строительные конструкции наполненных стальных трубопроводов технологических систем***</t>
  </si>
  <si>
    <t>10UJB08R110 / 10UJB91R210</t>
  </si>
  <si>
    <t>10UJB08R110 / 10UJB91R350</t>
  </si>
  <si>
    <t>Резерв</t>
  </si>
  <si>
    <t>57x3,5</t>
  </si>
  <si>
    <t>Выполнить по рисунку В.1 приложения В настоящего комплекта</t>
  </si>
  <si>
    <t>10UJB91R210 / 10UJB08R110</t>
  </si>
  <si>
    <t>10UJB91R410 / 10UJB08R110</t>
  </si>
  <si>
    <t>KTA</t>
  </si>
  <si>
    <t>10UJA00R120 / 10UJA00R120</t>
  </si>
  <si>
    <t>ТХ ГХ 89/108-ЗКД (Выполнить по листу 2 приложения Б)</t>
  </si>
  <si>
    <t>В стенах-колоннах на отметке -0,100 заполнение проемов для технологических стальных трубопроводов не производится.</t>
  </si>
  <si>
    <t>10UJA00R120 / 10UJA00R320</t>
  </si>
  <si>
    <t>Выполнить по рисунку В.2 приложения В настоящего комплекта</t>
  </si>
  <si>
    <t>ТХ ГГ 159/273-ЗКД (Выполнить по листу 3 приложения Б)</t>
  </si>
  <si>
    <t>10UJA00R120 / 10UJA00R330</t>
  </si>
  <si>
    <t>325х8</t>
  </si>
  <si>
    <t>Выполнить по рисунку В.2.1 приложения В настоящего комплекта</t>
  </si>
  <si>
    <t>10UJA00R320 / 10UJA00R120</t>
  </si>
  <si>
    <t>10UJA00R330 / 10UJA00R320</t>
  </si>
  <si>
    <t>JET</t>
  </si>
  <si>
    <t>0,22/0,42</t>
  </si>
  <si>
    <t>30 (общий теплоизоляционный кожух на трубопроводы в проходке)</t>
  </si>
  <si>
    <t>10UJA00R120 / 10UJA00R250</t>
  </si>
  <si>
    <t>ТХ ГХ 18;18/273-ЗКД (Выполнить по листу 5 приложения Б)</t>
  </si>
  <si>
    <t>0,05/0,32</t>
  </si>
  <si>
    <t>0,18/0,39</t>
  </si>
  <si>
    <t>ТХ ГХ 18;18;18;18/273-ЗКД (Выполнить по листу 5 приложения Б)</t>
  </si>
  <si>
    <t>1,21/1,31</t>
  </si>
  <si>
    <t>KBE</t>
  </si>
  <si>
    <t>133x14</t>
  </si>
  <si>
    <t>ТХ ГГ 133/273-ЗКД (Выполнить по листу 3 приложения Б)</t>
  </si>
  <si>
    <t>KPK</t>
  </si>
  <si>
    <t>57x5,5</t>
  </si>
  <si>
    <t>ТХ ГХ 57/159-ЗКД (Выполнить по листу 2 приложения Б)</t>
  </si>
  <si>
    <t>0,64/0,04</t>
  </si>
  <si>
    <t>10UJA02R250 / 10UJA00R120</t>
  </si>
  <si>
    <t>ТХ ВХ 57/133-ЗКД (Выполнить по листу 2 приложения Б)</t>
  </si>
  <si>
    <t>32x3,5</t>
  </si>
  <si>
    <t>0,67/0,56</t>
  </si>
  <si>
    <t>ТХ ВХ 32/133-ЗКД (Выполнить по листу 2 приложения Б)</t>
  </si>
  <si>
    <t>ТХ ВГ 133/273-ЗКД (Выполнить по листу 3 приложения Б)</t>
  </si>
  <si>
    <t>2,27/9,67</t>
  </si>
  <si>
    <t>ТХ ВХ 133/273-ЗКД (Выполнить по листу 2 приложения Б)</t>
  </si>
  <si>
    <t>1,15/8,58</t>
  </si>
  <si>
    <t>0,46/1,12</t>
  </si>
  <si>
    <t>1,1/0,83</t>
  </si>
  <si>
    <t>0,76/0,87</t>
  </si>
  <si>
    <t>Выполнить по рисунку В.3 приложения В настоящего комплекта</t>
  </si>
  <si>
    <t>0,56/0,79</t>
  </si>
  <si>
    <t>0,3/0,59</t>
  </si>
  <si>
    <t>10UJA00R120 / 10UJA02R250</t>
  </si>
  <si>
    <t>1,07/0,79</t>
  </si>
  <si>
    <t>ТХ ГХ 133/273-ЗКД (Выполнить по листу 2 приложения Б)</t>
  </si>
  <si>
    <t>0,64/0,25</t>
  </si>
  <si>
    <t>0,99/0,23</t>
  </si>
  <si>
    <t>1,21/0,81</t>
  </si>
  <si>
    <t>ТХ ГХ 57/133-ЗКД (Выполнить по листу 2 приложения Б)</t>
  </si>
  <si>
    <t>0,13/0,33</t>
  </si>
  <si>
    <t>KTB</t>
  </si>
  <si>
    <t>14х2</t>
  </si>
  <si>
    <t>ТХ ГХ 14;14/159-ЗКД (Выполнить по листу 5 приложения Б)</t>
  </si>
  <si>
    <t>KAB</t>
  </si>
  <si>
    <t>10UJA08R121 / 10UJA00R120</t>
  </si>
  <si>
    <t>ТХ ВГ 133/325-ЗКД  (Выполнить по листу 3 приложения Б)</t>
  </si>
  <si>
    <t>0,58/0,05</t>
  </si>
  <si>
    <t>ТХ ВХ 18/108-ЗКД (Выполнить по листу 2 приложения Б)</t>
  </si>
  <si>
    <t>ТХ ВГ 18/108-ЗКД (Выполнить по листу 3 приложения Б)</t>
  </si>
  <si>
    <t>38x3,5</t>
  </si>
  <si>
    <t>ТХ ВХ 38/108-ЗКД (Выполнить по листу 2 приложения Б)</t>
  </si>
  <si>
    <t>LAR</t>
  </si>
  <si>
    <t>159x13</t>
  </si>
  <si>
    <t>Выполнить по рисунку В.5 приложения В настоящего комплекта</t>
  </si>
  <si>
    <t>Выполнить по рисунку В.1.1 приложения В настоящего комплекта</t>
  </si>
  <si>
    <t>89x8</t>
  </si>
  <si>
    <t>ТХ ВГ 89/377-ЗКД (Выполнить по листу 3 приложения Б)</t>
  </si>
  <si>
    <t>ТХ ВГ 38/325-ЗКД  (Выполнить по листу 3 приложения Б)</t>
  </si>
  <si>
    <t>159x17</t>
  </si>
  <si>
    <t>ТХ ВГ 159/426-ЗКД (Выполнить по листу 3 приложения Б)</t>
  </si>
  <si>
    <t>351x36</t>
  </si>
  <si>
    <t>720x8</t>
  </si>
  <si>
    <t>ТХ ВГ 351/720-ЗКД  (Выполнить по листу 3 приложения Б)</t>
  </si>
  <si>
    <t>10UJA08R120 / 10UJA00R120</t>
  </si>
  <si>
    <t>ТХ ВГ 273/426-ЗКД (Выполнить по листу 3 приложения Б)</t>
  </si>
  <si>
    <t>25x3</t>
  </si>
  <si>
    <t>ТХ ВГ 25/108-ЗКД (Выполнить по листу 3 приложения Б)</t>
  </si>
  <si>
    <t>JDH</t>
  </si>
  <si>
    <t>ТХ ВХ 32/108-ЗКД (Выполнить по листу 2 приложения Б)</t>
  </si>
  <si>
    <t>0,44/1,05</t>
  </si>
  <si>
    <t>ТХ ВГ 32/159-ЗКД (Выполнить по листу 3 приложения Б)</t>
  </si>
  <si>
    <t>FAB</t>
  </si>
  <si>
    <t>ТХ ВХ 18;18;18/108-ЗКД (Выполнить по листу 5 приложения Б)</t>
  </si>
  <si>
    <t>ТХ ВГ 57/159-ЗКД (Выполнить по листу 3 приложения Б)</t>
  </si>
  <si>
    <t>76x4,5</t>
  </si>
  <si>
    <t>ТХ ВГ 76/159-ЗКД (Выполнить по листу 3 приложения Б)</t>
  </si>
  <si>
    <t>ТХ ВГ 38;38/108-ЗКД (Выполнить по листу 15 приложения Б). Диаметры фланцев для уплотнения принять на 20мм меньше внешнего диаметра фланца проходки. Для приварки фланца к проходке сверху использовать шов У5 по ГОСТ 5264-80</t>
  </si>
  <si>
    <t>ТХ ВГ 108/325-ЗКД  (Выполнить по листу 3 приложения Б)</t>
  </si>
  <si>
    <t>LFG</t>
  </si>
  <si>
    <t>108x9</t>
  </si>
  <si>
    <t>QEB</t>
  </si>
  <si>
    <t>38x3</t>
  </si>
  <si>
    <t>0,8/0,12</t>
  </si>
  <si>
    <t>10UJA08R240 / 10UJA00R120</t>
  </si>
  <si>
    <t>KUB</t>
  </si>
  <si>
    <t>40 (общий теплоизоляционный кожух на трубопроводы в проходке)</t>
  </si>
  <si>
    <t>0,65/0,01</t>
  </si>
  <si>
    <t>ТХ ВХ 57/159-ЗКД (Выполнить по листу 2 приложения Б)</t>
  </si>
  <si>
    <t>ТХ ВГ 377/530-ЗКД (Выполнить по листу 3 приложения Б)</t>
  </si>
  <si>
    <t>24,9 / 31,65</t>
  </si>
  <si>
    <t>ТХ ВХ 351/720-ЗКД (Выполнить по листу 2 приложения Б)</t>
  </si>
  <si>
    <t>ТХ ВГ 14/108-ЗКД (Выполнить по листу 3 110приложения Б)</t>
  </si>
  <si>
    <t>220x8</t>
  </si>
  <si>
    <t>ТХ ВГ 159/325-ЗКД  (Выполнить по листу 3 приложения Б)</t>
  </si>
  <si>
    <t>351x36C</t>
  </si>
  <si>
    <t>ТХ ВГ 57/219-ЗКД (Выполнить по листу 3 приложения Б)</t>
  </si>
  <si>
    <t>ТХ ВХ 108/273-ЗКД (Выполнить по листу 2 приложения Б)</t>
  </si>
  <si>
    <t>ТХ ВГ 89/219-ЗКД (Выполнить по листу 3 приложения Б)</t>
  </si>
  <si>
    <t>JEW</t>
  </si>
  <si>
    <t>ТХ ВГ 57;14/219-ЗКД (Выполнить по листу 15 приложения Б). Диаметры фланцев для уплотнения принять на 20мм меньше внешнего диаметра фланца проходки. Для приварки фланца к проходке сверху использовать шов У5 по ГОСТ 5264-80</t>
  </si>
  <si>
    <t>0,4/-1,23</t>
  </si>
  <si>
    <t>KBF</t>
  </si>
  <si>
    <t>219x12</t>
  </si>
  <si>
    <t>ТХ ВГ 219/530-ЗКД (Выполнить по листу 3 приложения Б)</t>
  </si>
  <si>
    <t>219X11</t>
  </si>
  <si>
    <t>ТХ ВГ 273/530-ЗКД (Выполнить по листу 3 приложения Б)</t>
  </si>
  <si>
    <t>ТХ ВГ 325/530-ЗКД (Выполнить по листу 3 приложения Б)</t>
  </si>
  <si>
    <t>10UJA08R420 / 10UJA00R120</t>
  </si>
  <si>
    <t>ТХ ВГ 133/377-ЗКД (Выполнить по листу 3 приложения Б)</t>
  </si>
  <si>
    <t>ТХ ВГ 108/377-ЗКД (Выполнить по листу 3 приложения Б)</t>
  </si>
  <si>
    <t>1,84/0,13</t>
  </si>
  <si>
    <t>ТХ ВХ 32/159-ЗКД (Выполнить по листу 2 приложения Б)</t>
  </si>
  <si>
    <t>38x3.5</t>
  </si>
  <si>
    <t>29,5 / 64,58</t>
  </si>
  <si>
    <t>10UJA08R412 / 10UJA00R120</t>
  </si>
  <si>
    <t>108x12</t>
  </si>
  <si>
    <t>10UJA08R411 / 10UJA00R120</t>
  </si>
  <si>
    <t>10UJA08R410 / 10UJA00R120</t>
  </si>
  <si>
    <t>ТХ ВГ 159/377-ЗКД (Выполнить по листу 3 приложения Б)</t>
  </si>
  <si>
    <t>10UJA08R411 / 10UJA00R410</t>
  </si>
  <si>
    <t>0,17/0,26</t>
  </si>
  <si>
    <t>ТХ ВХ 25/108-ЗКД (Выполнить по листу 2 приложения Б)</t>
  </si>
  <si>
    <t>0,55/1,79</t>
  </si>
  <si>
    <t>30,31/19,56</t>
  </si>
  <si>
    <t>10UJA00R120 / 10UJA08R411</t>
  </si>
  <si>
    <t>10UJA00R120 / 10UJA08R412</t>
  </si>
  <si>
    <t>273х7</t>
  </si>
  <si>
    <t>10UJA08R121 / 10UJA08R240</t>
  </si>
  <si>
    <t>10UJA08R121 / 10UJA08R120</t>
  </si>
  <si>
    <t>10UJA00R120 / 10UJA08R120</t>
  </si>
  <si>
    <t>10UJA08R120 / 10UJA0813R121</t>
  </si>
  <si>
    <t>LAB</t>
  </si>
  <si>
    <t>426х24</t>
  </si>
  <si>
    <t>ТХ ГГ 426/820-ЗКД (Выполнить по листу 3 приложения Б)</t>
  </si>
  <si>
    <t>LCQ</t>
  </si>
  <si>
    <t>ТХ ГГ 89/325-ЗКД (Выполнить по листу 3 приложения Б)</t>
  </si>
  <si>
    <t>Аналогично ТХ ГГ 93/159-ЗКД (Выполнить по листу 3 приложения Б)</t>
  </si>
  <si>
    <t>KUD</t>
  </si>
  <si>
    <t xml:space="preserve">-0,21 / </t>
  </si>
  <si>
    <t>--</t>
  </si>
  <si>
    <t>0,25/0,22</t>
  </si>
  <si>
    <t>ТХ ГХ 38/159-ЗКД (Выполнить по листу 2 приложения Б)</t>
  </si>
  <si>
    <t>10UJA08R420 / 10UJA08R240</t>
  </si>
  <si>
    <t>ТХ ГГ 89/159-ЗКД (Выполнить по листу 3 приложения Б)</t>
  </si>
  <si>
    <t>KRK</t>
  </si>
  <si>
    <t>0,01/0,39</t>
  </si>
  <si>
    <t>ТХ ГХ 18/159-ЗКД (Выполнить по листу 2 приложения Б)</t>
  </si>
  <si>
    <t>KBA60</t>
  </si>
  <si>
    <t>10UJA08R412 / 10UJA08R411</t>
  </si>
  <si>
    <t>ТХ ГГ 133/325-ЗКД (Выполнить по листу 3 приложения Б)</t>
  </si>
  <si>
    <t>KBA10</t>
  </si>
  <si>
    <t>,-10735,</t>
  </si>
  <si>
    <t>89x3.5</t>
  </si>
  <si>
    <t>ТХ ГГ 18/89-ЗКД (Выполнить по листу 3 приложения Б)</t>
  </si>
  <si>
    <t>ТХ ГГ 38/159-ЗКД (Выполнить по листу 3 приложения Б)</t>
  </si>
  <si>
    <t>10UJA08R420 / 10UJA08R412</t>
  </si>
  <si>
    <t>10UJA08R411 / 10UJA08R420</t>
  </si>
  <si>
    <t>426X24</t>
  </si>
  <si>
    <t>720x9</t>
  </si>
  <si>
    <t>ТХ ГГ 426/720-ЗКД (Выполнить по листу 3 приложения Б)</t>
  </si>
  <si>
    <t>10UJA08R410 / 10UJA08R410</t>
  </si>
  <si>
    <t>10UJA08R411 / 10UJA08R121</t>
  </si>
  <si>
    <t>10UJA08R240 / 10UJA08R121</t>
  </si>
  <si>
    <t>ТХ ГГ 89/219-ЗКД (Выполнить по листу 3 приложения Б)</t>
  </si>
  <si>
    <t>10UJA08R411 / 10UJA08R412</t>
  </si>
  <si>
    <t>ТХ ГГ 18/325-ЗКД (Выполнить по листу 3 приложения Б)</t>
  </si>
  <si>
    <t>ТХ ГГ 18/108-ЗКД (Выполнить по листу 3 приложения Б)</t>
  </si>
  <si>
    <t>ТХ ГГ 57/108-ЗКД (Выполнить по листу 3 приложения Б, деталь А по узлу выполнить с отступом 80мм от наружного диаметра гильзы и прикрепить анкерами)</t>
  </si>
  <si>
    <t>ТХ ГГ 133/377-ЗКД (Выполнить по листу 3 приложения Б)</t>
  </si>
  <si>
    <t>ТХ ГГ 18/325-ЗКД  (Выполнить по листу 3 приложения Б)</t>
  </si>
  <si>
    <t>10UJA14R121 / 10UJA08R121</t>
  </si>
  <si>
    <t>6,94/23,3</t>
  </si>
  <si>
    <t>ТХ ВХ 18/159-ЗКД (Выполнить по листу 2 приложения Б)</t>
  </si>
  <si>
    <t>5,01/25,3</t>
  </si>
  <si>
    <t>ТХ ВГ 32/159-ЗКД  (Выполнить по листу 3 приложения Б)</t>
  </si>
  <si>
    <t>10UJA14R540 / 10UJA08R420</t>
  </si>
  <si>
    <t>0,01/2,38</t>
  </si>
  <si>
    <t>1,25/0,47</t>
  </si>
  <si>
    <t>ТХ ВГ 25/159-ЗКД (Выполнить по листу 3 приложения Б)</t>
  </si>
  <si>
    <t>10UJA14R140 / 10UJA08R121</t>
  </si>
  <si>
    <t>KBA90</t>
  </si>
  <si>
    <t>ТХ ВГ 38/159-ЗКД (Выполнить по листу 3 приложения Б)</t>
  </si>
  <si>
    <t>ТХ ВГ 18;38/159-ЗКД (Выполнить по листу 15 приложения Б). Диаметры фланцев для уплотнения принять на 20мм меньше внешнего диаметра фланца проходки. Для приварки фланца к проходке сверху использовать шов У5 по ГОСТ 5264-80. Зазор между каждым трубопроводом и отверстием в фланце увеличить в 2 раза</t>
  </si>
  <si>
    <t>10UJA14R520 / 10UJA08R420</t>
  </si>
  <si>
    <t>ТХ ВХ 38/159-ЗКД (Выполнить по листу 2 приложения Б)</t>
  </si>
  <si>
    <t>10UJA14R120 / 10UJA08R120</t>
  </si>
  <si>
    <t>0,83/0,73</t>
  </si>
  <si>
    <t>1,22/-1,33</t>
  </si>
  <si>
    <t>0,02/-0,14</t>
  </si>
  <si>
    <t>0,75/-1,06</t>
  </si>
  <si>
    <t>10UJA14R411 / 10UJA08R411</t>
  </si>
  <si>
    <t>10UJA14R120 / 10UJA08R410</t>
  </si>
  <si>
    <t>10UJA14R420 / 10UJA08R411</t>
  </si>
  <si>
    <t>10UJA14R120 / 10UJA00R120</t>
  </si>
  <si>
    <t>1,02/4,99</t>
  </si>
  <si>
    <t>10UJA14R120 / 10UJA08R420</t>
  </si>
  <si>
    <t>10UJA14R120 / 10UJA08R240</t>
  </si>
  <si>
    <t>219х11</t>
  </si>
  <si>
    <t>FAK40</t>
  </si>
  <si>
    <t>219X12</t>
  </si>
  <si>
    <t>ТХ ВГ 219/377-ЗКД (Выполнить по листу 3 приложения Б)</t>
  </si>
  <si>
    <t>10UJA14R240 / 10UJA08R240</t>
  </si>
  <si>
    <t>ТХ ВГ 159/273-ЗКД  (Выполнить по листу 3 приложения Б)</t>
  </si>
  <si>
    <t>FAK10</t>
  </si>
  <si>
    <t>FAK11</t>
  </si>
  <si>
    <t>KBA93</t>
  </si>
  <si>
    <t>ТХ ВГ 57/159-ЗКД  (Выполнить по листу 3 приложения Б)</t>
  </si>
  <si>
    <t>ТХ ВХ 14/159-ЗКД (Выполнить по листу 2 приложения Б)</t>
  </si>
  <si>
    <t>ТХ ВГ 57/273-ЗКД (Выполнить по листу 3 приложения Б)</t>
  </si>
  <si>
    <t>1,8/0,55</t>
  </si>
  <si>
    <t>ТХ ВХ 18;32/273-ЗКД (Выполнить по листу 5 приложения Б)</t>
  </si>
  <si>
    <t>0,64/1,61</t>
  </si>
  <si>
    <t>10UJA14R120 / 10UJA08R121</t>
  </si>
  <si>
    <t>0,49/0,34</t>
  </si>
  <si>
    <t>0,45/-0,68</t>
  </si>
  <si>
    <t>0,33/-0,2</t>
  </si>
  <si>
    <t>ТХ ГГ 108/530-ЗКД (Выполнить по листу 3 приложения Б)</t>
  </si>
  <si>
    <t>10UJA14R240 / 10UJA08R121</t>
  </si>
  <si>
    <t>10UJA08R420 / 10UJA14R120</t>
  </si>
  <si>
    <t>ТХ ГГ 14/89-ЗКД (Выполнить по листу 3 приложения Б)</t>
  </si>
  <si>
    <t>10UJA14R520 / 10UJA14R120</t>
  </si>
  <si>
    <t>10UJA14R411 / 10UJA14R420</t>
  </si>
  <si>
    <t>1,39/0,49</t>
  </si>
  <si>
    <t>10UJA21R310 / 10UJA14R120</t>
  </si>
  <si>
    <t>ТХ ГХ 25/108-ЗКД (Выполнить по листу 2 приложения Б)</t>
  </si>
  <si>
    <t>10UJA08R121 / 10UJA14R411</t>
  </si>
  <si>
    <t>630x8</t>
  </si>
  <si>
    <t>10UJA08R420 / 10UJA14R411</t>
  </si>
  <si>
    <t>ТХ ГГ 273/630-ЗКД (Выполнить по листу 3 приложения Б)</t>
  </si>
  <si>
    <t>ТХ ГГ 14/159-ЗКД (Выполнить по листу 3 приложения Б)</t>
  </si>
  <si>
    <t>LBA</t>
  </si>
  <si>
    <t>630x25</t>
  </si>
  <si>
    <t>1020x10</t>
  </si>
  <si>
    <t>ТХ ГГ 630/1020-ЗКД (Выполнить по листу 3 приложения Б)</t>
  </si>
  <si>
    <t>FKA</t>
  </si>
  <si>
    <t>ТХ ГГ 38/89-ЗКД (Выполнить по листу 3 приложения Б)</t>
  </si>
  <si>
    <t>2,44/0,02</t>
  </si>
  <si>
    <t>Перемен-ная</t>
  </si>
  <si>
    <t>ТХ ГГ 219/325-ЗКД (Выполнить по листу 3 приложения Б)</t>
  </si>
  <si>
    <t>ТХ ГГ 219/426-ЗКД (Выполнить по листу 3 приложения Б)</t>
  </si>
  <si>
    <t>ТХ ГГ 273/426-ЗКД (Выполнить по листу 3 приложения Б)</t>
  </si>
  <si>
    <t>Аналогично ТХ ГГ 55/89-ЗКД (Выполнить по листу 3 приложения Б)</t>
  </si>
  <si>
    <t>10UJA14R420 / 10UJA14R120</t>
  </si>
  <si>
    <t>10UJA21R310 / 10UJA08R119</t>
  </si>
  <si>
    <t>10UJA21R310 / 10UJA08R120</t>
  </si>
  <si>
    <t>10UJA21R310 / 10UJA08R121</t>
  </si>
  <si>
    <t>ТХ ВГ 38/108-ЗКД (Выполнить по листу 3 приложения Б)</t>
  </si>
  <si>
    <t>10UJA26R120 / 10UJA14R120</t>
  </si>
  <si>
    <t>0,48/1,74</t>
  </si>
  <si>
    <t>ТХ ВХ 25/133-ЗКД (Выполнить по листу 2 приложения Б)</t>
  </si>
  <si>
    <t>0/-0,7</t>
  </si>
  <si>
    <t>KRJ</t>
  </si>
  <si>
    <t>10UJA26R120 / 10UJA14R240</t>
  </si>
  <si>
    <t>10UJA26R120 / 10UJA14R140</t>
  </si>
  <si>
    <t>FBA</t>
  </si>
  <si>
    <t>Аналогично ТХ ВГ 32/159-ЗКД (Выполнить по листу 3 приложения Б)</t>
  </si>
  <si>
    <t>KUA</t>
  </si>
  <si>
    <t>10UJA26R120 / 10UJA14R520</t>
  </si>
  <si>
    <t>ТХ ВХ 108/219-ЗКД (Выполнить по листу 2 приложения Б)</t>
  </si>
  <si>
    <t>ТХ ВХ 38/219-ЗКД (Выполнить по листу 2 приложения Б)</t>
  </si>
  <si>
    <t>ТХ ВГ 14/108-ЗКД  (Выполнить по листу 3 приложения Б)</t>
  </si>
  <si>
    <t>ТХ ВГ 25/108-ЗКД  (Выполнить по листу 3 приложения Б)</t>
  </si>
  <si>
    <t>1,4/-2,91</t>
  </si>
  <si>
    <t>ТХ ВХ 18/133-ЗКД (Выполнить по листу 2 приложения Б)</t>
  </si>
  <si>
    <t>ТХ ВГ 273/630-ЗКД  (Выполнить по листу 3 приложения Б)</t>
  </si>
  <si>
    <t>10UJA26R120 / 10UJA26R120</t>
  </si>
  <si>
    <t>ТХ ГГ 25/89-ЗКД (Выполнить по листу 3 приложения Б)</t>
  </si>
  <si>
    <t>Перекрытие на отметке +34,540 (конструкции выше +26,200)</t>
  </si>
  <si>
    <t>ТХ ВГ 273/720-ЗКД  (Выполнить по листу 3 приложения Б)</t>
  </si>
  <si>
    <t>ЗКД/ЗСД</t>
  </si>
  <si>
    <t>Аналогично одностороннему узлу ТХ ГГ 72/108-ЗКД (Выполнить по листу 14 приложения Б)</t>
  </si>
  <si>
    <t>0,06/0,25</t>
  </si>
  <si>
    <t>32x2.5</t>
  </si>
  <si>
    <t>10UJB08R110 / 10UKD</t>
  </si>
  <si>
    <t>Односторонний узел ТХ ГГ 32/57-ЗКД (Выполнить по листу 14 приложения Б)</t>
  </si>
  <si>
    <t>10UJB08R110 / 10UJG</t>
  </si>
  <si>
    <t>ТХ ГХ 325/426-ЗКД (Выполнить по листу 2 приложения Б)</t>
  </si>
  <si>
    <t>Аналогично одностороннему узлу ТХ ГГ 63/108-ЗКД (Выполнить по листу 14 приложения Б)</t>
  </si>
  <si>
    <t>ТХ ГХ 14/108-ЗКД (Выполнить по листу 2 приложения Б)</t>
  </si>
  <si>
    <t>10UJB91R140 / 10UKD</t>
  </si>
  <si>
    <t>ТХ ГХ 57/108-ЗКД (Выполнить по листу 2 приложения Б)</t>
  </si>
  <si>
    <t>Смотрите таблицу Б.1.</t>
  </si>
  <si>
    <t>*) см. Перечень чертежей противопожарной защиты BLR1.B.110.&amp;.0UJA&amp;&amp;.&amp;&amp;&amp;&amp;&amp;.066.DP.0001K «Здание реактора (10UJA). Противопожарная защита. Общие положения»</t>
  </si>
  <si>
    <t>GUC10</t>
  </si>
  <si>
    <t>10UJB54R412 / -</t>
  </si>
  <si>
    <t>ОВ ВХ 219/325-ЗСД  (Выполнить по листу 4 приложения Б)</t>
  </si>
  <si>
    <t>GMA10</t>
  </si>
  <si>
    <t>10UJB54R120 / 10UJB54R111</t>
  </si>
  <si>
    <t>ОВ ВХ 89/159-ЗСД  (Выполнить по листу 4 приложения Б)</t>
  </si>
  <si>
    <t>10UJB54R540 / 10UJB54R111</t>
  </si>
  <si>
    <t>10UJB59R413 / 10UJB54R412</t>
  </si>
  <si>
    <t>108х4</t>
  </si>
  <si>
    <t>10UJB59R113 / 10UJB59R110</t>
  </si>
  <si>
    <t>ОВ ГХ 108/219-ЗСД  (Выполнить по листу 4 приложения Б)</t>
  </si>
  <si>
    <t>10UJB59R113 / 10UJB59R413</t>
  </si>
  <si>
    <t>ОВ ГХ 159/325-ЗСД  (Выполнить по листу 4 приложения Б)</t>
  </si>
  <si>
    <t>10UJB59R413 / 10UJB59R253</t>
  </si>
  <si>
    <t>10UJB59R253 / 10UJB59R110</t>
  </si>
  <si>
    <t>ОВ ГХ 108/273-ЗСД  (Выполнить по листу 4 приложения Б)</t>
  </si>
  <si>
    <t>Таблица Б.2 Таблица проходов через строительные конструкции наполненных стальных трубопроводов систем водопровода и канализации</t>
  </si>
  <si>
    <t>Конструкции обстройки наружного купола. Перекрытие на отметке +63,250</t>
  </si>
  <si>
    <t>108x4</t>
  </si>
  <si>
    <t>10UJB63R412 / 10UJB59R413</t>
  </si>
  <si>
    <t>ОВ ВХ 108/159-ЗСД  (Выполнить по листу 4 приложения Б)</t>
  </si>
  <si>
    <t>10UJB63R110 / 10UJB59R110</t>
  </si>
  <si>
    <t>219х7</t>
  </si>
  <si>
    <t>10UJB54R411 / -</t>
  </si>
  <si>
    <t>ОВ ГХ 89/219-ЗСД  (Выполнить по листу 4 приложения Б)</t>
  </si>
  <si>
    <t>SGA10</t>
  </si>
  <si>
    <t>76x3</t>
  </si>
  <si>
    <t>ОВ ВХ 76/159-ЗКД  (Выполнить по листу 2 приложения Б)</t>
  </si>
  <si>
    <t>10UJB08R110 / 10UCB</t>
  </si>
  <si>
    <t>ОВ ГХ 89/159-ЗКД  (Выполнить по листу 2 приложения Б)</t>
  </si>
  <si>
    <t>Лестница с отметки +0,450 до отметки +26,400</t>
  </si>
  <si>
    <t>KLD10</t>
  </si>
  <si>
    <t>300x250</t>
  </si>
  <si>
    <t>400x330x170</t>
  </si>
  <si>
    <t>50 / 25</t>
  </si>
  <si>
    <t>UJA00R241</t>
  </si>
  <si>
    <t>СРВ ВИП-ЗКД (Выполнить по листу 2 приложения Б)**</t>
  </si>
  <si>
    <t>UJA97R240 /UJA00R241</t>
  </si>
  <si>
    <t>Таблица Б.3 Таблица проходов через строительные конструкции стальных воздуховодов прямоугольного сечения</t>
  </si>
  <si>
    <t>СРВ ВИП-ЗКД (Выполнить по листу 2 приложения Б)</t>
  </si>
  <si>
    <t>Конструктив</t>
  </si>
  <si>
    <t xml:space="preserve">Исполнитель </t>
  </si>
  <si>
    <t>Номер чертежа (БЛ)</t>
  </si>
  <si>
    <t>Номер сметы (БЛ)</t>
  </si>
  <si>
    <t>Выполнение</t>
  </si>
  <si>
    <t>10 UKD</t>
  </si>
  <si>
    <t>Система</t>
  </si>
  <si>
    <t>ОВ</t>
  </si>
  <si>
    <t>Энергозащита</t>
  </si>
  <si>
    <t>ТХ</t>
  </si>
  <si>
    <t>31114/43147</t>
  </si>
  <si>
    <t>143/111</t>
  </si>
  <si>
    <t>НИКИМТ</t>
  </si>
  <si>
    <t>4118/</t>
  </si>
  <si>
    <t>10UKA</t>
  </si>
  <si>
    <t>143/26</t>
  </si>
  <si>
    <t>2984/</t>
  </si>
  <si>
    <t>10UJA</t>
  </si>
  <si>
    <t>4883/</t>
  </si>
  <si>
    <t>10UCB</t>
  </si>
  <si>
    <t>426/308</t>
  </si>
  <si>
    <t>198/198</t>
  </si>
  <si>
    <t>10 UKC</t>
  </si>
  <si>
    <t>305/241</t>
  </si>
  <si>
    <t>1391/0</t>
  </si>
  <si>
    <t>10UJE</t>
  </si>
  <si>
    <t>253/0</t>
  </si>
  <si>
    <t>1799/249</t>
  </si>
  <si>
    <t>10UMA</t>
  </si>
  <si>
    <t>230/86</t>
  </si>
  <si>
    <t>991/0</t>
  </si>
  <si>
    <t>10UBA</t>
  </si>
  <si>
    <t>13/0</t>
  </si>
  <si>
    <t>37/0</t>
  </si>
  <si>
    <t>10UGB</t>
  </si>
  <si>
    <t>29464/43144</t>
  </si>
  <si>
    <t>33850-33855</t>
  </si>
  <si>
    <t>185/151 35/0</t>
  </si>
  <si>
    <t>84/0</t>
  </si>
  <si>
    <t>10 UKT</t>
  </si>
  <si>
    <t>10NNC</t>
  </si>
  <si>
    <t>10UBS</t>
  </si>
  <si>
    <t>448/0</t>
  </si>
  <si>
    <t>70/0</t>
  </si>
  <si>
    <t>48/0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</si>
  <si>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</si>
  <si>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Перемещения трубопро вода (вдоль/поперек оси),</t>
  </si>
  <si>
    <t>-1,89/3,52</t>
  </si>
  <si>
    <t>-1,89/3,24</t>
  </si>
  <si>
    <t>- 0,43/0,06</t>
  </si>
  <si>
    <t>-2,09/0,15</t>
  </si>
  <si>
    <t>Переменная</t>
  </si>
  <si>
    <t>-0,65/1,54</t>
  </si>
  <si>
    <t>-0,01/-4,57</t>
  </si>
  <si>
    <t>-1,7/-1,72</t>
  </si>
  <si>
    <t>Дата работ</t>
  </si>
  <si>
    <t xml:space="preserve"> 50% готовности</t>
  </si>
  <si>
    <t>не готово</t>
  </si>
  <si>
    <t>100% готово</t>
  </si>
  <si>
    <t>Легенда</t>
  </si>
  <si>
    <t xml:space="preserve">       </t>
  </si>
  <si>
    <t xml:space="preserve">      Номер проходки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</si>
  <si>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Примечание (все делает НИКИМТ)</t>
  </si>
  <si>
    <t>23..08</t>
  </si>
  <si>
    <r>
      <t>DataRange</t>
    </r>
    <r>
      <rPr>
        <sz val="12"/>
        <color rgb="FF000000"/>
        <rFont val="Verdana"/>
        <family val="2"/>
        <charset val="204"/>
      </rPr>
      <t> - диапазон раскрашенных ячеек с числами</t>
    </r>
  </si>
  <si>
    <r>
      <t>ColorSample</t>
    </r>
    <r>
      <rPr>
        <sz val="12"/>
        <color rgb="FF000000"/>
        <rFont val="Verdana"/>
        <family val="2"/>
        <charset val="204"/>
      </rPr>
      <t> - ячейка, цвет которой принимается как образец для суммирования</t>
    </r>
  </si>
  <si>
    <t>Выполнено 50%</t>
  </si>
  <si>
    <t>Выполнено</t>
  </si>
  <si>
    <t>Остаток</t>
  </si>
  <si>
    <t>Дата</t>
  </si>
  <si>
    <t>Всего</t>
  </si>
  <si>
    <t>СТС</t>
  </si>
  <si>
    <t>Толщина изоляции трубопровода Sи,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</si>
</sst>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1.5"/>
      <color theme="1"/>
      <name val="Times New Roman"/>
      <family val="1"/>
      <charset val="204"/>
    </font>
    <font>
      <sz val="11.5"/>
      <color rgb="FF000000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sz val="20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color rgb="FF00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1.5"/>
      <name val="Times New Roman"/>
      <family val="1"/>
      <charset val="204"/>
    </font>
    <font>
      <sz val="11"/>
      <name val="Times New Roman"/>
      <family val="1"/>
      <charset val="204"/>
    </font>
    <font>
      <b/>
      <sz val="10"/>
      <color rgb="FF00000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rgb="FF000000"/>
      <name val="Verdana"/>
      <family val="2"/>
      <charset val="204"/>
    </font>
    <font>
      <b/>
      <sz val="12"/>
      <color rgb="FF000000"/>
      <name val="Verdana"/>
      <family val="2"/>
      <charset val="204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0">
    <xf numFmtId="0" fontId="0" fillId="0" borderId="0" xfId="0"/>
    <xf numFmtId="0" fontId="0" fillId="0" borderId="0" xfId="0" applyAlignment="1">
      <alignment vertical="center"/>
    </xf>
    <xf numFmtId="0" fontId="2" fillId="0" borderId="7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3" fillId="0" borderId="0" xfId="0" applyFont="1" applyBorder="1" applyAlignment="1"/>
    <xf numFmtId="0" fontId="2" fillId="0" borderId="0" xfId="0" applyFont="1" applyBorder="1" applyAlignment="1">
      <alignment horizontal="center" vertical="center" wrapText="1"/>
    </xf>
    <xf numFmtId="0" fontId="1" fillId="0" borderId="0" xfId="0" applyFont="1" applyBorder="1" applyAlignment="1"/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11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0" xfId="0" applyFont="1"/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20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8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49" fontId="2" fillId="3" borderId="8" xfId="0" applyNumberFormat="1" applyFont="1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20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22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1" fillId="3" borderId="21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1" fillId="3" borderId="7" xfId="0" applyFont="1" applyFill="1" applyBorder="1" applyAlignment="1">
      <alignment horizontal="center" vertical="center" wrapText="1"/>
    </xf>
    <xf numFmtId="0" fontId="11" fillId="3" borderId="20" xfId="0" applyFont="1" applyFill="1" applyBorder="1" applyAlignment="1">
      <alignment horizontal="center" vertical="center" wrapText="1"/>
    </xf>
    <xf numFmtId="0" fontId="11" fillId="3" borderId="8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20" xfId="0" applyFont="1" applyFill="1" applyBorder="1" applyAlignment="1">
      <alignment horizontal="center" vertical="center" wrapText="1"/>
    </xf>
    <xf numFmtId="0" fontId="6" fillId="3" borderId="8" xfId="0" applyFont="1" applyFill="1" applyBorder="1" applyAlignment="1">
      <alignment horizontal="center" vertical="center" wrapText="1"/>
    </xf>
    <xf numFmtId="0" fontId="11" fillId="4" borderId="7" xfId="0" applyFont="1" applyFill="1" applyBorder="1" applyAlignment="1">
      <alignment horizontal="center" vertical="center" wrapText="1"/>
    </xf>
    <xf numFmtId="0" fontId="11" fillId="4" borderId="20" xfId="0" applyFont="1" applyFill="1" applyBorder="1" applyAlignment="1">
      <alignment horizontal="center" vertical="center" wrapText="1"/>
    </xf>
    <xf numFmtId="0" fontId="11" fillId="4" borderId="8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0" fillId="2" borderId="7" xfId="0" applyFont="1" applyFill="1" applyBorder="1" applyAlignment="1">
      <alignment horizontal="center" vertical="center" wrapText="1"/>
    </xf>
    <xf numFmtId="0" fontId="0" fillId="2" borderId="8" xfId="0" applyFont="1" applyFill="1" applyBorder="1" applyAlignment="1">
      <alignment horizontal="center" vertical="center" wrapText="1"/>
    </xf>
    <xf numFmtId="0" fontId="6" fillId="2" borderId="20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2" fillId="3" borderId="7" xfId="0" applyFont="1" applyFill="1" applyBorder="1" applyAlignment="1">
      <alignment horizontal="center" vertical="center" wrapText="1"/>
    </xf>
    <xf numFmtId="0" fontId="12" fillId="3" borderId="20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12" fillId="3" borderId="8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20" xfId="0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4" borderId="20" xfId="0" applyFont="1" applyFill="1" applyBorder="1" applyAlignment="1">
      <alignment horizontal="center" vertical="center" wrapText="1"/>
    </xf>
    <xf numFmtId="0" fontId="5" fillId="4" borderId="8" xfId="0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4" fillId="4" borderId="20" xfId="0" applyFont="1" applyFill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wrapText="1"/>
    </xf>
    <xf numFmtId="0" fontId="2" fillId="4" borderId="20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 wrapText="1"/>
    </xf>
    <xf numFmtId="0" fontId="2" fillId="4" borderId="8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11" fillId="4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11" fillId="2" borderId="4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16" fontId="0" fillId="0" borderId="23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6" borderId="30" xfId="0" applyFont="1" applyFill="1" applyBorder="1" applyAlignment="1">
      <alignment horizontal="center" vertical="center"/>
    </xf>
    <xf numFmtId="0" fontId="16" fillId="6" borderId="30" xfId="0" applyFont="1" applyFill="1" applyBorder="1" applyAlignment="1">
      <alignment horizontal="center" vertical="center" wrapText="1"/>
    </xf>
    <xf numFmtId="0" fontId="15" fillId="6" borderId="30" xfId="0" applyFont="1" applyFill="1" applyBorder="1" applyAlignment="1">
      <alignment horizontal="center" vertical="center" wrapText="1"/>
    </xf>
    <xf numFmtId="0" fontId="1" fillId="6" borderId="30" xfId="0" applyFont="1" applyFill="1" applyBorder="1" applyAlignment="1">
      <alignment horizontal="center" vertical="center" wrapText="1"/>
    </xf>
    <xf numFmtId="0" fontId="2" fillId="6" borderId="30" xfId="0" applyFont="1" applyFill="1" applyBorder="1" applyAlignment="1">
      <alignment horizontal="center" vertical="center" wrapText="1"/>
    </xf>
    <xf numFmtId="0" fontId="4" fillId="6" borderId="3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0" fillId="0" borderId="23" xfId="0" applyBorder="1" applyAlignment="1">
      <alignment vertical="center" textRotation="255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16" fontId="0" fillId="0" borderId="0" xfId="0" applyNumberFormat="1" applyAlignment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0" fillId="3" borderId="0" xfId="0" applyFill="1" applyAlignment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16" fontId="0" fillId="0" borderId="23" xfId="0" applyNumberFormat="1" applyBorder="1" applyAlignment="1">
      <alignment vertical="center" textRotation="255"/>
    </xf>
    <xf numFmtId="0" fontId="0" fillId="3" borderId="7" xfId="0" applyFont="1" applyFill="1" applyBorder="1" applyAlignment="1">
      <alignment horizontal="center" vertical="center" wrapText="1"/>
    </xf>
    <xf numFmtId="0" fontId="0" fillId="3" borderId="8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16" fontId="2" fillId="3" borderId="2" xfId="0" applyNumberFormat="1" applyFont="1" applyFill="1" applyBorder="1" applyAlignment="1">
      <alignment horizontal="center" vertical="center" wrapText="1"/>
    </xf>
    <xf numFmtId="16" fontId="2" fillId="3" borderId="3" xfId="0" applyNumberFormat="1" applyFont="1" applyFill="1" applyBorder="1" applyAlignment="1">
      <alignment horizontal="center" vertical="center" wrapText="1"/>
    </xf>
    <xf numFmtId="16" fontId="2" fillId="3" borderId="4" xfId="0" applyNumberFormat="1" applyFont="1" applyFill="1" applyBorder="1" applyAlignment="1">
      <alignment horizontal="center" vertical="center" wrapText="1"/>
    </xf>
    <xf numFmtId="16" fontId="1" fillId="3" borderId="3" xfId="0" applyNumberFormat="1" applyFont="1" applyFill="1" applyBorder="1" applyAlignment="1">
      <alignment horizontal="center" vertical="center" wrapText="1"/>
    </xf>
    <xf numFmtId="16" fontId="1" fillId="3" borderId="4" xfId="0" applyNumberFormat="1" applyFont="1" applyFill="1" applyBorder="1" applyAlignment="1">
      <alignment horizontal="center" vertical="center" wrapText="1"/>
    </xf>
    <xf numFmtId="16" fontId="1" fillId="3" borderId="2" xfId="0" applyNumberFormat="1" applyFont="1" applyFill="1" applyBorder="1" applyAlignment="1">
      <alignment horizontal="center" vertical="center" wrapText="1"/>
    </xf>
    <xf numFmtId="16" fontId="12" fillId="3" borderId="3" xfId="0" applyNumberFormat="1" applyFont="1" applyFill="1" applyBorder="1" applyAlignment="1">
      <alignment horizontal="center" vertical="center" wrapText="1"/>
    </xf>
    <xf numFmtId="16" fontId="11" fillId="3" borderId="3" xfId="0" applyNumberFormat="1" applyFont="1" applyFill="1" applyBorder="1" applyAlignment="1">
      <alignment horizontal="center" vertical="center" wrapText="1"/>
    </xf>
    <xf numFmtId="16" fontId="11" fillId="3" borderId="2" xfId="0" applyNumberFormat="1" applyFont="1" applyFill="1" applyBorder="1" applyAlignment="1">
      <alignment horizontal="center" vertical="center" wrapText="1"/>
    </xf>
    <xf numFmtId="16" fontId="1" fillId="3" borderId="7" xfId="0" applyNumberFormat="1" applyFont="1" applyFill="1" applyBorder="1" applyAlignment="1">
      <alignment horizontal="center" vertical="center" wrapText="1"/>
    </xf>
    <xf numFmtId="16" fontId="11" fillId="3" borderId="4" xfId="0" applyNumberFormat="1" applyFont="1" applyFill="1" applyBorder="1" applyAlignment="1">
      <alignment horizontal="center" vertical="center" wrapText="1"/>
    </xf>
    <xf numFmtId="16" fontId="12" fillId="3" borderId="4" xfId="0" applyNumberFormat="1" applyFont="1" applyFill="1" applyBorder="1" applyAlignment="1">
      <alignment horizontal="center" vertical="center" wrapText="1"/>
    </xf>
    <xf numFmtId="16" fontId="4" fillId="3" borderId="4" xfId="0" applyNumberFormat="1" applyFont="1" applyFill="1" applyBorder="1" applyAlignment="1">
      <alignment horizontal="center" vertical="center" wrapText="1"/>
    </xf>
    <xf numFmtId="16" fontId="4" fillId="3" borderId="3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16" fontId="1" fillId="2" borderId="3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20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11" fillId="2" borderId="4" xfId="0" applyFont="1" applyFill="1" applyBorder="1" applyAlignment="1">
      <alignment horizontal="center" vertical="center" wrapText="1"/>
    </xf>
    <xf numFmtId="0" fontId="1" fillId="3" borderId="21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0" fillId="7" borderId="30" xfId="0" applyFill="1" applyBorder="1"/>
    <xf numFmtId="0" fontId="0" fillId="0" borderId="30" xfId="0" applyBorder="1"/>
    <xf numFmtId="0" fontId="20" fillId="0" borderId="0" xfId="0" applyFont="1" applyAlignment="1">
      <alignment vertical="center"/>
    </xf>
    <xf numFmtId="0" fontId="21" fillId="0" borderId="3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1" fillId="0" borderId="30" xfId="0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4" xfId="0" applyFont="1" applyFill="1" applyBorder="1" applyAlignment="1">
      <alignment horizontal="center" vertical="center" wrapText="1"/>
    </xf>
    <xf numFmtId="16" fontId="1" fillId="2" borderId="4" xfId="0" applyNumberFormat="1" applyFont="1" applyFill="1" applyBorder="1" applyAlignment="1">
      <alignment horizontal="center" vertical="center" wrapText="1"/>
    </xf>
    <xf numFmtId="16" fontId="1" fillId="4" borderId="3" xfId="0" applyNumberFormat="1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1" fillId="2" borderId="20" xfId="0" applyFont="1" applyFill="1" applyBorder="1" applyAlignment="1">
      <alignment horizontal="center" vertical="center" wrapText="1"/>
    </xf>
    <xf numFmtId="0" fontId="11" fillId="2" borderId="8" xfId="0" applyFont="1" applyFill="1" applyBorder="1" applyAlignment="1">
      <alignment horizontal="center" vertical="center" wrapText="1"/>
    </xf>
    <xf numFmtId="16" fontId="4" fillId="3" borderId="2" xfId="0" applyNumberFormat="1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wrapText="1"/>
    </xf>
    <xf numFmtId="0" fontId="2" fillId="3" borderId="20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 wrapText="1"/>
    </xf>
    <xf numFmtId="0" fontId="2" fillId="3" borderId="8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 wrapText="1"/>
    </xf>
    <xf numFmtId="0" fontId="4" fillId="4" borderId="1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16" fontId="11" fillId="2" borderId="3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16" fontId="2" fillId="2" borderId="3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16" fontId="0" fillId="0" borderId="23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center" wrapText="1"/>
    </xf>
    <xf numFmtId="0" fontId="5" fillId="4" borderId="4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0" fillId="2" borderId="3" xfId="0" applyFill="1" applyBorder="1"/>
    <xf numFmtId="0" fontId="0" fillId="2" borderId="4" xfId="0" applyFill="1" applyBorder="1"/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49" fontId="1" fillId="3" borderId="2" xfId="0" applyNumberFormat="1" applyFont="1" applyFill="1" applyBorder="1" applyAlignment="1">
      <alignment horizontal="center" vertical="center" wrapText="1"/>
    </xf>
    <xf numFmtId="49" fontId="1" fillId="3" borderId="3" xfId="0" applyNumberFormat="1" applyFont="1" applyFill="1" applyBorder="1" applyAlignment="1">
      <alignment horizontal="center" vertical="center" wrapText="1"/>
    </xf>
    <xf numFmtId="49" fontId="1" fillId="3" borderId="4" xfId="0" applyNumberFormat="1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 wrapText="1"/>
    </xf>
    <xf numFmtId="0" fontId="11" fillId="2" borderId="4" xfId="0" applyFont="1" applyFill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center" vertical="center" wrapText="1"/>
    </xf>
    <xf numFmtId="49" fontId="2" fillId="3" borderId="3" xfId="0" applyNumberFormat="1" applyFont="1" applyFill="1" applyBorder="1" applyAlignment="1">
      <alignment horizontal="center" vertical="center" wrapText="1"/>
    </xf>
    <xf numFmtId="49" fontId="2" fillId="3" borderId="4" xfId="0" applyNumberFormat="1" applyFont="1" applyFill="1" applyBorder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4" fillId="3" borderId="2" xfId="0" applyFont="1" applyFill="1" applyBorder="1" applyAlignment="1">
      <alignment horizontal="center" vertical="center" wrapText="1"/>
    </xf>
    <xf numFmtId="0" fontId="14" fillId="3" borderId="3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1" fillId="3" borderId="21" xfId="0" applyFont="1" applyFill="1" applyBorder="1" applyAlignment="1">
      <alignment horizontal="center" vertical="center" wrapText="1"/>
    </xf>
    <xf numFmtId="0" fontId="4" fillId="3" borderId="21" xfId="0" applyFont="1" applyFill="1" applyBorder="1" applyAlignment="1">
      <alignment horizontal="center" vertical="center" wrapText="1"/>
    </xf>
    <xf numFmtId="0" fontId="11" fillId="3" borderId="2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3" borderId="17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4" fillId="3" borderId="17" xfId="0" applyFont="1" applyFill="1" applyBorder="1" applyAlignment="1">
      <alignment horizontal="center" vertical="center" wrapText="1"/>
    </xf>
    <xf numFmtId="0" fontId="2" fillId="3" borderId="17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 wrapText="1"/>
    </xf>
    <xf numFmtId="0" fontId="11" fillId="4" borderId="3" xfId="0" applyFont="1" applyFill="1" applyBorder="1" applyAlignment="1">
      <alignment horizontal="center" vertical="center" wrapText="1"/>
    </xf>
    <xf numFmtId="0" fontId="11" fillId="4" borderId="4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16" fontId="0" fillId="0" borderId="23" xfId="0" applyNumberFormat="1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7" fillId="6" borderId="30" xfId="0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 wrapText="1"/>
    </xf>
    <xf numFmtId="0" fontId="8" fillId="6" borderId="30" xfId="0" applyFont="1" applyFill="1" applyBorder="1" applyAlignment="1">
      <alignment horizontal="center" vertical="center" wrapText="1"/>
    </xf>
    <xf numFmtId="0" fontId="2" fillId="6" borderId="30" xfId="0" applyFont="1" applyFill="1" applyBorder="1" applyAlignment="1">
      <alignment horizontal="center" vertical="center" wrapText="1"/>
    </xf>
    <xf numFmtId="0" fontId="4" fillId="6" borderId="30" xfId="0" applyFont="1" applyFill="1" applyBorder="1" applyAlignment="1">
      <alignment horizontal="center" vertical="center" wrapText="1"/>
    </xf>
    <xf numFmtId="0" fontId="1" fillId="6" borderId="30" xfId="0" applyFont="1" applyFill="1" applyBorder="1" applyAlignment="1">
      <alignment horizontal="center" vertical="center" wrapText="1"/>
    </xf>
    <xf numFmtId="0" fontId="11" fillId="6" borderId="30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4" fillId="5" borderId="4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11" fillId="5" borderId="3" xfId="0" applyFont="1" applyFill="1" applyBorder="1" applyAlignment="1">
      <alignment horizontal="center" vertical="center" wrapText="1"/>
    </xf>
    <xf numFmtId="0" fontId="11" fillId="5" borderId="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textRotation="255"/>
    </xf>
    <xf numFmtId="0" fontId="0" fillId="0" borderId="4" xfId="0" applyBorder="1" applyAlignment="1">
      <alignment horizontal="center" vertical="center" textRotation="255"/>
    </xf>
    <xf numFmtId="0" fontId="1" fillId="4" borderId="1" xfId="0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49" fontId="2" fillId="4" borderId="2" xfId="0" applyNumberFormat="1" applyFont="1" applyFill="1" applyBorder="1" applyAlignment="1">
      <alignment horizontal="center" vertical="center" wrapText="1"/>
    </xf>
    <xf numFmtId="49" fontId="2" fillId="4" borderId="3" xfId="0" applyNumberFormat="1" applyFont="1" applyFill="1" applyBorder="1" applyAlignment="1">
      <alignment horizontal="center" vertical="center" wrapText="1"/>
    </xf>
    <xf numFmtId="49" fontId="2" fillId="4" borderId="4" xfId="0" applyNumberFormat="1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 wrapText="1"/>
    </xf>
    <xf numFmtId="0" fontId="11" fillId="4" borderId="21" xfId="0" applyFont="1" applyFill="1" applyBorder="1" applyAlignment="1">
      <alignment horizontal="center" vertical="center" wrapText="1"/>
    </xf>
    <xf numFmtId="0" fontId="3" fillId="0" borderId="29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4" fillId="4" borderId="17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 filterMode="1">
    <pageSetUpPr fitToPage="1"/>
  </sheetPr>
  <dimension ref="A1:AC2921"/>
  <sheetViews>
    <sheetView tabSelected="1" zoomScale="55" zoomScaleNormal="55" workbookViewId="0">
      <pane ySplit="1" topLeftCell="A320" activePane="bottomLeft" state="frozen"/>
      <selection pane="bottomLeft" activeCell="K1" sqref="K1"/>
    </sheetView>
  </sheetViews>
  <sheetFormatPr defaultColWidth="9.109375" defaultRowHeight="15" customHeight="1" x14ac:dyDescent="0.3"/>
  <cols>
    <col min="1" max="16" width="15.6640625" style="1" customWidth="1"/>
    <col min="17" max="17" width="51.33203125" style="1" customWidth="1"/>
    <col min="18" max="18" width="21.109375" style="1" customWidth="1"/>
    <col min="19" max="22" width="9.109375" style="1"/>
    <col min="23" max="23" width="20.88671875" style="1" customWidth="1"/>
    <col min="24" max="24" width="13.88671875" style="1" customWidth="1"/>
    <col min="25" max="25" width="24.5546875" style="1" customWidth="1"/>
    <col min="26" max="26" width="19" style="1" customWidth="1"/>
    <col min="27" max="27" width="14.5546875" style="1" customWidth="1"/>
    <col min="28" max="28" width="9.88671875" style="1" hidden="1" customWidth="1"/>
    <col min="29" max="29" width="0" style="1" hidden="1" customWidth="1"/>
    <col min="30" max="16384" width="9.109375" style="1"/>
  </cols>
  <sheetData>
    <row r="1" spans="1:29" ht="156.75" customHeight="1" thickBot="1" x14ac:dyDescent="0.35">
      <c r="A1" s="7" t="s">
        <v>558</v>
      </c>
      <c r="B1" s="8" t="s">
        <v>1</v>
      </c>
      <c r="C1" s="8" t="s">
        <v>2</v>
      </c>
      <c r="D1" s="9" t="s">
        <v>33</v>
      </c>
      <c r="E1" s="10" t="s">
        <v>34</v>
      </c>
      <c r="F1" s="10" t="s">
        <v>35</v>
      </c>
      <c r="G1" s="10" t="s">
        <v>36</v>
      </c>
      <c r="H1" s="10" t="s">
        <v>37</v>
      </c>
      <c r="I1" s="7" t="s">
        <v>3</v>
      </c>
      <c r="J1" s="10" t="s">
        <v>559</v>
      </c>
      <c r="K1" s="10" t="s">
        <v>585</v>
      </c>
      <c r="L1" s="7" t="s">
        <v>5</v>
      </c>
      <c r="M1" s="7" t="s">
        <v>6</v>
      </c>
      <c r="N1" s="10" t="s">
        <v>38</v>
      </c>
      <c r="O1" s="7" t="s">
        <v>7</v>
      </c>
      <c r="P1" s="7" t="s">
        <v>568</v>
      </c>
      <c r="Q1" s="11" t="s">
        <v>575</v>
      </c>
    </row>
    <row r="2" spans="1:29" ht="39.75" customHeight="1" thickBot="1" x14ac:dyDescent="0.35">
      <c r="A2" s="5">
        <v>1</v>
      </c>
      <c r="B2" s="4">
        <v>2</v>
      </c>
      <c r="C2" s="4">
        <v>3</v>
      </c>
      <c r="D2" s="4">
        <v>4</v>
      </c>
      <c r="E2" s="4">
        <v>5</v>
      </c>
      <c r="F2" s="4">
        <v>6</v>
      </c>
      <c r="G2" s="4">
        <v>7</v>
      </c>
      <c r="H2" s="4">
        <v>8</v>
      </c>
      <c r="I2" s="4">
        <v>9</v>
      </c>
      <c r="J2" s="4">
        <v>10</v>
      </c>
      <c r="K2" s="4">
        <v>11</v>
      </c>
      <c r="L2" s="4">
        <v>12</v>
      </c>
      <c r="M2" s="4">
        <v>13</v>
      </c>
      <c r="N2" s="4">
        <v>14</v>
      </c>
      <c r="O2" s="4">
        <v>15</v>
      </c>
      <c r="P2" s="4"/>
      <c r="Q2" s="4">
        <v>16</v>
      </c>
      <c r="X2" s="286" t="s">
        <v>583</v>
      </c>
      <c r="Y2" s="286" t="s">
        <v>579</v>
      </c>
      <c r="Z2" s="286" t="s">
        <v>580</v>
      </c>
      <c r="AA2" s="286" t="s">
        <v>581</v>
      </c>
      <c r="AB2" s="289"/>
      <c r="AC2" s="288"/>
    </row>
    <row r="3" spans="1:29" ht="15" customHeight="1" thickBot="1" x14ac:dyDescent="0.35">
      <c r="A3" s="352" t="s">
        <v>9</v>
      </c>
      <c r="B3" s="353"/>
      <c r="C3" s="353"/>
      <c r="D3" s="353"/>
      <c r="E3" s="353"/>
      <c r="F3" s="353"/>
      <c r="G3" s="353"/>
      <c r="H3" s="353"/>
      <c r="I3" s="353"/>
      <c r="J3" s="353"/>
      <c r="K3" s="353"/>
      <c r="L3" s="353"/>
      <c r="M3" s="353"/>
      <c r="N3" s="353"/>
      <c r="O3" s="353"/>
      <c r="P3" s="353"/>
      <c r="Q3" s="354"/>
      <c r="X3" s="284">
        <f>SUM(T4:T2914)</f>
        <v>945</v>
      </c>
      <c r="Y3" s="284">
        <f ca="1">Module2.SumByColor(T4:T2915,AC2)</f>
        <v>52</v>
      </c>
      <c r="Z3" s="284">
        <f ca="1">Module2.SumByColor(T4:T2915,T7)</f>
        <v>884</v>
      </c>
      <c r="AA3" s="284">
        <f ca="1">X3-Y3-Z3</f>
        <v>9</v>
      </c>
      <c r="AB3" s="285"/>
    </row>
    <row r="4" spans="1:29" ht="15" customHeight="1" x14ac:dyDescent="0.3">
      <c r="A4" s="355">
        <v>1</v>
      </c>
      <c r="B4" s="355" t="s">
        <v>10</v>
      </c>
      <c r="C4" s="315">
        <v>-3216</v>
      </c>
      <c r="D4" s="355">
        <v>1</v>
      </c>
      <c r="E4" s="355" t="s">
        <v>11</v>
      </c>
      <c r="F4" s="355">
        <v>130</v>
      </c>
      <c r="G4" s="355">
        <v>130</v>
      </c>
      <c r="H4" s="355" t="s">
        <v>12</v>
      </c>
      <c r="I4" s="355">
        <v>20</v>
      </c>
      <c r="J4" s="355" t="s">
        <v>13</v>
      </c>
      <c r="K4" s="355" t="s">
        <v>13</v>
      </c>
      <c r="L4" s="361">
        <v>101</v>
      </c>
      <c r="M4" s="355" t="s">
        <v>14</v>
      </c>
      <c r="N4" s="355" t="s">
        <v>15</v>
      </c>
      <c r="O4" s="355" t="s">
        <v>16</v>
      </c>
      <c r="P4" s="268"/>
      <c r="Q4" s="355" t="s">
        <v>39</v>
      </c>
      <c r="T4" s="287">
        <v>1</v>
      </c>
      <c r="V4" s="283"/>
      <c r="X4" s="284"/>
      <c r="Y4" s="284"/>
      <c r="Z4" s="284"/>
      <c r="AA4" s="284"/>
      <c r="AB4" s="285"/>
    </row>
    <row r="5" spans="1:29" ht="15" customHeight="1" x14ac:dyDescent="0.3">
      <c r="A5" s="356"/>
      <c r="B5" s="356"/>
      <c r="C5" s="117">
        <v>-23276</v>
      </c>
      <c r="D5" s="356"/>
      <c r="E5" s="356"/>
      <c r="F5" s="356"/>
      <c r="G5" s="356"/>
      <c r="H5" s="356"/>
      <c r="I5" s="356"/>
      <c r="J5" s="356"/>
      <c r="K5" s="356"/>
      <c r="L5" s="362"/>
      <c r="M5" s="356"/>
      <c r="N5" s="356"/>
      <c r="O5" s="356"/>
      <c r="P5" s="269"/>
      <c r="Q5" s="356"/>
    </row>
    <row r="6" spans="1:29" ht="15" customHeight="1" thickBot="1" x14ac:dyDescent="0.35">
      <c r="A6" s="357"/>
      <c r="B6" s="357"/>
      <c r="C6" s="118">
        <v>-3960</v>
      </c>
      <c r="D6" s="357"/>
      <c r="E6" s="357"/>
      <c r="F6" s="357"/>
      <c r="G6" s="357"/>
      <c r="H6" s="357"/>
      <c r="I6" s="357"/>
      <c r="J6" s="357"/>
      <c r="K6" s="357"/>
      <c r="L6" s="363"/>
      <c r="M6" s="357"/>
      <c r="N6" s="357"/>
      <c r="O6" s="357"/>
      <c r="P6" s="270"/>
      <c r="Q6" s="357"/>
    </row>
    <row r="7" spans="1:29" ht="15" customHeight="1" x14ac:dyDescent="0.3">
      <c r="A7" s="358">
        <v>2</v>
      </c>
      <c r="B7" s="358" t="s">
        <v>10</v>
      </c>
      <c r="C7" s="256">
        <v>-2598</v>
      </c>
      <c r="D7" s="358">
        <v>1</v>
      </c>
      <c r="E7" s="358" t="s">
        <v>11</v>
      </c>
      <c r="F7" s="358">
        <v>130</v>
      </c>
      <c r="G7" s="358">
        <v>130</v>
      </c>
      <c r="H7" s="358" t="s">
        <v>12</v>
      </c>
      <c r="I7" s="358">
        <v>20</v>
      </c>
      <c r="J7" s="358" t="s">
        <v>13</v>
      </c>
      <c r="K7" s="358" t="s">
        <v>13</v>
      </c>
      <c r="L7" s="364">
        <v>101</v>
      </c>
      <c r="M7" s="358" t="s">
        <v>14</v>
      </c>
      <c r="N7" s="358" t="s">
        <v>18</v>
      </c>
      <c r="O7" s="358" t="s">
        <v>16</v>
      </c>
      <c r="P7" s="254"/>
      <c r="Q7" s="358" t="s">
        <v>39</v>
      </c>
      <c r="T7" s="200">
        <v>1</v>
      </c>
    </row>
    <row r="8" spans="1:29" ht="15" customHeight="1" x14ac:dyDescent="0.3">
      <c r="A8" s="359"/>
      <c r="B8" s="359"/>
      <c r="C8" s="111">
        <v>23283</v>
      </c>
      <c r="D8" s="359"/>
      <c r="E8" s="359"/>
      <c r="F8" s="359"/>
      <c r="G8" s="359"/>
      <c r="H8" s="359"/>
      <c r="I8" s="359"/>
      <c r="J8" s="359"/>
      <c r="K8" s="359"/>
      <c r="L8" s="365"/>
      <c r="M8" s="359"/>
      <c r="N8" s="359"/>
      <c r="O8" s="359"/>
      <c r="P8" s="236">
        <v>44081</v>
      </c>
      <c r="Q8" s="359" t="s">
        <v>17</v>
      </c>
      <c r="R8" s="186">
        <v>44081</v>
      </c>
      <c r="T8" s="257"/>
    </row>
    <row r="9" spans="1:29" ht="15" customHeight="1" thickBot="1" x14ac:dyDescent="0.35">
      <c r="A9" s="360"/>
      <c r="B9" s="360"/>
      <c r="C9" s="112">
        <v>-3960</v>
      </c>
      <c r="D9" s="360"/>
      <c r="E9" s="360"/>
      <c r="F9" s="360"/>
      <c r="G9" s="360"/>
      <c r="H9" s="360"/>
      <c r="I9" s="360"/>
      <c r="J9" s="360"/>
      <c r="K9" s="360"/>
      <c r="L9" s="366"/>
      <c r="M9" s="360"/>
      <c r="N9" s="360"/>
      <c r="O9" s="360"/>
      <c r="P9" s="255"/>
      <c r="Q9" s="360"/>
    </row>
    <row r="10" spans="1:29" ht="15" customHeight="1" x14ac:dyDescent="0.3">
      <c r="A10" s="355">
        <v>3</v>
      </c>
      <c r="B10" s="355" t="s">
        <v>10</v>
      </c>
      <c r="C10" s="315">
        <v>-24487</v>
      </c>
      <c r="D10" s="355">
        <v>1</v>
      </c>
      <c r="E10" s="355" t="s">
        <v>19</v>
      </c>
      <c r="F10" s="355">
        <v>800</v>
      </c>
      <c r="G10" s="355">
        <v>800</v>
      </c>
      <c r="H10" s="355" t="s">
        <v>12</v>
      </c>
      <c r="I10" s="355">
        <v>20</v>
      </c>
      <c r="J10" s="355" t="s">
        <v>13</v>
      </c>
      <c r="K10" s="355" t="s">
        <v>13</v>
      </c>
      <c r="L10" s="361">
        <v>71</v>
      </c>
      <c r="M10" s="355" t="s">
        <v>14</v>
      </c>
      <c r="N10" s="355" t="s">
        <v>20</v>
      </c>
      <c r="O10" s="355" t="s">
        <v>16</v>
      </c>
      <c r="P10" s="268"/>
      <c r="Q10" s="355" t="s">
        <v>39</v>
      </c>
      <c r="T10" s="1">
        <v>1</v>
      </c>
    </row>
    <row r="11" spans="1:29" ht="15" customHeight="1" x14ac:dyDescent="0.3">
      <c r="A11" s="356"/>
      <c r="B11" s="356"/>
      <c r="C11" s="117">
        <v>-8098</v>
      </c>
      <c r="D11" s="356"/>
      <c r="E11" s="356"/>
      <c r="F11" s="356"/>
      <c r="G11" s="356"/>
      <c r="H11" s="356"/>
      <c r="I11" s="356"/>
      <c r="J11" s="356"/>
      <c r="K11" s="356"/>
      <c r="L11" s="362"/>
      <c r="M11" s="356"/>
      <c r="N11" s="356"/>
      <c r="O11" s="356"/>
      <c r="P11" s="269"/>
      <c r="Q11" s="356" t="s">
        <v>17</v>
      </c>
      <c r="T11" s="287"/>
    </row>
    <row r="12" spans="1:29" ht="15" customHeight="1" thickBot="1" x14ac:dyDescent="0.35">
      <c r="A12" s="357"/>
      <c r="B12" s="357"/>
      <c r="C12" s="118">
        <v>-4515</v>
      </c>
      <c r="D12" s="357"/>
      <c r="E12" s="357"/>
      <c r="F12" s="357"/>
      <c r="G12" s="357"/>
      <c r="H12" s="357"/>
      <c r="I12" s="357"/>
      <c r="J12" s="357"/>
      <c r="K12" s="357"/>
      <c r="L12" s="363"/>
      <c r="M12" s="357"/>
      <c r="N12" s="357"/>
      <c r="O12" s="357"/>
      <c r="P12" s="270"/>
      <c r="Q12" s="357"/>
    </row>
    <row r="13" spans="1:29" ht="15" customHeight="1" x14ac:dyDescent="0.3">
      <c r="A13" s="358">
        <v>4</v>
      </c>
      <c r="B13" s="358" t="s">
        <v>10</v>
      </c>
      <c r="C13" s="110">
        <v>-14236</v>
      </c>
      <c r="D13" s="358">
        <v>1</v>
      </c>
      <c r="E13" s="358" t="s">
        <v>19</v>
      </c>
      <c r="F13" s="358">
        <v>800</v>
      </c>
      <c r="G13" s="358">
        <v>800</v>
      </c>
      <c r="H13" s="358" t="s">
        <v>12</v>
      </c>
      <c r="I13" s="358">
        <v>20</v>
      </c>
      <c r="J13" s="358" t="s">
        <v>13</v>
      </c>
      <c r="K13" s="358" t="s">
        <v>13</v>
      </c>
      <c r="L13" s="364">
        <v>71</v>
      </c>
      <c r="M13" s="358" t="s">
        <v>14</v>
      </c>
      <c r="N13" s="358" t="s">
        <v>21</v>
      </c>
      <c r="O13" s="358" t="s">
        <v>16</v>
      </c>
      <c r="P13" s="254"/>
      <c r="Q13" s="358" t="s">
        <v>39</v>
      </c>
      <c r="T13" s="200">
        <v>1</v>
      </c>
    </row>
    <row r="14" spans="1:29" ht="15" customHeight="1" x14ac:dyDescent="0.3">
      <c r="A14" s="359"/>
      <c r="B14" s="359"/>
      <c r="C14" s="111">
        <v>21517</v>
      </c>
      <c r="D14" s="359"/>
      <c r="E14" s="359"/>
      <c r="F14" s="359"/>
      <c r="G14" s="359"/>
      <c r="H14" s="359"/>
      <c r="I14" s="359"/>
      <c r="J14" s="359"/>
      <c r="K14" s="359"/>
      <c r="L14" s="365"/>
      <c r="M14" s="359"/>
      <c r="N14" s="359"/>
      <c r="O14" s="359"/>
      <c r="P14" s="236">
        <v>44081</v>
      </c>
      <c r="Q14" s="359" t="s">
        <v>17</v>
      </c>
      <c r="R14" s="186">
        <v>44081</v>
      </c>
    </row>
    <row r="15" spans="1:29" ht="15" customHeight="1" thickBot="1" x14ac:dyDescent="0.35">
      <c r="A15" s="360"/>
      <c r="B15" s="360"/>
      <c r="C15" s="112">
        <v>-4450</v>
      </c>
      <c r="D15" s="360"/>
      <c r="E15" s="360"/>
      <c r="F15" s="360"/>
      <c r="G15" s="360"/>
      <c r="H15" s="360"/>
      <c r="I15" s="360"/>
      <c r="J15" s="360"/>
      <c r="K15" s="360"/>
      <c r="L15" s="366"/>
      <c r="M15" s="360"/>
      <c r="N15" s="360"/>
      <c r="O15" s="360"/>
      <c r="P15" s="255"/>
      <c r="Q15" s="360"/>
    </row>
    <row r="16" spans="1:29" ht="15" customHeight="1" thickBot="1" x14ac:dyDescent="0.35">
      <c r="A16" s="352" t="s">
        <v>22</v>
      </c>
      <c r="B16" s="353"/>
      <c r="C16" s="353"/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53"/>
      <c r="O16" s="353"/>
      <c r="P16" s="353"/>
      <c r="Q16" s="354"/>
    </row>
    <row r="17" spans="1:20" ht="15" customHeight="1" x14ac:dyDescent="0.3">
      <c r="A17" s="358">
        <v>5</v>
      </c>
      <c r="B17" s="358" t="s">
        <v>23</v>
      </c>
      <c r="C17" s="110">
        <v>24770</v>
      </c>
      <c r="D17" s="358">
        <v>1</v>
      </c>
      <c r="E17" s="358" t="s">
        <v>24</v>
      </c>
      <c r="F17" s="358">
        <v>300</v>
      </c>
      <c r="G17" s="358">
        <v>300</v>
      </c>
      <c r="H17" s="358" t="s">
        <v>25</v>
      </c>
      <c r="I17" s="358">
        <v>60</v>
      </c>
      <c r="J17" s="358" t="s">
        <v>13</v>
      </c>
      <c r="K17" s="358" t="s">
        <v>13</v>
      </c>
      <c r="L17" s="358">
        <v>29</v>
      </c>
      <c r="M17" s="358" t="s">
        <v>14</v>
      </c>
      <c r="N17" s="358" t="s">
        <v>26</v>
      </c>
      <c r="O17" s="358" t="s">
        <v>27</v>
      </c>
      <c r="P17" s="254"/>
      <c r="Q17" s="358" t="s">
        <v>28</v>
      </c>
      <c r="T17" s="200">
        <v>1</v>
      </c>
    </row>
    <row r="18" spans="1:20" ht="15" customHeight="1" x14ac:dyDescent="0.3">
      <c r="A18" s="359"/>
      <c r="B18" s="359"/>
      <c r="C18" s="111">
        <v>0</v>
      </c>
      <c r="D18" s="359"/>
      <c r="E18" s="359"/>
      <c r="F18" s="359"/>
      <c r="G18" s="359"/>
      <c r="H18" s="359"/>
      <c r="I18" s="359"/>
      <c r="J18" s="359"/>
      <c r="K18" s="359"/>
      <c r="L18" s="359"/>
      <c r="M18" s="359"/>
      <c r="N18" s="359"/>
      <c r="O18" s="359"/>
      <c r="P18" s="236">
        <v>44081</v>
      </c>
      <c r="Q18" s="359"/>
      <c r="R18" s="186">
        <v>44081</v>
      </c>
    </row>
    <row r="19" spans="1:20" ht="15" customHeight="1" thickBot="1" x14ac:dyDescent="0.35">
      <c r="A19" s="360"/>
      <c r="B19" s="360"/>
      <c r="C19" s="112">
        <v>7170</v>
      </c>
      <c r="D19" s="360"/>
      <c r="E19" s="360"/>
      <c r="F19" s="360"/>
      <c r="G19" s="360"/>
      <c r="H19" s="360"/>
      <c r="I19" s="360"/>
      <c r="J19" s="360"/>
      <c r="K19" s="360"/>
      <c r="L19" s="360"/>
      <c r="M19" s="360"/>
      <c r="N19" s="360"/>
      <c r="O19" s="360"/>
      <c r="P19" s="255"/>
      <c r="Q19" s="360"/>
    </row>
    <row r="20" spans="1:20" ht="15" customHeight="1" thickBot="1" x14ac:dyDescent="0.35">
      <c r="A20" s="352" t="s">
        <v>29</v>
      </c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53"/>
      <c r="M20" s="353"/>
      <c r="N20" s="353"/>
      <c r="O20" s="353"/>
      <c r="P20" s="353"/>
      <c r="Q20" s="354"/>
    </row>
    <row r="21" spans="1:20" ht="15" customHeight="1" x14ac:dyDescent="0.3">
      <c r="A21" s="358">
        <v>6</v>
      </c>
      <c r="B21" s="358" t="s">
        <v>10</v>
      </c>
      <c r="C21" s="110">
        <v>-24480</v>
      </c>
      <c r="D21" s="358">
        <v>1</v>
      </c>
      <c r="E21" s="358" t="s">
        <v>30</v>
      </c>
      <c r="F21" s="358">
        <v>650</v>
      </c>
      <c r="G21" s="358">
        <v>200</v>
      </c>
      <c r="H21" s="358" t="s">
        <v>25</v>
      </c>
      <c r="I21" s="358">
        <v>20</v>
      </c>
      <c r="J21" s="358" t="s">
        <v>13</v>
      </c>
      <c r="K21" s="358" t="s">
        <v>13</v>
      </c>
      <c r="L21" s="358">
        <v>29</v>
      </c>
      <c r="M21" s="358" t="s">
        <v>14</v>
      </c>
      <c r="N21" s="358" t="s">
        <v>31</v>
      </c>
      <c r="O21" s="358" t="s">
        <v>27</v>
      </c>
      <c r="P21" s="254"/>
      <c r="Q21" s="358" t="s">
        <v>32</v>
      </c>
      <c r="T21" s="200">
        <v>1</v>
      </c>
    </row>
    <row r="22" spans="1:20" ht="15" customHeight="1" x14ac:dyDescent="0.3">
      <c r="A22" s="359"/>
      <c r="B22" s="359"/>
      <c r="C22" s="111">
        <v>-3805</v>
      </c>
      <c r="D22" s="359"/>
      <c r="E22" s="359"/>
      <c r="F22" s="359"/>
      <c r="G22" s="359"/>
      <c r="H22" s="359"/>
      <c r="I22" s="359"/>
      <c r="J22" s="359"/>
      <c r="K22" s="359"/>
      <c r="L22" s="359"/>
      <c r="M22" s="359"/>
      <c r="N22" s="359"/>
      <c r="O22" s="359"/>
      <c r="P22" s="236">
        <v>44081</v>
      </c>
      <c r="Q22" s="359"/>
      <c r="R22" s="186">
        <v>44081</v>
      </c>
    </row>
    <row r="23" spans="1:20" ht="15" customHeight="1" thickBot="1" x14ac:dyDescent="0.35">
      <c r="A23" s="360"/>
      <c r="B23" s="360"/>
      <c r="C23" s="112">
        <v>8125</v>
      </c>
      <c r="D23" s="360"/>
      <c r="E23" s="360"/>
      <c r="F23" s="360"/>
      <c r="G23" s="360"/>
      <c r="H23" s="360"/>
      <c r="I23" s="360"/>
      <c r="J23" s="360"/>
      <c r="K23" s="360"/>
      <c r="L23" s="360"/>
      <c r="M23" s="360"/>
      <c r="N23" s="360"/>
      <c r="O23" s="360"/>
      <c r="P23" s="255"/>
      <c r="Q23" s="360"/>
    </row>
    <row r="24" spans="1:20" ht="15" customHeight="1" x14ac:dyDescent="0.3">
      <c r="A24" s="367">
        <v>7</v>
      </c>
      <c r="B24" s="367" t="s">
        <v>10</v>
      </c>
      <c r="C24" s="40">
        <v>295</v>
      </c>
      <c r="D24" s="367">
        <v>1</v>
      </c>
      <c r="E24" s="367" t="s">
        <v>30</v>
      </c>
      <c r="F24" s="367">
        <v>650</v>
      </c>
      <c r="G24" s="367">
        <v>200</v>
      </c>
      <c r="H24" s="367" t="s">
        <v>25</v>
      </c>
      <c r="I24" s="367">
        <v>20</v>
      </c>
      <c r="J24" s="367" t="s">
        <v>13</v>
      </c>
      <c r="K24" s="367" t="s">
        <v>13</v>
      </c>
      <c r="L24" s="367">
        <v>29</v>
      </c>
      <c r="M24" s="358" t="s">
        <v>14</v>
      </c>
      <c r="N24" s="367" t="s">
        <v>40</v>
      </c>
      <c r="O24" s="367" t="s">
        <v>27</v>
      </c>
      <c r="P24" s="252"/>
      <c r="Q24" s="367" t="s">
        <v>32</v>
      </c>
      <c r="T24" s="200">
        <v>1</v>
      </c>
    </row>
    <row r="25" spans="1:20" ht="15" customHeight="1" x14ac:dyDescent="0.3">
      <c r="A25" s="368"/>
      <c r="B25" s="368"/>
      <c r="C25" s="41">
        <v>-24800</v>
      </c>
      <c r="D25" s="368"/>
      <c r="E25" s="368"/>
      <c r="F25" s="368"/>
      <c r="G25" s="368"/>
      <c r="H25" s="368"/>
      <c r="I25" s="368"/>
      <c r="J25" s="368"/>
      <c r="K25" s="368"/>
      <c r="L25" s="368"/>
      <c r="M25" s="359"/>
      <c r="N25" s="368"/>
      <c r="O25" s="368"/>
      <c r="P25" s="226">
        <v>44081</v>
      </c>
      <c r="Q25" s="368"/>
      <c r="R25" s="186">
        <v>44081</v>
      </c>
    </row>
    <row r="26" spans="1:20" ht="15" customHeight="1" thickBot="1" x14ac:dyDescent="0.35">
      <c r="A26" s="369"/>
      <c r="B26" s="369"/>
      <c r="C26" s="42">
        <v>8125</v>
      </c>
      <c r="D26" s="369"/>
      <c r="E26" s="369"/>
      <c r="F26" s="369"/>
      <c r="G26" s="369"/>
      <c r="H26" s="369"/>
      <c r="I26" s="369"/>
      <c r="J26" s="369"/>
      <c r="K26" s="369"/>
      <c r="L26" s="369"/>
      <c r="M26" s="360"/>
      <c r="N26" s="369"/>
      <c r="O26" s="369"/>
      <c r="P26" s="253"/>
      <c r="Q26" s="369"/>
    </row>
    <row r="27" spans="1:20" ht="15" customHeight="1" x14ac:dyDescent="0.3">
      <c r="A27" s="367">
        <v>8</v>
      </c>
      <c r="B27" s="367" t="s">
        <v>23</v>
      </c>
      <c r="C27" s="40">
        <v>24575</v>
      </c>
      <c r="D27" s="367">
        <v>1</v>
      </c>
      <c r="E27" s="367" t="s">
        <v>24</v>
      </c>
      <c r="F27" s="367">
        <v>350</v>
      </c>
      <c r="G27" s="367">
        <v>200</v>
      </c>
      <c r="H27" s="367" t="s">
        <v>25</v>
      </c>
      <c r="I27" s="367">
        <v>60</v>
      </c>
      <c r="J27" s="367" t="s">
        <v>13</v>
      </c>
      <c r="K27" s="367" t="s">
        <v>13</v>
      </c>
      <c r="L27" s="367">
        <v>29</v>
      </c>
      <c r="M27" s="358" t="s">
        <v>14</v>
      </c>
      <c r="N27" s="367" t="s">
        <v>41</v>
      </c>
      <c r="O27" s="367" t="s">
        <v>27</v>
      </c>
      <c r="P27" s="252"/>
      <c r="Q27" s="367" t="s">
        <v>32</v>
      </c>
      <c r="T27" s="200">
        <v>1</v>
      </c>
    </row>
    <row r="28" spans="1:20" ht="15" customHeight="1" x14ac:dyDescent="0.3">
      <c r="A28" s="368"/>
      <c r="B28" s="368"/>
      <c r="C28" s="41">
        <v>2660</v>
      </c>
      <c r="D28" s="368"/>
      <c r="E28" s="368"/>
      <c r="F28" s="368"/>
      <c r="G28" s="368"/>
      <c r="H28" s="368"/>
      <c r="I28" s="368"/>
      <c r="J28" s="368"/>
      <c r="K28" s="368"/>
      <c r="L28" s="368"/>
      <c r="M28" s="359"/>
      <c r="N28" s="368"/>
      <c r="O28" s="368"/>
      <c r="P28" s="226">
        <v>44081</v>
      </c>
      <c r="Q28" s="368"/>
      <c r="R28" s="186">
        <v>44081</v>
      </c>
    </row>
    <row r="29" spans="1:20" ht="15" customHeight="1" thickBot="1" x14ac:dyDescent="0.35">
      <c r="A29" s="369"/>
      <c r="B29" s="369"/>
      <c r="C29" s="42">
        <v>7975</v>
      </c>
      <c r="D29" s="369"/>
      <c r="E29" s="369"/>
      <c r="F29" s="369"/>
      <c r="G29" s="369"/>
      <c r="H29" s="369"/>
      <c r="I29" s="369"/>
      <c r="J29" s="369"/>
      <c r="K29" s="369"/>
      <c r="L29" s="369"/>
      <c r="M29" s="360"/>
      <c r="N29" s="369"/>
      <c r="O29" s="369"/>
      <c r="P29" s="253"/>
      <c r="Q29" s="369"/>
    </row>
    <row r="30" spans="1:20" ht="15" customHeight="1" x14ac:dyDescent="0.3">
      <c r="A30" s="367">
        <v>9</v>
      </c>
      <c r="B30" s="367" t="s">
        <v>23</v>
      </c>
      <c r="C30" s="40">
        <v>-24835</v>
      </c>
      <c r="D30" s="367">
        <v>1</v>
      </c>
      <c r="E30" s="367" t="s">
        <v>24</v>
      </c>
      <c r="F30" s="367">
        <v>350</v>
      </c>
      <c r="G30" s="367">
        <v>200</v>
      </c>
      <c r="H30" s="367" t="s">
        <v>25</v>
      </c>
      <c r="I30" s="367">
        <v>60</v>
      </c>
      <c r="J30" s="367" t="s">
        <v>13</v>
      </c>
      <c r="K30" s="367" t="s">
        <v>13</v>
      </c>
      <c r="L30" s="367">
        <v>29</v>
      </c>
      <c r="M30" s="358" t="s">
        <v>14</v>
      </c>
      <c r="N30" s="367" t="s">
        <v>31</v>
      </c>
      <c r="O30" s="367" t="s">
        <v>27</v>
      </c>
      <c r="P30" s="252"/>
      <c r="Q30" s="367" t="s">
        <v>32</v>
      </c>
      <c r="R30" s="186">
        <v>44081</v>
      </c>
      <c r="T30" s="200">
        <v>1</v>
      </c>
    </row>
    <row r="31" spans="1:20" ht="15" customHeight="1" x14ac:dyDescent="0.3">
      <c r="A31" s="368"/>
      <c r="B31" s="368"/>
      <c r="C31" s="41">
        <v>0</v>
      </c>
      <c r="D31" s="368"/>
      <c r="E31" s="368"/>
      <c r="F31" s="368"/>
      <c r="G31" s="368"/>
      <c r="H31" s="368"/>
      <c r="I31" s="368"/>
      <c r="J31" s="368"/>
      <c r="K31" s="368"/>
      <c r="L31" s="368"/>
      <c r="M31" s="359"/>
      <c r="N31" s="368"/>
      <c r="O31" s="368"/>
      <c r="P31" s="226">
        <v>44081</v>
      </c>
      <c r="Q31" s="368"/>
    </row>
    <row r="32" spans="1:20" ht="15" customHeight="1" thickBot="1" x14ac:dyDescent="0.35">
      <c r="A32" s="369"/>
      <c r="B32" s="369"/>
      <c r="C32" s="42">
        <v>8125</v>
      </c>
      <c r="D32" s="369"/>
      <c r="E32" s="369"/>
      <c r="F32" s="369"/>
      <c r="G32" s="369"/>
      <c r="H32" s="369"/>
      <c r="I32" s="369"/>
      <c r="J32" s="369"/>
      <c r="K32" s="369"/>
      <c r="L32" s="369"/>
      <c r="M32" s="360"/>
      <c r="N32" s="369"/>
      <c r="O32" s="369"/>
      <c r="P32" s="253"/>
      <c r="Q32" s="369"/>
    </row>
    <row r="33" spans="1:20" ht="15" customHeight="1" x14ac:dyDescent="0.3">
      <c r="A33" s="367">
        <v>10</v>
      </c>
      <c r="B33" s="367" t="s">
        <v>23</v>
      </c>
      <c r="C33" s="40">
        <v>15108</v>
      </c>
      <c r="D33" s="367">
        <v>1</v>
      </c>
      <c r="E33" s="367" t="s">
        <v>24</v>
      </c>
      <c r="F33" s="367">
        <v>450</v>
      </c>
      <c r="G33" s="367">
        <v>200</v>
      </c>
      <c r="H33" s="367" t="s">
        <v>25</v>
      </c>
      <c r="I33" s="367">
        <v>60</v>
      </c>
      <c r="J33" s="367" t="s">
        <v>13</v>
      </c>
      <c r="K33" s="367" t="s">
        <v>13</v>
      </c>
      <c r="L33" s="367">
        <v>29</v>
      </c>
      <c r="M33" s="358" t="s">
        <v>14</v>
      </c>
      <c r="N33" s="367" t="s">
        <v>42</v>
      </c>
      <c r="O33" s="367" t="s">
        <v>27</v>
      </c>
      <c r="P33" s="252"/>
      <c r="Q33" s="367" t="s">
        <v>32</v>
      </c>
      <c r="T33" s="200">
        <v>1</v>
      </c>
    </row>
    <row r="34" spans="1:20" ht="15" customHeight="1" x14ac:dyDescent="0.3">
      <c r="A34" s="368"/>
      <c r="B34" s="368"/>
      <c r="C34" s="41">
        <v>19710</v>
      </c>
      <c r="D34" s="368"/>
      <c r="E34" s="368"/>
      <c r="F34" s="368"/>
      <c r="G34" s="368"/>
      <c r="H34" s="368"/>
      <c r="I34" s="368"/>
      <c r="J34" s="368"/>
      <c r="K34" s="368"/>
      <c r="L34" s="368"/>
      <c r="M34" s="359"/>
      <c r="N34" s="368"/>
      <c r="O34" s="368"/>
      <c r="P34" s="226">
        <v>44081</v>
      </c>
      <c r="Q34" s="368"/>
      <c r="R34" s="186">
        <v>44081</v>
      </c>
    </row>
    <row r="35" spans="1:20" ht="15" customHeight="1" thickBot="1" x14ac:dyDescent="0.35">
      <c r="A35" s="369"/>
      <c r="B35" s="369"/>
      <c r="C35" s="42">
        <v>7975</v>
      </c>
      <c r="D35" s="369"/>
      <c r="E35" s="369"/>
      <c r="F35" s="369"/>
      <c r="G35" s="369"/>
      <c r="H35" s="369"/>
      <c r="I35" s="369"/>
      <c r="J35" s="369"/>
      <c r="K35" s="369"/>
      <c r="L35" s="369"/>
      <c r="M35" s="360"/>
      <c r="N35" s="369"/>
      <c r="O35" s="369"/>
      <c r="P35" s="253"/>
      <c r="Q35" s="369"/>
    </row>
    <row r="36" spans="1:20" ht="15" customHeight="1" x14ac:dyDescent="0.3">
      <c r="A36" s="376">
        <v>11</v>
      </c>
      <c r="B36" s="376" t="s">
        <v>43</v>
      </c>
      <c r="C36" s="58">
        <v>-23490</v>
      </c>
      <c r="D36" s="376">
        <v>1</v>
      </c>
      <c r="E36" s="376" t="s">
        <v>25</v>
      </c>
      <c r="F36" s="376">
        <v>600</v>
      </c>
      <c r="G36" s="373">
        <v>200</v>
      </c>
      <c r="H36" s="376" t="s">
        <v>44</v>
      </c>
      <c r="I36" s="376">
        <v>90</v>
      </c>
      <c r="J36" s="376" t="s">
        <v>45</v>
      </c>
      <c r="K36" s="376">
        <v>0</v>
      </c>
      <c r="L36" s="376">
        <v>75</v>
      </c>
      <c r="M36" s="379" t="s">
        <v>14</v>
      </c>
      <c r="N36" s="373" t="s">
        <v>31</v>
      </c>
      <c r="O36" s="376" t="s">
        <v>27</v>
      </c>
      <c r="P36" s="339"/>
      <c r="Q36" s="376" t="s">
        <v>46</v>
      </c>
      <c r="T36" s="288">
        <v>1</v>
      </c>
    </row>
    <row r="37" spans="1:20" ht="15" customHeight="1" x14ac:dyDescent="0.3">
      <c r="A37" s="377"/>
      <c r="B37" s="377"/>
      <c r="C37" s="59">
        <v>-2260</v>
      </c>
      <c r="D37" s="377"/>
      <c r="E37" s="377"/>
      <c r="F37" s="377"/>
      <c r="G37" s="374"/>
      <c r="H37" s="377"/>
      <c r="I37" s="377"/>
      <c r="J37" s="377"/>
      <c r="K37" s="377"/>
      <c r="L37" s="377"/>
      <c r="M37" s="380"/>
      <c r="N37" s="374"/>
      <c r="O37" s="377"/>
      <c r="P37" s="332">
        <v>44111</v>
      </c>
      <c r="Q37" s="377"/>
    </row>
    <row r="38" spans="1:20" ht="15" customHeight="1" thickBot="1" x14ac:dyDescent="0.35">
      <c r="A38" s="378"/>
      <c r="B38" s="378"/>
      <c r="C38" s="57">
        <v>7800</v>
      </c>
      <c r="D38" s="378"/>
      <c r="E38" s="378"/>
      <c r="F38" s="378"/>
      <c r="G38" s="375"/>
      <c r="H38" s="378"/>
      <c r="I38" s="378"/>
      <c r="J38" s="378"/>
      <c r="K38" s="378"/>
      <c r="L38" s="378"/>
      <c r="M38" s="381"/>
      <c r="N38" s="375"/>
      <c r="O38" s="378"/>
      <c r="P38" s="340"/>
      <c r="Q38" s="378"/>
    </row>
    <row r="39" spans="1:20" ht="15" customHeight="1" thickBot="1" x14ac:dyDescent="0.35">
      <c r="A39" s="352" t="s">
        <v>47</v>
      </c>
      <c r="B39" s="353"/>
      <c r="C39" s="353"/>
      <c r="D39" s="353"/>
      <c r="E39" s="353"/>
      <c r="F39" s="353"/>
      <c r="G39" s="353"/>
      <c r="H39" s="353"/>
      <c r="I39" s="353"/>
      <c r="J39" s="353"/>
      <c r="K39" s="353"/>
      <c r="L39" s="353"/>
      <c r="M39" s="353"/>
      <c r="N39" s="353"/>
      <c r="O39" s="353"/>
      <c r="P39" s="353"/>
      <c r="Q39" s="354"/>
    </row>
    <row r="40" spans="1:20" ht="15" hidden="1" customHeight="1" x14ac:dyDescent="0.3">
      <c r="A40" s="367">
        <v>12</v>
      </c>
      <c r="B40" s="370" t="s">
        <v>48</v>
      </c>
      <c r="C40" s="37">
        <v>-16980</v>
      </c>
      <c r="D40" s="370">
        <v>1</v>
      </c>
      <c r="E40" s="370" t="s">
        <v>49</v>
      </c>
      <c r="F40" s="370">
        <v>1450</v>
      </c>
      <c r="G40" s="370">
        <v>1100</v>
      </c>
      <c r="H40" s="370" t="s">
        <v>50</v>
      </c>
      <c r="I40" s="370">
        <v>190</v>
      </c>
      <c r="J40" s="370" t="s">
        <v>45</v>
      </c>
      <c r="K40" s="370">
        <v>50</v>
      </c>
      <c r="L40" s="370">
        <v>20.5</v>
      </c>
      <c r="M40" s="358" t="s">
        <v>14</v>
      </c>
      <c r="N40" s="370" t="s">
        <v>51</v>
      </c>
      <c r="O40" s="370" t="s">
        <v>27</v>
      </c>
      <c r="P40" s="223">
        <v>44066</v>
      </c>
      <c r="Q40" s="370" t="s">
        <v>52</v>
      </c>
      <c r="R40" s="186">
        <v>44066</v>
      </c>
      <c r="T40" s="200">
        <v>1</v>
      </c>
    </row>
    <row r="41" spans="1:20" ht="15" customHeight="1" x14ac:dyDescent="0.3">
      <c r="A41" s="368"/>
      <c r="B41" s="371"/>
      <c r="C41" s="38">
        <v>3900</v>
      </c>
      <c r="D41" s="371"/>
      <c r="E41" s="371"/>
      <c r="F41" s="371"/>
      <c r="G41" s="371"/>
      <c r="H41" s="371"/>
      <c r="I41" s="371"/>
      <c r="J41" s="371"/>
      <c r="K41" s="371"/>
      <c r="L41" s="371"/>
      <c r="M41" s="359"/>
      <c r="N41" s="371"/>
      <c r="O41" s="371"/>
      <c r="P41" s="205"/>
      <c r="Q41" s="371"/>
      <c r="R41" s="186"/>
    </row>
    <row r="42" spans="1:20" ht="15" customHeight="1" thickBot="1" x14ac:dyDescent="0.35">
      <c r="A42" s="369"/>
      <c r="B42" s="372"/>
      <c r="C42" s="39">
        <v>-474</v>
      </c>
      <c r="D42" s="372"/>
      <c r="E42" s="372"/>
      <c r="F42" s="372"/>
      <c r="G42" s="372"/>
      <c r="H42" s="372"/>
      <c r="I42" s="372"/>
      <c r="J42" s="372"/>
      <c r="K42" s="372"/>
      <c r="L42" s="372"/>
      <c r="M42" s="360"/>
      <c r="N42" s="372"/>
      <c r="O42" s="372"/>
      <c r="P42" s="206"/>
      <c r="Q42" s="372"/>
      <c r="R42" s="186"/>
    </row>
    <row r="43" spans="1:20" ht="15" hidden="1" customHeight="1" x14ac:dyDescent="0.3">
      <c r="A43" s="367">
        <v>13</v>
      </c>
      <c r="B43" s="370" t="s">
        <v>48</v>
      </c>
      <c r="C43" s="37">
        <v>-5150</v>
      </c>
      <c r="D43" s="370">
        <v>1</v>
      </c>
      <c r="E43" s="370" t="s">
        <v>49</v>
      </c>
      <c r="F43" s="370">
        <v>1450</v>
      </c>
      <c r="G43" s="370">
        <v>1100</v>
      </c>
      <c r="H43" s="370" t="s">
        <v>50</v>
      </c>
      <c r="I43" s="370">
        <v>190</v>
      </c>
      <c r="J43" s="370" t="s">
        <v>45</v>
      </c>
      <c r="K43" s="370">
        <v>50</v>
      </c>
      <c r="L43" s="370">
        <v>20.5</v>
      </c>
      <c r="M43" s="358" t="s">
        <v>14</v>
      </c>
      <c r="N43" s="370" t="s">
        <v>53</v>
      </c>
      <c r="O43" s="370" t="s">
        <v>27</v>
      </c>
      <c r="P43" s="204"/>
      <c r="Q43" s="370" t="s">
        <v>52</v>
      </c>
      <c r="R43" s="186">
        <v>44066</v>
      </c>
      <c r="T43" s="200">
        <v>1</v>
      </c>
    </row>
    <row r="44" spans="1:20" ht="15" customHeight="1" x14ac:dyDescent="0.3">
      <c r="A44" s="368"/>
      <c r="B44" s="371"/>
      <c r="C44" s="38">
        <v>-16790</v>
      </c>
      <c r="D44" s="371"/>
      <c r="E44" s="371"/>
      <c r="F44" s="371"/>
      <c r="G44" s="371"/>
      <c r="H44" s="371"/>
      <c r="I44" s="371"/>
      <c r="J44" s="371"/>
      <c r="K44" s="371"/>
      <c r="L44" s="371"/>
      <c r="M44" s="359"/>
      <c r="N44" s="371"/>
      <c r="O44" s="371"/>
      <c r="P44" s="224">
        <v>44066</v>
      </c>
      <c r="Q44" s="371"/>
    </row>
    <row r="45" spans="1:20" ht="15" customHeight="1" thickBot="1" x14ac:dyDescent="0.35">
      <c r="A45" s="369"/>
      <c r="B45" s="372"/>
      <c r="C45" s="39">
        <v>-474</v>
      </c>
      <c r="D45" s="372"/>
      <c r="E45" s="372"/>
      <c r="F45" s="372"/>
      <c r="G45" s="372"/>
      <c r="H45" s="372"/>
      <c r="I45" s="372"/>
      <c r="J45" s="372"/>
      <c r="K45" s="372"/>
      <c r="L45" s="372"/>
      <c r="M45" s="360"/>
      <c r="N45" s="372"/>
      <c r="O45" s="372"/>
      <c r="P45" s="206"/>
      <c r="Q45" s="372"/>
    </row>
    <row r="46" spans="1:20" ht="15" hidden="1" customHeight="1" x14ac:dyDescent="0.3">
      <c r="A46" s="367">
        <v>14</v>
      </c>
      <c r="B46" s="370" t="s">
        <v>54</v>
      </c>
      <c r="C46" s="37">
        <v>-600</v>
      </c>
      <c r="D46" s="370">
        <v>1</v>
      </c>
      <c r="E46" s="370" t="s">
        <v>25</v>
      </c>
      <c r="F46" s="370">
        <v>1450</v>
      </c>
      <c r="G46" s="370">
        <v>1100</v>
      </c>
      <c r="H46" s="370" t="s">
        <v>55</v>
      </c>
      <c r="I46" s="370">
        <v>150</v>
      </c>
      <c r="J46" s="370" t="s">
        <v>45</v>
      </c>
      <c r="K46" s="370">
        <v>50</v>
      </c>
      <c r="L46" s="370">
        <v>50</v>
      </c>
      <c r="M46" s="358" t="s">
        <v>14</v>
      </c>
      <c r="N46" s="370" t="s">
        <v>51</v>
      </c>
      <c r="O46" s="370" t="s">
        <v>27</v>
      </c>
      <c r="P46" s="204"/>
      <c r="Q46" s="370" t="s">
        <v>52</v>
      </c>
      <c r="R46" s="186">
        <v>44066</v>
      </c>
      <c r="T46" s="200">
        <v>1</v>
      </c>
    </row>
    <row r="47" spans="1:20" ht="15" customHeight="1" x14ac:dyDescent="0.3">
      <c r="A47" s="368"/>
      <c r="B47" s="371"/>
      <c r="C47" s="38">
        <v>7660</v>
      </c>
      <c r="D47" s="371"/>
      <c r="E47" s="371"/>
      <c r="F47" s="371"/>
      <c r="G47" s="371"/>
      <c r="H47" s="371"/>
      <c r="I47" s="371"/>
      <c r="J47" s="371"/>
      <c r="K47" s="371"/>
      <c r="L47" s="371"/>
      <c r="M47" s="359"/>
      <c r="N47" s="371"/>
      <c r="O47" s="371"/>
      <c r="P47" s="224">
        <v>44066</v>
      </c>
      <c r="Q47" s="371"/>
    </row>
    <row r="48" spans="1:20" ht="15" customHeight="1" thickBot="1" x14ac:dyDescent="0.35">
      <c r="A48" s="369"/>
      <c r="B48" s="372"/>
      <c r="C48" s="39">
        <v>-474</v>
      </c>
      <c r="D48" s="372"/>
      <c r="E48" s="372"/>
      <c r="F48" s="372"/>
      <c r="G48" s="372"/>
      <c r="H48" s="372"/>
      <c r="I48" s="372"/>
      <c r="J48" s="372"/>
      <c r="K48" s="372"/>
      <c r="L48" s="372"/>
      <c r="M48" s="360"/>
      <c r="N48" s="372"/>
      <c r="O48" s="372"/>
      <c r="P48" s="206"/>
      <c r="Q48" s="372"/>
    </row>
    <row r="49" spans="1:20" ht="15" hidden="1" customHeight="1" x14ac:dyDescent="0.3">
      <c r="A49" s="367">
        <v>15</v>
      </c>
      <c r="B49" s="370" t="s">
        <v>54</v>
      </c>
      <c r="C49" s="37">
        <v>700</v>
      </c>
      <c r="D49" s="370">
        <v>1</v>
      </c>
      <c r="E49" s="370" t="s">
        <v>25</v>
      </c>
      <c r="F49" s="370">
        <v>1450</v>
      </c>
      <c r="G49" s="370">
        <v>1100</v>
      </c>
      <c r="H49" s="370" t="s">
        <v>55</v>
      </c>
      <c r="I49" s="370">
        <v>150</v>
      </c>
      <c r="J49" s="370" t="s">
        <v>45</v>
      </c>
      <c r="K49" s="370">
        <v>50</v>
      </c>
      <c r="L49" s="370">
        <v>50</v>
      </c>
      <c r="M49" s="358" t="s">
        <v>14</v>
      </c>
      <c r="N49" s="370" t="s">
        <v>51</v>
      </c>
      <c r="O49" s="370" t="s">
        <v>27</v>
      </c>
      <c r="P49" s="204"/>
      <c r="Q49" s="370" t="s">
        <v>52</v>
      </c>
      <c r="R49" s="186">
        <v>44066</v>
      </c>
      <c r="T49" s="200">
        <v>1</v>
      </c>
    </row>
    <row r="50" spans="1:20" ht="15" customHeight="1" x14ac:dyDescent="0.3">
      <c r="A50" s="368"/>
      <c r="B50" s="371"/>
      <c r="C50" s="38">
        <v>7660</v>
      </c>
      <c r="D50" s="371"/>
      <c r="E50" s="371"/>
      <c r="F50" s="371"/>
      <c r="G50" s="371"/>
      <c r="H50" s="371"/>
      <c r="I50" s="371"/>
      <c r="J50" s="371"/>
      <c r="K50" s="371"/>
      <c r="L50" s="371"/>
      <c r="M50" s="359"/>
      <c r="N50" s="371"/>
      <c r="O50" s="371"/>
      <c r="P50" s="224">
        <v>44066</v>
      </c>
      <c r="Q50" s="371"/>
    </row>
    <row r="51" spans="1:20" ht="15" customHeight="1" thickBot="1" x14ac:dyDescent="0.35">
      <c r="A51" s="369"/>
      <c r="B51" s="372"/>
      <c r="C51" s="39">
        <v>-474</v>
      </c>
      <c r="D51" s="372"/>
      <c r="E51" s="372"/>
      <c r="F51" s="372"/>
      <c r="G51" s="372"/>
      <c r="H51" s="372"/>
      <c r="I51" s="372"/>
      <c r="J51" s="372"/>
      <c r="K51" s="372"/>
      <c r="L51" s="372"/>
      <c r="M51" s="360"/>
      <c r="N51" s="372"/>
      <c r="O51" s="372"/>
      <c r="P51" s="206"/>
      <c r="Q51" s="372"/>
    </row>
    <row r="52" spans="1:20" ht="15" hidden="1" customHeight="1" x14ac:dyDescent="0.3">
      <c r="A52" s="367">
        <v>16</v>
      </c>
      <c r="B52" s="370" t="s">
        <v>56</v>
      </c>
      <c r="C52" s="37">
        <v>11765</v>
      </c>
      <c r="D52" s="370">
        <v>1</v>
      </c>
      <c r="E52" s="370" t="s">
        <v>25</v>
      </c>
      <c r="F52" s="370">
        <v>1450</v>
      </c>
      <c r="G52" s="370">
        <v>1100</v>
      </c>
      <c r="H52" s="370" t="s">
        <v>55</v>
      </c>
      <c r="I52" s="370">
        <v>150</v>
      </c>
      <c r="J52" s="370" t="s">
        <v>45</v>
      </c>
      <c r="K52" s="370">
        <v>50</v>
      </c>
      <c r="L52" s="370">
        <v>50</v>
      </c>
      <c r="M52" s="358" t="s">
        <v>14</v>
      </c>
      <c r="N52" s="370" t="s">
        <v>51</v>
      </c>
      <c r="O52" s="370" t="s">
        <v>27</v>
      </c>
      <c r="P52" s="204"/>
      <c r="Q52" s="370" t="s">
        <v>52</v>
      </c>
      <c r="T52" s="200">
        <v>1</v>
      </c>
    </row>
    <row r="53" spans="1:20" ht="15" customHeight="1" x14ac:dyDescent="0.3">
      <c r="A53" s="368"/>
      <c r="B53" s="371"/>
      <c r="C53" s="38">
        <v>14175</v>
      </c>
      <c r="D53" s="371"/>
      <c r="E53" s="371"/>
      <c r="F53" s="371"/>
      <c r="G53" s="371"/>
      <c r="H53" s="371"/>
      <c r="I53" s="371"/>
      <c r="J53" s="371"/>
      <c r="K53" s="371"/>
      <c r="L53" s="371"/>
      <c r="M53" s="359"/>
      <c r="N53" s="371"/>
      <c r="O53" s="371"/>
      <c r="P53" s="224">
        <v>44066</v>
      </c>
      <c r="Q53" s="371"/>
      <c r="R53" s="186">
        <v>44066</v>
      </c>
    </row>
    <row r="54" spans="1:20" ht="15" customHeight="1" thickBot="1" x14ac:dyDescent="0.35">
      <c r="A54" s="369"/>
      <c r="B54" s="372"/>
      <c r="C54" s="39">
        <v>-474</v>
      </c>
      <c r="D54" s="372"/>
      <c r="E54" s="372"/>
      <c r="F54" s="372"/>
      <c r="G54" s="372"/>
      <c r="H54" s="372"/>
      <c r="I54" s="372"/>
      <c r="J54" s="372"/>
      <c r="K54" s="372"/>
      <c r="L54" s="372"/>
      <c r="M54" s="360"/>
      <c r="N54" s="372"/>
      <c r="O54" s="372"/>
      <c r="P54" s="206"/>
      <c r="Q54" s="372"/>
    </row>
    <row r="55" spans="1:20" ht="15" hidden="1" customHeight="1" x14ac:dyDescent="0.3">
      <c r="A55" s="367">
        <v>17</v>
      </c>
      <c r="B55" s="370" t="s">
        <v>57</v>
      </c>
      <c r="C55" s="37">
        <v>11015</v>
      </c>
      <c r="D55" s="370">
        <v>1</v>
      </c>
      <c r="E55" s="370" t="s">
        <v>58</v>
      </c>
      <c r="F55" s="370">
        <v>1450</v>
      </c>
      <c r="G55" s="370">
        <v>1100</v>
      </c>
      <c r="H55" s="370" t="s">
        <v>44</v>
      </c>
      <c r="I55" s="370">
        <v>150</v>
      </c>
      <c r="J55" s="370" t="s">
        <v>45</v>
      </c>
      <c r="K55" s="370">
        <v>50</v>
      </c>
      <c r="L55" s="370">
        <v>45</v>
      </c>
      <c r="M55" s="358" t="s">
        <v>14</v>
      </c>
      <c r="N55" s="370" t="s">
        <v>51</v>
      </c>
      <c r="O55" s="370" t="s">
        <v>27</v>
      </c>
      <c r="P55" s="68"/>
      <c r="Q55" s="370" t="s">
        <v>52</v>
      </c>
      <c r="T55" s="200">
        <v>1</v>
      </c>
    </row>
    <row r="56" spans="1:20" ht="15" customHeight="1" x14ac:dyDescent="0.3">
      <c r="A56" s="368"/>
      <c r="B56" s="371"/>
      <c r="C56" s="38">
        <v>8005</v>
      </c>
      <c r="D56" s="371"/>
      <c r="E56" s="371"/>
      <c r="F56" s="371"/>
      <c r="G56" s="371"/>
      <c r="H56" s="371"/>
      <c r="I56" s="371"/>
      <c r="J56" s="371"/>
      <c r="K56" s="371"/>
      <c r="L56" s="371"/>
      <c r="M56" s="359"/>
      <c r="N56" s="371"/>
      <c r="O56" s="371"/>
      <c r="P56" s="224">
        <v>44066</v>
      </c>
      <c r="Q56" s="371"/>
    </row>
    <row r="57" spans="1:20" ht="15" customHeight="1" thickBot="1" x14ac:dyDescent="0.35">
      <c r="A57" s="369"/>
      <c r="B57" s="372"/>
      <c r="C57" s="39">
        <v>-473</v>
      </c>
      <c r="D57" s="372"/>
      <c r="E57" s="372"/>
      <c r="F57" s="372"/>
      <c r="G57" s="372"/>
      <c r="H57" s="372"/>
      <c r="I57" s="372"/>
      <c r="J57" s="372"/>
      <c r="K57" s="372"/>
      <c r="L57" s="372"/>
      <c r="M57" s="360"/>
      <c r="N57" s="372"/>
      <c r="O57" s="372"/>
      <c r="P57" s="70"/>
      <c r="Q57" s="372"/>
    </row>
    <row r="58" spans="1:20" ht="15" hidden="1" customHeight="1" x14ac:dyDescent="0.3">
      <c r="A58" s="367">
        <v>18</v>
      </c>
      <c r="B58" s="370" t="s">
        <v>59</v>
      </c>
      <c r="C58" s="37">
        <v>11445</v>
      </c>
      <c r="D58" s="370">
        <v>1</v>
      </c>
      <c r="E58" s="370" t="s">
        <v>60</v>
      </c>
      <c r="F58" s="370">
        <v>1450</v>
      </c>
      <c r="G58" s="370">
        <v>1100</v>
      </c>
      <c r="H58" s="370" t="s">
        <v>61</v>
      </c>
      <c r="I58" s="370">
        <v>150</v>
      </c>
      <c r="J58" s="370" t="s">
        <v>45</v>
      </c>
      <c r="K58" s="370">
        <v>50</v>
      </c>
      <c r="L58" s="370">
        <v>43.5</v>
      </c>
      <c r="M58" s="358" t="s">
        <v>14</v>
      </c>
      <c r="N58" s="370" t="s">
        <v>51</v>
      </c>
      <c r="O58" s="370" t="s">
        <v>27</v>
      </c>
      <c r="P58" s="68"/>
      <c r="Q58" s="370" t="s">
        <v>52</v>
      </c>
      <c r="T58" s="200">
        <v>1</v>
      </c>
    </row>
    <row r="59" spans="1:20" ht="15" customHeight="1" x14ac:dyDescent="0.3">
      <c r="A59" s="368"/>
      <c r="B59" s="371"/>
      <c r="C59" s="38">
        <v>8350</v>
      </c>
      <c r="D59" s="371"/>
      <c r="E59" s="371"/>
      <c r="F59" s="371"/>
      <c r="G59" s="371"/>
      <c r="H59" s="371"/>
      <c r="I59" s="371"/>
      <c r="J59" s="371"/>
      <c r="K59" s="371"/>
      <c r="L59" s="371"/>
      <c r="M59" s="359"/>
      <c r="N59" s="371"/>
      <c r="O59" s="371"/>
      <c r="P59" s="224">
        <v>44066</v>
      </c>
      <c r="Q59" s="371"/>
    </row>
    <row r="60" spans="1:20" ht="15" customHeight="1" thickBot="1" x14ac:dyDescent="0.35">
      <c r="A60" s="369"/>
      <c r="B60" s="372"/>
      <c r="C60" s="39">
        <v>-473</v>
      </c>
      <c r="D60" s="372"/>
      <c r="E60" s="372"/>
      <c r="F60" s="372"/>
      <c r="G60" s="372"/>
      <c r="H60" s="372"/>
      <c r="I60" s="372"/>
      <c r="J60" s="372"/>
      <c r="K60" s="372"/>
      <c r="L60" s="372"/>
      <c r="M60" s="360"/>
      <c r="N60" s="372"/>
      <c r="O60" s="372"/>
      <c r="P60" s="70"/>
      <c r="Q60" s="372"/>
    </row>
    <row r="61" spans="1:20" ht="15" hidden="1" customHeight="1" x14ac:dyDescent="0.3">
      <c r="A61" s="367">
        <v>19</v>
      </c>
      <c r="B61" s="370" t="s">
        <v>59</v>
      </c>
      <c r="C61" s="37">
        <v>10820</v>
      </c>
      <c r="D61" s="370">
        <v>1</v>
      </c>
      <c r="E61" s="370" t="s">
        <v>60</v>
      </c>
      <c r="F61" s="370">
        <v>1450</v>
      </c>
      <c r="G61" s="370">
        <v>1100</v>
      </c>
      <c r="H61" s="370" t="s">
        <v>61</v>
      </c>
      <c r="I61" s="370">
        <v>150</v>
      </c>
      <c r="J61" s="370" t="s">
        <v>45</v>
      </c>
      <c r="K61" s="370">
        <v>50</v>
      </c>
      <c r="L61" s="370">
        <v>43.5</v>
      </c>
      <c r="M61" s="358" t="s">
        <v>14</v>
      </c>
      <c r="N61" s="370" t="s">
        <v>51</v>
      </c>
      <c r="O61" s="370" t="s">
        <v>27</v>
      </c>
      <c r="P61" s="68"/>
      <c r="Q61" s="370" t="s">
        <v>52</v>
      </c>
      <c r="T61" s="200">
        <v>1</v>
      </c>
    </row>
    <row r="62" spans="1:20" ht="15" customHeight="1" x14ac:dyDescent="0.3">
      <c r="A62" s="368"/>
      <c r="B62" s="371"/>
      <c r="C62" s="38">
        <v>6915</v>
      </c>
      <c r="D62" s="371"/>
      <c r="E62" s="371"/>
      <c r="F62" s="371"/>
      <c r="G62" s="371"/>
      <c r="H62" s="371"/>
      <c r="I62" s="371"/>
      <c r="J62" s="371"/>
      <c r="K62" s="371"/>
      <c r="L62" s="371"/>
      <c r="M62" s="359"/>
      <c r="N62" s="371"/>
      <c r="O62" s="371"/>
      <c r="P62" s="224">
        <v>44066</v>
      </c>
      <c r="Q62" s="371"/>
    </row>
    <row r="63" spans="1:20" ht="15" customHeight="1" thickBot="1" x14ac:dyDescent="0.35">
      <c r="A63" s="369"/>
      <c r="B63" s="372"/>
      <c r="C63" s="39">
        <v>-473</v>
      </c>
      <c r="D63" s="372"/>
      <c r="E63" s="372"/>
      <c r="F63" s="372"/>
      <c r="G63" s="372"/>
      <c r="H63" s="372"/>
      <c r="I63" s="372"/>
      <c r="J63" s="372"/>
      <c r="K63" s="372"/>
      <c r="L63" s="372"/>
      <c r="M63" s="360"/>
      <c r="N63" s="372"/>
      <c r="O63" s="372"/>
      <c r="P63" s="70"/>
      <c r="Q63" s="372"/>
    </row>
    <row r="64" spans="1:20" ht="15" hidden="1" customHeight="1" x14ac:dyDescent="0.3">
      <c r="A64" s="367">
        <v>20</v>
      </c>
      <c r="B64" s="370" t="s">
        <v>62</v>
      </c>
      <c r="C64" s="37">
        <v>11620</v>
      </c>
      <c r="D64" s="370">
        <v>1</v>
      </c>
      <c r="E64" s="370" t="s">
        <v>63</v>
      </c>
      <c r="F64" s="370">
        <v>1450</v>
      </c>
      <c r="G64" s="370">
        <v>1100</v>
      </c>
      <c r="H64" s="370" t="s">
        <v>12</v>
      </c>
      <c r="I64" s="370">
        <v>150</v>
      </c>
      <c r="J64" s="370" t="s">
        <v>45</v>
      </c>
      <c r="K64" s="370">
        <v>50</v>
      </c>
      <c r="L64" s="370">
        <v>44</v>
      </c>
      <c r="M64" s="358" t="s">
        <v>14</v>
      </c>
      <c r="N64" s="370" t="s">
        <v>51</v>
      </c>
      <c r="O64" s="370" t="s">
        <v>27</v>
      </c>
      <c r="P64" s="68"/>
      <c r="Q64" s="370" t="s">
        <v>52</v>
      </c>
      <c r="T64" s="200">
        <v>1</v>
      </c>
    </row>
    <row r="65" spans="1:20" ht="15" customHeight="1" x14ac:dyDescent="0.3">
      <c r="A65" s="368"/>
      <c r="B65" s="371"/>
      <c r="C65" s="38">
        <v>2825</v>
      </c>
      <c r="D65" s="371"/>
      <c r="E65" s="371"/>
      <c r="F65" s="371"/>
      <c r="G65" s="371"/>
      <c r="H65" s="371"/>
      <c r="I65" s="371"/>
      <c r="J65" s="371"/>
      <c r="K65" s="371"/>
      <c r="L65" s="371"/>
      <c r="M65" s="359"/>
      <c r="N65" s="371"/>
      <c r="O65" s="371"/>
      <c r="P65" s="224">
        <v>44066</v>
      </c>
      <c r="Q65" s="371"/>
    </row>
    <row r="66" spans="1:20" ht="15" customHeight="1" thickBot="1" x14ac:dyDescent="0.35">
      <c r="A66" s="369"/>
      <c r="B66" s="372"/>
      <c r="C66" s="39">
        <v>-473</v>
      </c>
      <c r="D66" s="372"/>
      <c r="E66" s="372"/>
      <c r="F66" s="372"/>
      <c r="G66" s="372"/>
      <c r="H66" s="372"/>
      <c r="I66" s="372"/>
      <c r="J66" s="372"/>
      <c r="K66" s="372"/>
      <c r="L66" s="372"/>
      <c r="M66" s="360"/>
      <c r="N66" s="372"/>
      <c r="O66" s="372"/>
      <c r="P66" s="70"/>
      <c r="Q66" s="372"/>
    </row>
    <row r="67" spans="1:20" ht="15" hidden="1" customHeight="1" x14ac:dyDescent="0.3">
      <c r="A67" s="367">
        <v>21</v>
      </c>
      <c r="B67" s="370" t="s">
        <v>64</v>
      </c>
      <c r="C67" s="37">
        <v>11825</v>
      </c>
      <c r="D67" s="370">
        <v>1</v>
      </c>
      <c r="E67" s="370" t="s">
        <v>49</v>
      </c>
      <c r="F67" s="370">
        <v>1450</v>
      </c>
      <c r="G67" s="370">
        <v>1100</v>
      </c>
      <c r="H67" s="370" t="s">
        <v>50</v>
      </c>
      <c r="I67" s="370">
        <v>190</v>
      </c>
      <c r="J67" s="370" t="s">
        <v>45</v>
      </c>
      <c r="K67" s="370">
        <v>50</v>
      </c>
      <c r="L67" s="370">
        <v>20.5</v>
      </c>
      <c r="M67" s="358" t="s">
        <v>14</v>
      </c>
      <c r="N67" s="370" t="s">
        <v>51</v>
      </c>
      <c r="O67" s="370" t="s">
        <v>27</v>
      </c>
      <c r="P67" s="68"/>
      <c r="Q67" s="370" t="s">
        <v>52</v>
      </c>
      <c r="T67" s="200">
        <v>1</v>
      </c>
    </row>
    <row r="68" spans="1:20" ht="15" customHeight="1" x14ac:dyDescent="0.3">
      <c r="A68" s="368"/>
      <c r="B68" s="371"/>
      <c r="C68" s="38">
        <v>385</v>
      </c>
      <c r="D68" s="371"/>
      <c r="E68" s="371"/>
      <c r="F68" s="371"/>
      <c r="G68" s="371"/>
      <c r="H68" s="371"/>
      <c r="I68" s="371"/>
      <c r="J68" s="371"/>
      <c r="K68" s="371"/>
      <c r="L68" s="371"/>
      <c r="M68" s="359"/>
      <c r="N68" s="371"/>
      <c r="O68" s="371"/>
      <c r="P68" s="224">
        <v>44066</v>
      </c>
      <c r="Q68" s="371"/>
    </row>
    <row r="69" spans="1:20" ht="15" customHeight="1" thickBot="1" x14ac:dyDescent="0.35">
      <c r="A69" s="369"/>
      <c r="B69" s="372"/>
      <c r="C69" s="39">
        <v>-474</v>
      </c>
      <c r="D69" s="372"/>
      <c r="E69" s="372"/>
      <c r="F69" s="372"/>
      <c r="G69" s="372"/>
      <c r="H69" s="372"/>
      <c r="I69" s="372"/>
      <c r="J69" s="372"/>
      <c r="K69" s="372"/>
      <c r="L69" s="372"/>
      <c r="M69" s="360"/>
      <c r="N69" s="372"/>
      <c r="O69" s="372"/>
      <c r="P69" s="70"/>
      <c r="Q69" s="372"/>
    </row>
    <row r="70" spans="1:20" ht="15" hidden="1" customHeight="1" x14ac:dyDescent="0.3">
      <c r="A70" s="367">
        <v>22</v>
      </c>
      <c r="B70" s="370" t="s">
        <v>57</v>
      </c>
      <c r="C70" s="37">
        <v>17390</v>
      </c>
      <c r="D70" s="370">
        <v>1</v>
      </c>
      <c r="E70" s="370" t="s">
        <v>58</v>
      </c>
      <c r="F70" s="370">
        <v>1450</v>
      </c>
      <c r="G70" s="370">
        <v>1100</v>
      </c>
      <c r="H70" s="370" t="s">
        <v>44</v>
      </c>
      <c r="I70" s="370">
        <v>150</v>
      </c>
      <c r="J70" s="370" t="s">
        <v>45</v>
      </c>
      <c r="K70" s="370">
        <v>50</v>
      </c>
      <c r="L70" s="370">
        <v>45</v>
      </c>
      <c r="M70" s="358" t="s">
        <v>14</v>
      </c>
      <c r="N70" s="370" t="s">
        <v>51</v>
      </c>
      <c r="O70" s="370" t="s">
        <v>27</v>
      </c>
      <c r="P70" s="68"/>
      <c r="Q70" s="370" t="s">
        <v>52</v>
      </c>
      <c r="T70" s="200">
        <v>1</v>
      </c>
    </row>
    <row r="71" spans="1:20" ht="15" customHeight="1" x14ac:dyDescent="0.3">
      <c r="A71" s="368"/>
      <c r="B71" s="371"/>
      <c r="C71" s="38">
        <v>135</v>
      </c>
      <c r="D71" s="371"/>
      <c r="E71" s="371"/>
      <c r="F71" s="371"/>
      <c r="G71" s="371"/>
      <c r="H71" s="371"/>
      <c r="I71" s="371"/>
      <c r="J71" s="371"/>
      <c r="K71" s="371"/>
      <c r="L71" s="371"/>
      <c r="M71" s="359"/>
      <c r="N71" s="371"/>
      <c r="O71" s="371"/>
      <c r="P71" s="224">
        <v>44066</v>
      </c>
      <c r="Q71" s="371"/>
    </row>
    <row r="72" spans="1:20" ht="15" customHeight="1" thickBot="1" x14ac:dyDescent="0.35">
      <c r="A72" s="369"/>
      <c r="B72" s="372"/>
      <c r="C72" s="39">
        <v>-473</v>
      </c>
      <c r="D72" s="372"/>
      <c r="E72" s="372"/>
      <c r="F72" s="372"/>
      <c r="G72" s="372"/>
      <c r="H72" s="372"/>
      <c r="I72" s="372"/>
      <c r="J72" s="372"/>
      <c r="K72" s="372"/>
      <c r="L72" s="372"/>
      <c r="M72" s="360"/>
      <c r="N72" s="372"/>
      <c r="O72" s="372"/>
      <c r="P72" s="70"/>
      <c r="Q72" s="372"/>
    </row>
    <row r="73" spans="1:20" ht="15" hidden="1" customHeight="1" x14ac:dyDescent="0.3">
      <c r="A73" s="367">
        <v>23</v>
      </c>
      <c r="B73" s="370" t="s">
        <v>56</v>
      </c>
      <c r="C73" s="37">
        <v>18085</v>
      </c>
      <c r="D73" s="370">
        <v>1</v>
      </c>
      <c r="E73" s="370" t="s">
        <v>25</v>
      </c>
      <c r="F73" s="370">
        <v>1450</v>
      </c>
      <c r="G73" s="370">
        <v>1100</v>
      </c>
      <c r="H73" s="370" t="s">
        <v>55</v>
      </c>
      <c r="I73" s="370">
        <v>150</v>
      </c>
      <c r="J73" s="370" t="s">
        <v>45</v>
      </c>
      <c r="K73" s="370">
        <v>50</v>
      </c>
      <c r="L73" s="370">
        <v>50</v>
      </c>
      <c r="M73" s="358" t="s">
        <v>14</v>
      </c>
      <c r="N73" s="370" t="s">
        <v>51</v>
      </c>
      <c r="O73" s="370" t="s">
        <v>27</v>
      </c>
      <c r="P73" s="68"/>
      <c r="Q73" s="370" t="s">
        <v>52</v>
      </c>
      <c r="T73" s="200">
        <v>1</v>
      </c>
    </row>
    <row r="74" spans="1:20" ht="15" customHeight="1" x14ac:dyDescent="0.3">
      <c r="A74" s="368"/>
      <c r="B74" s="371"/>
      <c r="C74" s="38">
        <v>50</v>
      </c>
      <c r="D74" s="371"/>
      <c r="E74" s="371"/>
      <c r="F74" s="371"/>
      <c r="G74" s="371"/>
      <c r="H74" s="371"/>
      <c r="I74" s="371"/>
      <c r="J74" s="371"/>
      <c r="K74" s="371"/>
      <c r="L74" s="371"/>
      <c r="M74" s="359"/>
      <c r="N74" s="371"/>
      <c r="O74" s="371"/>
      <c r="P74" s="224">
        <v>44066</v>
      </c>
      <c r="Q74" s="371"/>
    </row>
    <row r="75" spans="1:20" ht="15" customHeight="1" thickBot="1" x14ac:dyDescent="0.35">
      <c r="A75" s="369"/>
      <c r="B75" s="372"/>
      <c r="C75" s="39">
        <v>-474</v>
      </c>
      <c r="D75" s="372"/>
      <c r="E75" s="372"/>
      <c r="F75" s="372"/>
      <c r="G75" s="372"/>
      <c r="H75" s="372"/>
      <c r="I75" s="372"/>
      <c r="J75" s="372"/>
      <c r="K75" s="372"/>
      <c r="L75" s="372"/>
      <c r="M75" s="360"/>
      <c r="N75" s="372"/>
      <c r="O75" s="372"/>
      <c r="P75" s="70"/>
      <c r="Q75" s="372"/>
    </row>
    <row r="76" spans="1:20" ht="15" hidden="1" customHeight="1" x14ac:dyDescent="0.3">
      <c r="A76" s="367">
        <v>24</v>
      </c>
      <c r="B76" s="370" t="s">
        <v>54</v>
      </c>
      <c r="C76" s="37">
        <v>11940</v>
      </c>
      <c r="D76" s="370">
        <v>1</v>
      </c>
      <c r="E76" s="370" t="s">
        <v>25</v>
      </c>
      <c r="F76" s="370">
        <v>1450</v>
      </c>
      <c r="G76" s="370">
        <v>1100</v>
      </c>
      <c r="H76" s="370" t="s">
        <v>55</v>
      </c>
      <c r="I76" s="370">
        <v>150</v>
      </c>
      <c r="J76" s="370" t="s">
        <v>45</v>
      </c>
      <c r="K76" s="370">
        <v>50</v>
      </c>
      <c r="L76" s="370">
        <v>50</v>
      </c>
      <c r="M76" s="358" t="s">
        <v>14</v>
      </c>
      <c r="N76" s="370" t="s">
        <v>51</v>
      </c>
      <c r="O76" s="370" t="s">
        <v>27</v>
      </c>
      <c r="P76" s="68"/>
      <c r="Q76" s="370" t="s">
        <v>52</v>
      </c>
      <c r="T76" s="200">
        <v>1</v>
      </c>
    </row>
    <row r="77" spans="1:20" ht="15" customHeight="1" x14ac:dyDescent="0.3">
      <c r="A77" s="368"/>
      <c r="B77" s="371"/>
      <c r="C77" s="38">
        <v>-2805</v>
      </c>
      <c r="D77" s="371"/>
      <c r="E77" s="371"/>
      <c r="F77" s="371"/>
      <c r="G77" s="371"/>
      <c r="H77" s="371"/>
      <c r="I77" s="371"/>
      <c r="J77" s="371"/>
      <c r="K77" s="371"/>
      <c r="L77" s="371"/>
      <c r="M77" s="359"/>
      <c r="N77" s="371"/>
      <c r="O77" s="371"/>
      <c r="P77" s="69"/>
      <c r="Q77" s="371"/>
    </row>
    <row r="78" spans="1:20" ht="15" customHeight="1" thickBot="1" x14ac:dyDescent="0.35">
      <c r="A78" s="369"/>
      <c r="B78" s="372"/>
      <c r="C78" s="39">
        <v>-474</v>
      </c>
      <c r="D78" s="372"/>
      <c r="E78" s="372"/>
      <c r="F78" s="372"/>
      <c r="G78" s="372"/>
      <c r="H78" s="372"/>
      <c r="I78" s="372"/>
      <c r="J78" s="372"/>
      <c r="K78" s="372"/>
      <c r="L78" s="372"/>
      <c r="M78" s="360"/>
      <c r="N78" s="372"/>
      <c r="O78" s="372"/>
      <c r="P78" s="225">
        <v>44066</v>
      </c>
      <c r="Q78" s="372"/>
    </row>
    <row r="79" spans="1:20" ht="15" hidden="1" customHeight="1" x14ac:dyDescent="0.3">
      <c r="A79" s="367">
        <v>25</v>
      </c>
      <c r="B79" s="370" t="s">
        <v>54</v>
      </c>
      <c r="C79" s="37">
        <v>11940</v>
      </c>
      <c r="D79" s="370">
        <v>1</v>
      </c>
      <c r="E79" s="370" t="s">
        <v>25</v>
      </c>
      <c r="F79" s="370">
        <v>1450</v>
      </c>
      <c r="G79" s="370">
        <v>1100</v>
      </c>
      <c r="H79" s="370" t="s">
        <v>55</v>
      </c>
      <c r="I79" s="370">
        <v>150</v>
      </c>
      <c r="J79" s="370" t="s">
        <v>45</v>
      </c>
      <c r="K79" s="370">
        <v>50</v>
      </c>
      <c r="L79" s="370">
        <v>50</v>
      </c>
      <c r="M79" s="358" t="s">
        <v>14</v>
      </c>
      <c r="N79" s="370" t="s">
        <v>51</v>
      </c>
      <c r="O79" s="370" t="s">
        <v>27</v>
      </c>
      <c r="P79" s="68"/>
      <c r="Q79" s="370" t="s">
        <v>52</v>
      </c>
      <c r="T79" s="200">
        <v>1</v>
      </c>
    </row>
    <row r="80" spans="1:20" ht="15" customHeight="1" x14ac:dyDescent="0.3">
      <c r="A80" s="368"/>
      <c r="B80" s="371"/>
      <c r="C80" s="38">
        <v>-4105</v>
      </c>
      <c r="D80" s="371"/>
      <c r="E80" s="371"/>
      <c r="F80" s="371"/>
      <c r="G80" s="371"/>
      <c r="H80" s="371"/>
      <c r="I80" s="371"/>
      <c r="J80" s="371"/>
      <c r="K80" s="371"/>
      <c r="L80" s="371"/>
      <c r="M80" s="359"/>
      <c r="N80" s="371"/>
      <c r="O80" s="371"/>
      <c r="P80" s="69"/>
      <c r="Q80" s="371"/>
    </row>
    <row r="81" spans="1:20" ht="15" customHeight="1" thickBot="1" x14ac:dyDescent="0.35">
      <c r="A81" s="369"/>
      <c r="B81" s="372"/>
      <c r="C81" s="39">
        <v>-474</v>
      </c>
      <c r="D81" s="372"/>
      <c r="E81" s="372"/>
      <c r="F81" s="372"/>
      <c r="G81" s="372"/>
      <c r="H81" s="372"/>
      <c r="I81" s="372"/>
      <c r="J81" s="372"/>
      <c r="K81" s="372"/>
      <c r="L81" s="372"/>
      <c r="M81" s="360"/>
      <c r="N81" s="372"/>
      <c r="O81" s="372"/>
      <c r="P81" s="225">
        <v>44066</v>
      </c>
      <c r="Q81" s="372"/>
    </row>
    <row r="82" spans="1:20" ht="15" hidden="1" customHeight="1" x14ac:dyDescent="0.3">
      <c r="A82" s="367">
        <v>26</v>
      </c>
      <c r="B82" s="370" t="s">
        <v>59</v>
      </c>
      <c r="C82" s="37">
        <v>15600</v>
      </c>
      <c r="D82" s="370">
        <v>1</v>
      </c>
      <c r="E82" s="370" t="s">
        <v>60</v>
      </c>
      <c r="F82" s="370">
        <v>1450</v>
      </c>
      <c r="G82" s="370">
        <v>1100</v>
      </c>
      <c r="H82" s="370" t="s">
        <v>61</v>
      </c>
      <c r="I82" s="370">
        <v>150</v>
      </c>
      <c r="J82" s="370" t="s">
        <v>45</v>
      </c>
      <c r="K82" s="370">
        <v>50</v>
      </c>
      <c r="L82" s="370">
        <v>43.5</v>
      </c>
      <c r="M82" s="358" t="s">
        <v>14</v>
      </c>
      <c r="N82" s="370" t="s">
        <v>53</v>
      </c>
      <c r="O82" s="370" t="s">
        <v>27</v>
      </c>
      <c r="P82" s="68"/>
      <c r="Q82" s="370" t="s">
        <v>52</v>
      </c>
      <c r="T82" s="200">
        <v>1</v>
      </c>
    </row>
    <row r="83" spans="1:20" ht="15" customHeight="1" x14ac:dyDescent="0.3">
      <c r="A83" s="368"/>
      <c r="B83" s="371"/>
      <c r="C83" s="38">
        <v>-7450</v>
      </c>
      <c r="D83" s="371"/>
      <c r="E83" s="371"/>
      <c r="F83" s="371"/>
      <c r="G83" s="371"/>
      <c r="H83" s="371"/>
      <c r="I83" s="371"/>
      <c r="J83" s="371"/>
      <c r="K83" s="371"/>
      <c r="L83" s="371"/>
      <c r="M83" s="359"/>
      <c r="N83" s="371"/>
      <c r="O83" s="371"/>
      <c r="P83" s="224">
        <v>44066</v>
      </c>
      <c r="Q83" s="371"/>
    </row>
    <row r="84" spans="1:20" ht="15" customHeight="1" thickBot="1" x14ac:dyDescent="0.35">
      <c r="A84" s="369"/>
      <c r="B84" s="372"/>
      <c r="C84" s="39">
        <v>-473</v>
      </c>
      <c r="D84" s="372"/>
      <c r="E84" s="372"/>
      <c r="F84" s="372"/>
      <c r="G84" s="372"/>
      <c r="H84" s="372"/>
      <c r="I84" s="372"/>
      <c r="J84" s="372"/>
      <c r="K84" s="372"/>
      <c r="L84" s="372"/>
      <c r="M84" s="360"/>
      <c r="N84" s="372"/>
      <c r="O84" s="372"/>
      <c r="P84" s="70"/>
      <c r="Q84" s="372"/>
    </row>
    <row r="85" spans="1:20" ht="15" hidden="1" customHeight="1" x14ac:dyDescent="0.3">
      <c r="A85" s="367">
        <v>27</v>
      </c>
      <c r="B85" s="370" t="s">
        <v>56</v>
      </c>
      <c r="C85" s="37">
        <v>9845</v>
      </c>
      <c r="D85" s="370">
        <v>1</v>
      </c>
      <c r="E85" s="370" t="s">
        <v>25</v>
      </c>
      <c r="F85" s="370">
        <v>1450</v>
      </c>
      <c r="G85" s="370">
        <v>1100</v>
      </c>
      <c r="H85" s="370" t="s">
        <v>55</v>
      </c>
      <c r="I85" s="370">
        <v>150</v>
      </c>
      <c r="J85" s="370" t="s">
        <v>45</v>
      </c>
      <c r="K85" s="370">
        <v>50</v>
      </c>
      <c r="L85" s="370">
        <v>50</v>
      </c>
      <c r="M85" s="358" t="s">
        <v>14</v>
      </c>
      <c r="N85" s="370" t="s">
        <v>53</v>
      </c>
      <c r="O85" s="370" t="s">
        <v>27</v>
      </c>
      <c r="P85" s="68"/>
      <c r="Q85" s="370" t="s">
        <v>52</v>
      </c>
      <c r="T85" s="200">
        <v>1</v>
      </c>
    </row>
    <row r="86" spans="1:20" ht="15" customHeight="1" x14ac:dyDescent="0.3">
      <c r="A86" s="368"/>
      <c r="B86" s="371"/>
      <c r="C86" s="38">
        <v>-7860</v>
      </c>
      <c r="D86" s="371"/>
      <c r="E86" s="371"/>
      <c r="F86" s="371"/>
      <c r="G86" s="371"/>
      <c r="H86" s="371"/>
      <c r="I86" s="371"/>
      <c r="J86" s="371"/>
      <c r="K86" s="371"/>
      <c r="L86" s="371"/>
      <c r="M86" s="359"/>
      <c r="N86" s="371"/>
      <c r="O86" s="371"/>
      <c r="P86" s="69"/>
      <c r="Q86" s="371"/>
    </row>
    <row r="87" spans="1:20" ht="15" customHeight="1" thickBot="1" x14ac:dyDescent="0.35">
      <c r="A87" s="369"/>
      <c r="B87" s="372"/>
      <c r="C87" s="39">
        <v>-474</v>
      </c>
      <c r="D87" s="372"/>
      <c r="E87" s="372"/>
      <c r="F87" s="372"/>
      <c r="G87" s="372"/>
      <c r="H87" s="372"/>
      <c r="I87" s="372"/>
      <c r="J87" s="372"/>
      <c r="K87" s="372"/>
      <c r="L87" s="372"/>
      <c r="M87" s="360"/>
      <c r="N87" s="372"/>
      <c r="O87" s="372"/>
      <c r="P87" s="225">
        <v>44066</v>
      </c>
      <c r="Q87" s="372"/>
    </row>
    <row r="88" spans="1:20" ht="15" hidden="1" customHeight="1" x14ac:dyDescent="0.3">
      <c r="A88" s="367">
        <v>28</v>
      </c>
      <c r="B88" s="370" t="s">
        <v>57</v>
      </c>
      <c r="C88" s="37">
        <v>9845</v>
      </c>
      <c r="D88" s="370">
        <v>1</v>
      </c>
      <c r="E88" s="370" t="s">
        <v>58</v>
      </c>
      <c r="F88" s="370">
        <v>1450</v>
      </c>
      <c r="G88" s="370">
        <v>1100</v>
      </c>
      <c r="H88" s="370" t="s">
        <v>44</v>
      </c>
      <c r="I88" s="370">
        <v>150</v>
      </c>
      <c r="J88" s="370" t="s">
        <v>45</v>
      </c>
      <c r="K88" s="370">
        <v>50</v>
      </c>
      <c r="L88" s="370">
        <v>45</v>
      </c>
      <c r="M88" s="358" t="s">
        <v>14</v>
      </c>
      <c r="N88" s="370" t="s">
        <v>53</v>
      </c>
      <c r="O88" s="370" t="s">
        <v>27</v>
      </c>
      <c r="P88" s="68"/>
      <c r="Q88" s="370" t="s">
        <v>52</v>
      </c>
      <c r="T88" s="200">
        <v>1</v>
      </c>
    </row>
    <row r="89" spans="1:20" ht="15" customHeight="1" x14ac:dyDescent="0.3">
      <c r="A89" s="368"/>
      <c r="B89" s="371"/>
      <c r="C89" s="38">
        <v>-8780</v>
      </c>
      <c r="D89" s="371"/>
      <c r="E89" s="371"/>
      <c r="F89" s="371"/>
      <c r="G89" s="371"/>
      <c r="H89" s="371"/>
      <c r="I89" s="371"/>
      <c r="J89" s="371"/>
      <c r="K89" s="371"/>
      <c r="L89" s="371"/>
      <c r="M89" s="359"/>
      <c r="N89" s="371"/>
      <c r="O89" s="371"/>
      <c r="P89" s="224">
        <v>44066</v>
      </c>
      <c r="Q89" s="371"/>
    </row>
    <row r="90" spans="1:20" ht="15" customHeight="1" thickBot="1" x14ac:dyDescent="0.35">
      <c r="A90" s="369"/>
      <c r="B90" s="372"/>
      <c r="C90" s="39">
        <v>-473</v>
      </c>
      <c r="D90" s="372"/>
      <c r="E90" s="372"/>
      <c r="F90" s="372"/>
      <c r="G90" s="372"/>
      <c r="H90" s="372"/>
      <c r="I90" s="372"/>
      <c r="J90" s="372"/>
      <c r="K90" s="372"/>
      <c r="L90" s="372"/>
      <c r="M90" s="360"/>
      <c r="N90" s="372"/>
      <c r="O90" s="372"/>
      <c r="P90" s="70"/>
      <c r="Q90" s="372"/>
    </row>
    <row r="91" spans="1:20" ht="15" hidden="1" customHeight="1" x14ac:dyDescent="0.3">
      <c r="A91" s="367">
        <v>29</v>
      </c>
      <c r="B91" s="370" t="s">
        <v>54</v>
      </c>
      <c r="C91" s="37">
        <v>3210</v>
      </c>
      <c r="D91" s="370">
        <v>1</v>
      </c>
      <c r="E91" s="370" t="s">
        <v>25</v>
      </c>
      <c r="F91" s="370">
        <v>1450</v>
      </c>
      <c r="G91" s="370">
        <v>1100</v>
      </c>
      <c r="H91" s="370" t="s">
        <v>55</v>
      </c>
      <c r="I91" s="370">
        <v>150</v>
      </c>
      <c r="J91" s="370" t="s">
        <v>45</v>
      </c>
      <c r="K91" s="370">
        <v>50</v>
      </c>
      <c r="L91" s="370">
        <v>50</v>
      </c>
      <c r="M91" s="358" t="s">
        <v>14</v>
      </c>
      <c r="N91" s="370" t="s">
        <v>53</v>
      </c>
      <c r="O91" s="370" t="s">
        <v>27</v>
      </c>
      <c r="P91" s="223">
        <v>44066</v>
      </c>
      <c r="Q91" s="370" t="s">
        <v>52</v>
      </c>
      <c r="T91" s="200">
        <v>1</v>
      </c>
    </row>
    <row r="92" spans="1:20" ht="15" customHeight="1" x14ac:dyDescent="0.3">
      <c r="A92" s="368"/>
      <c r="B92" s="371"/>
      <c r="C92" s="38">
        <v>-9230</v>
      </c>
      <c r="D92" s="371"/>
      <c r="E92" s="371"/>
      <c r="F92" s="371"/>
      <c r="G92" s="371"/>
      <c r="H92" s="371"/>
      <c r="I92" s="371"/>
      <c r="J92" s="371"/>
      <c r="K92" s="371"/>
      <c r="L92" s="371"/>
      <c r="M92" s="359"/>
      <c r="N92" s="371"/>
      <c r="O92" s="371"/>
      <c r="P92" s="69"/>
      <c r="Q92" s="371"/>
    </row>
    <row r="93" spans="1:20" ht="15" customHeight="1" thickBot="1" x14ac:dyDescent="0.35">
      <c r="A93" s="369"/>
      <c r="B93" s="372"/>
      <c r="C93" s="39">
        <v>-474</v>
      </c>
      <c r="D93" s="372"/>
      <c r="E93" s="372"/>
      <c r="F93" s="372"/>
      <c r="G93" s="372"/>
      <c r="H93" s="372"/>
      <c r="I93" s="372"/>
      <c r="J93" s="372"/>
      <c r="K93" s="372"/>
      <c r="L93" s="372"/>
      <c r="M93" s="360"/>
      <c r="N93" s="372"/>
      <c r="O93" s="372"/>
      <c r="P93" s="70"/>
      <c r="Q93" s="372"/>
    </row>
    <row r="94" spans="1:20" ht="15" hidden="1" customHeight="1" x14ac:dyDescent="0.3">
      <c r="A94" s="367">
        <v>30</v>
      </c>
      <c r="B94" s="370" t="s">
        <v>54</v>
      </c>
      <c r="C94" s="37">
        <v>3210</v>
      </c>
      <c r="D94" s="370">
        <v>1</v>
      </c>
      <c r="E94" s="370" t="s">
        <v>25</v>
      </c>
      <c r="F94" s="370">
        <v>1450</v>
      </c>
      <c r="G94" s="370">
        <v>1100</v>
      </c>
      <c r="H94" s="370" t="s">
        <v>55</v>
      </c>
      <c r="I94" s="370">
        <v>150</v>
      </c>
      <c r="J94" s="370" t="s">
        <v>45</v>
      </c>
      <c r="K94" s="370">
        <v>50</v>
      </c>
      <c r="L94" s="370">
        <v>50</v>
      </c>
      <c r="M94" s="358" t="s">
        <v>14</v>
      </c>
      <c r="N94" s="370" t="s">
        <v>53</v>
      </c>
      <c r="O94" s="370" t="s">
        <v>27</v>
      </c>
      <c r="P94" s="68"/>
      <c r="Q94" s="370" t="s">
        <v>52</v>
      </c>
      <c r="T94" s="200">
        <v>1</v>
      </c>
    </row>
    <row r="95" spans="1:20" ht="15" customHeight="1" x14ac:dyDescent="0.3">
      <c r="A95" s="368"/>
      <c r="B95" s="371"/>
      <c r="C95" s="38">
        <v>-10530</v>
      </c>
      <c r="D95" s="371"/>
      <c r="E95" s="371"/>
      <c r="F95" s="371"/>
      <c r="G95" s="371"/>
      <c r="H95" s="371"/>
      <c r="I95" s="371"/>
      <c r="J95" s="371"/>
      <c r="K95" s="371"/>
      <c r="L95" s="371"/>
      <c r="M95" s="359"/>
      <c r="N95" s="371"/>
      <c r="O95" s="371"/>
      <c r="P95" s="224">
        <v>44066</v>
      </c>
      <c r="Q95" s="371"/>
    </row>
    <row r="96" spans="1:20" ht="15" customHeight="1" thickBot="1" x14ac:dyDescent="0.35">
      <c r="A96" s="369"/>
      <c r="B96" s="372"/>
      <c r="C96" s="39">
        <v>-474</v>
      </c>
      <c r="D96" s="372"/>
      <c r="E96" s="372"/>
      <c r="F96" s="372"/>
      <c r="G96" s="372"/>
      <c r="H96" s="372"/>
      <c r="I96" s="372"/>
      <c r="J96" s="372"/>
      <c r="K96" s="372"/>
      <c r="L96" s="372"/>
      <c r="M96" s="360"/>
      <c r="N96" s="372"/>
      <c r="O96" s="372"/>
      <c r="P96" s="70"/>
      <c r="Q96" s="372"/>
    </row>
    <row r="97" spans="1:20" ht="15" hidden="1" customHeight="1" x14ac:dyDescent="0.3">
      <c r="A97" s="367">
        <v>31</v>
      </c>
      <c r="B97" s="370" t="s">
        <v>59</v>
      </c>
      <c r="C97" s="37">
        <v>4415</v>
      </c>
      <c r="D97" s="370">
        <v>1</v>
      </c>
      <c r="E97" s="370" t="s">
        <v>60</v>
      </c>
      <c r="F97" s="370">
        <v>1450</v>
      </c>
      <c r="G97" s="370">
        <v>1100</v>
      </c>
      <c r="H97" s="370" t="s">
        <v>61</v>
      </c>
      <c r="I97" s="370">
        <v>150</v>
      </c>
      <c r="J97" s="370" t="s">
        <v>45</v>
      </c>
      <c r="K97" s="370">
        <v>50</v>
      </c>
      <c r="L97" s="370">
        <v>43.5</v>
      </c>
      <c r="M97" s="358" t="s">
        <v>14</v>
      </c>
      <c r="N97" s="370" t="s">
        <v>53</v>
      </c>
      <c r="O97" s="370" t="s">
        <v>27</v>
      </c>
      <c r="P97" s="68"/>
      <c r="Q97" s="370" t="s">
        <v>52</v>
      </c>
      <c r="T97" s="200">
        <v>1</v>
      </c>
    </row>
    <row r="98" spans="1:20" ht="15" customHeight="1" x14ac:dyDescent="0.3">
      <c r="A98" s="368"/>
      <c r="B98" s="371"/>
      <c r="C98" s="38">
        <v>-14900</v>
      </c>
      <c r="D98" s="371"/>
      <c r="E98" s="371"/>
      <c r="F98" s="371"/>
      <c r="G98" s="371"/>
      <c r="H98" s="371"/>
      <c r="I98" s="371"/>
      <c r="J98" s="371"/>
      <c r="K98" s="371"/>
      <c r="L98" s="371"/>
      <c r="M98" s="359"/>
      <c r="N98" s="371"/>
      <c r="O98" s="371"/>
      <c r="P98" s="224">
        <v>44066</v>
      </c>
      <c r="Q98" s="371"/>
    </row>
    <row r="99" spans="1:20" ht="15" customHeight="1" thickBot="1" x14ac:dyDescent="0.35">
      <c r="A99" s="369"/>
      <c r="B99" s="372"/>
      <c r="C99" s="39">
        <v>-473</v>
      </c>
      <c r="D99" s="372"/>
      <c r="E99" s="372"/>
      <c r="F99" s="372"/>
      <c r="G99" s="372"/>
      <c r="H99" s="372"/>
      <c r="I99" s="372"/>
      <c r="J99" s="372"/>
      <c r="K99" s="372"/>
      <c r="L99" s="372"/>
      <c r="M99" s="360"/>
      <c r="N99" s="372"/>
      <c r="O99" s="372"/>
      <c r="P99" s="70"/>
      <c r="Q99" s="372"/>
    </row>
    <row r="100" spans="1:20" ht="15" hidden="1" customHeight="1" x14ac:dyDescent="0.3">
      <c r="A100" s="367">
        <v>32</v>
      </c>
      <c r="B100" s="370" t="s">
        <v>56</v>
      </c>
      <c r="C100" s="37">
        <v>4990</v>
      </c>
      <c r="D100" s="370">
        <v>1</v>
      </c>
      <c r="E100" s="370" t="s">
        <v>25</v>
      </c>
      <c r="F100" s="370">
        <v>1450</v>
      </c>
      <c r="G100" s="370">
        <v>1100</v>
      </c>
      <c r="H100" s="370" t="s">
        <v>55</v>
      </c>
      <c r="I100" s="370">
        <v>150</v>
      </c>
      <c r="J100" s="370" t="s">
        <v>45</v>
      </c>
      <c r="K100" s="370">
        <v>50</v>
      </c>
      <c r="L100" s="370">
        <v>50</v>
      </c>
      <c r="M100" s="358" t="s">
        <v>14</v>
      </c>
      <c r="N100" s="370" t="s">
        <v>53</v>
      </c>
      <c r="O100" s="370" t="s">
        <v>27</v>
      </c>
      <c r="P100" s="68"/>
      <c r="Q100" s="370" t="s">
        <v>52</v>
      </c>
      <c r="T100" s="200">
        <v>1</v>
      </c>
    </row>
    <row r="101" spans="1:20" ht="15" customHeight="1" x14ac:dyDescent="0.3">
      <c r="A101" s="368"/>
      <c r="B101" s="371"/>
      <c r="C101" s="38">
        <v>-14900</v>
      </c>
      <c r="D101" s="371"/>
      <c r="E101" s="371"/>
      <c r="F101" s="371"/>
      <c r="G101" s="371"/>
      <c r="H101" s="371"/>
      <c r="I101" s="371"/>
      <c r="J101" s="371"/>
      <c r="K101" s="371"/>
      <c r="L101" s="371"/>
      <c r="M101" s="359"/>
      <c r="N101" s="371"/>
      <c r="O101" s="371"/>
      <c r="P101" s="69"/>
      <c r="Q101" s="371"/>
    </row>
    <row r="102" spans="1:20" ht="15" customHeight="1" thickBot="1" x14ac:dyDescent="0.35">
      <c r="A102" s="369"/>
      <c r="B102" s="372"/>
      <c r="C102" s="39">
        <v>-474</v>
      </c>
      <c r="D102" s="372"/>
      <c r="E102" s="372"/>
      <c r="F102" s="372"/>
      <c r="G102" s="372"/>
      <c r="H102" s="372"/>
      <c r="I102" s="372"/>
      <c r="J102" s="372"/>
      <c r="K102" s="372"/>
      <c r="L102" s="372"/>
      <c r="M102" s="360"/>
      <c r="N102" s="372"/>
      <c r="O102" s="372"/>
      <c r="P102" s="225">
        <v>44066</v>
      </c>
      <c r="Q102" s="372"/>
    </row>
    <row r="103" spans="1:20" ht="15" hidden="1" customHeight="1" x14ac:dyDescent="0.3">
      <c r="A103" s="367">
        <v>33</v>
      </c>
      <c r="B103" s="370" t="s">
        <v>57</v>
      </c>
      <c r="C103" s="37">
        <v>5640</v>
      </c>
      <c r="D103" s="370">
        <v>1</v>
      </c>
      <c r="E103" s="370" t="s">
        <v>58</v>
      </c>
      <c r="F103" s="370">
        <v>1450</v>
      </c>
      <c r="G103" s="370">
        <v>1100</v>
      </c>
      <c r="H103" s="370" t="s">
        <v>44</v>
      </c>
      <c r="I103" s="370">
        <v>150</v>
      </c>
      <c r="J103" s="370" t="s">
        <v>45</v>
      </c>
      <c r="K103" s="370">
        <v>50</v>
      </c>
      <c r="L103" s="370">
        <v>45</v>
      </c>
      <c r="M103" s="358" t="s">
        <v>14</v>
      </c>
      <c r="N103" s="370" t="s">
        <v>53</v>
      </c>
      <c r="O103" s="370" t="s">
        <v>27</v>
      </c>
      <c r="P103" s="68"/>
      <c r="Q103" s="370" t="s">
        <v>52</v>
      </c>
      <c r="T103" s="200">
        <v>1</v>
      </c>
    </row>
    <row r="104" spans="1:20" ht="15" customHeight="1" x14ac:dyDescent="0.3">
      <c r="A104" s="368"/>
      <c r="B104" s="371"/>
      <c r="C104" s="38">
        <v>-14900</v>
      </c>
      <c r="D104" s="371"/>
      <c r="E104" s="371"/>
      <c r="F104" s="371"/>
      <c r="G104" s="371"/>
      <c r="H104" s="371"/>
      <c r="I104" s="371"/>
      <c r="J104" s="371"/>
      <c r="K104" s="371"/>
      <c r="L104" s="371"/>
      <c r="M104" s="359"/>
      <c r="N104" s="371"/>
      <c r="O104" s="371"/>
      <c r="P104" s="224">
        <v>44066</v>
      </c>
      <c r="Q104" s="371"/>
    </row>
    <row r="105" spans="1:20" ht="15" customHeight="1" thickBot="1" x14ac:dyDescent="0.35">
      <c r="A105" s="369"/>
      <c r="B105" s="372"/>
      <c r="C105" s="39">
        <v>-473</v>
      </c>
      <c r="D105" s="372"/>
      <c r="E105" s="372"/>
      <c r="F105" s="372"/>
      <c r="G105" s="372"/>
      <c r="H105" s="372"/>
      <c r="I105" s="372"/>
      <c r="J105" s="372"/>
      <c r="K105" s="372"/>
      <c r="L105" s="372"/>
      <c r="M105" s="360"/>
      <c r="N105" s="372"/>
      <c r="O105" s="372"/>
      <c r="P105" s="70"/>
      <c r="Q105" s="372"/>
    </row>
    <row r="106" spans="1:20" ht="15" hidden="1" customHeight="1" x14ac:dyDescent="0.3">
      <c r="A106" s="367">
        <v>34</v>
      </c>
      <c r="B106" s="370" t="s">
        <v>54</v>
      </c>
      <c r="C106" s="37">
        <v>7400</v>
      </c>
      <c r="D106" s="370">
        <v>1</v>
      </c>
      <c r="E106" s="370" t="s">
        <v>25</v>
      </c>
      <c r="F106" s="370">
        <v>1450</v>
      </c>
      <c r="G106" s="370">
        <v>1100</v>
      </c>
      <c r="H106" s="370" t="s">
        <v>55</v>
      </c>
      <c r="I106" s="370">
        <v>150</v>
      </c>
      <c r="J106" s="370" t="s">
        <v>45</v>
      </c>
      <c r="K106" s="370">
        <v>50</v>
      </c>
      <c r="L106" s="370">
        <v>50</v>
      </c>
      <c r="M106" s="358" t="s">
        <v>14</v>
      </c>
      <c r="N106" s="370" t="s">
        <v>53</v>
      </c>
      <c r="O106" s="370" t="s">
        <v>27</v>
      </c>
      <c r="P106" s="68"/>
      <c r="Q106" s="370" t="s">
        <v>52</v>
      </c>
      <c r="T106" s="200">
        <v>1</v>
      </c>
    </row>
    <row r="107" spans="1:20" ht="15" customHeight="1" x14ac:dyDescent="0.3">
      <c r="A107" s="368"/>
      <c r="B107" s="371"/>
      <c r="C107" s="38">
        <v>-15155</v>
      </c>
      <c r="D107" s="371"/>
      <c r="E107" s="371"/>
      <c r="F107" s="371"/>
      <c r="G107" s="371"/>
      <c r="H107" s="371"/>
      <c r="I107" s="371"/>
      <c r="J107" s="371"/>
      <c r="K107" s="371"/>
      <c r="L107" s="371"/>
      <c r="M107" s="359"/>
      <c r="N107" s="371"/>
      <c r="O107" s="371"/>
      <c r="P107" s="224">
        <v>44066</v>
      </c>
      <c r="Q107" s="371"/>
    </row>
    <row r="108" spans="1:20" ht="15" customHeight="1" thickBot="1" x14ac:dyDescent="0.35">
      <c r="A108" s="369"/>
      <c r="B108" s="372"/>
      <c r="C108" s="39">
        <v>-474</v>
      </c>
      <c r="D108" s="372"/>
      <c r="E108" s="372"/>
      <c r="F108" s="372"/>
      <c r="G108" s="372"/>
      <c r="H108" s="372"/>
      <c r="I108" s="372"/>
      <c r="J108" s="372"/>
      <c r="K108" s="372"/>
      <c r="L108" s="372"/>
      <c r="M108" s="360"/>
      <c r="N108" s="372"/>
      <c r="O108" s="372"/>
      <c r="P108" s="70"/>
      <c r="Q108" s="372"/>
    </row>
    <row r="109" spans="1:20" ht="15" hidden="1" customHeight="1" x14ac:dyDescent="0.3">
      <c r="A109" s="367">
        <v>35</v>
      </c>
      <c r="B109" s="370" t="s">
        <v>54</v>
      </c>
      <c r="C109" s="37">
        <v>7400</v>
      </c>
      <c r="D109" s="370">
        <v>1</v>
      </c>
      <c r="E109" s="370" t="s">
        <v>25</v>
      </c>
      <c r="F109" s="370">
        <v>1450</v>
      </c>
      <c r="G109" s="370">
        <v>1100</v>
      </c>
      <c r="H109" s="370" t="s">
        <v>55</v>
      </c>
      <c r="I109" s="370">
        <v>150</v>
      </c>
      <c r="J109" s="370" t="s">
        <v>45</v>
      </c>
      <c r="K109" s="370">
        <v>50</v>
      </c>
      <c r="L109" s="370">
        <v>50</v>
      </c>
      <c r="M109" s="358" t="s">
        <v>14</v>
      </c>
      <c r="N109" s="370" t="s">
        <v>53</v>
      </c>
      <c r="O109" s="370" t="s">
        <v>27</v>
      </c>
      <c r="P109" s="68"/>
      <c r="Q109" s="370" t="s">
        <v>52</v>
      </c>
      <c r="T109" s="200">
        <v>1</v>
      </c>
    </row>
    <row r="110" spans="1:20" ht="15" customHeight="1" x14ac:dyDescent="0.3">
      <c r="A110" s="368"/>
      <c r="B110" s="371"/>
      <c r="C110" s="38">
        <v>-16455</v>
      </c>
      <c r="D110" s="371"/>
      <c r="E110" s="371"/>
      <c r="F110" s="371"/>
      <c r="G110" s="371"/>
      <c r="H110" s="371"/>
      <c r="I110" s="371"/>
      <c r="J110" s="371"/>
      <c r="K110" s="371"/>
      <c r="L110" s="371"/>
      <c r="M110" s="359"/>
      <c r="N110" s="371"/>
      <c r="O110" s="371"/>
      <c r="P110" s="224">
        <v>44066</v>
      </c>
      <c r="Q110" s="371"/>
    </row>
    <row r="111" spans="1:20" ht="15" customHeight="1" thickBot="1" x14ac:dyDescent="0.35">
      <c r="A111" s="369"/>
      <c r="B111" s="372"/>
      <c r="C111" s="39">
        <v>-474</v>
      </c>
      <c r="D111" s="372"/>
      <c r="E111" s="372"/>
      <c r="F111" s="372"/>
      <c r="G111" s="372"/>
      <c r="H111" s="372"/>
      <c r="I111" s="372"/>
      <c r="J111" s="372"/>
      <c r="K111" s="372"/>
      <c r="L111" s="372"/>
      <c r="M111" s="360"/>
      <c r="N111" s="372"/>
      <c r="O111" s="372"/>
      <c r="P111" s="70"/>
      <c r="Q111" s="372"/>
    </row>
    <row r="112" spans="1:20" ht="15" hidden="1" customHeight="1" x14ac:dyDescent="0.3">
      <c r="A112" s="367">
        <v>36</v>
      </c>
      <c r="B112" s="370" t="s">
        <v>65</v>
      </c>
      <c r="C112" s="37">
        <v>14100</v>
      </c>
      <c r="D112" s="370">
        <v>1</v>
      </c>
      <c r="E112" s="370" t="s">
        <v>66</v>
      </c>
      <c r="F112" s="370">
        <v>1450</v>
      </c>
      <c r="G112" s="370">
        <v>1100</v>
      </c>
      <c r="H112" s="370" t="s">
        <v>55</v>
      </c>
      <c r="I112" s="370">
        <v>150</v>
      </c>
      <c r="J112" s="370" t="s">
        <v>45</v>
      </c>
      <c r="K112" s="370">
        <v>40</v>
      </c>
      <c r="L112" s="370">
        <v>50</v>
      </c>
      <c r="M112" s="358" t="s">
        <v>14</v>
      </c>
      <c r="N112" s="370" t="s">
        <v>51</v>
      </c>
      <c r="O112" s="370" t="s">
        <v>27</v>
      </c>
      <c r="P112" s="68"/>
      <c r="Q112" s="370" t="s">
        <v>52</v>
      </c>
      <c r="T112" s="200">
        <v>1</v>
      </c>
    </row>
    <row r="113" spans="1:20" ht="15" customHeight="1" x14ac:dyDescent="0.3">
      <c r="A113" s="368"/>
      <c r="B113" s="371"/>
      <c r="C113" s="38">
        <v>3880</v>
      </c>
      <c r="D113" s="371"/>
      <c r="E113" s="371"/>
      <c r="F113" s="371"/>
      <c r="G113" s="371"/>
      <c r="H113" s="371"/>
      <c r="I113" s="371"/>
      <c r="J113" s="371"/>
      <c r="K113" s="371"/>
      <c r="L113" s="371"/>
      <c r="M113" s="359"/>
      <c r="N113" s="371"/>
      <c r="O113" s="371"/>
      <c r="P113" s="224">
        <v>44066</v>
      </c>
      <c r="Q113" s="371"/>
    </row>
    <row r="114" spans="1:20" ht="15" customHeight="1" thickBot="1" x14ac:dyDescent="0.35">
      <c r="A114" s="369"/>
      <c r="B114" s="372"/>
      <c r="C114" s="39">
        <v>-474</v>
      </c>
      <c r="D114" s="372"/>
      <c r="E114" s="372"/>
      <c r="F114" s="372"/>
      <c r="G114" s="372"/>
      <c r="H114" s="372"/>
      <c r="I114" s="372"/>
      <c r="J114" s="372"/>
      <c r="K114" s="372"/>
      <c r="L114" s="372"/>
      <c r="M114" s="360"/>
      <c r="N114" s="372"/>
      <c r="O114" s="372"/>
      <c r="P114" s="70"/>
      <c r="Q114" s="372"/>
    </row>
    <row r="115" spans="1:20" ht="15" hidden="1" customHeight="1" x14ac:dyDescent="0.3">
      <c r="A115" s="367">
        <v>37</v>
      </c>
      <c r="B115" s="370" t="s">
        <v>62</v>
      </c>
      <c r="C115" s="37">
        <v>19070</v>
      </c>
      <c r="D115" s="370">
        <v>1</v>
      </c>
      <c r="E115" s="370" t="s">
        <v>24</v>
      </c>
      <c r="F115" s="370">
        <v>1450</v>
      </c>
      <c r="G115" s="370">
        <v>1100</v>
      </c>
      <c r="H115" s="370" t="s">
        <v>67</v>
      </c>
      <c r="I115" s="370">
        <v>150</v>
      </c>
      <c r="J115" s="370" t="s">
        <v>45</v>
      </c>
      <c r="K115" s="370">
        <v>40</v>
      </c>
      <c r="L115" s="370">
        <v>17</v>
      </c>
      <c r="M115" s="358" t="s">
        <v>14</v>
      </c>
      <c r="N115" s="370" t="s">
        <v>51</v>
      </c>
      <c r="O115" s="370" t="s">
        <v>27</v>
      </c>
      <c r="P115" s="223">
        <v>44069</v>
      </c>
      <c r="Q115" s="370" t="s">
        <v>52</v>
      </c>
      <c r="R115" s="186">
        <v>44069</v>
      </c>
      <c r="T115" s="200">
        <v>1</v>
      </c>
    </row>
    <row r="116" spans="1:20" ht="15" customHeight="1" x14ac:dyDescent="0.3">
      <c r="A116" s="368"/>
      <c r="B116" s="371"/>
      <c r="C116" s="38">
        <v>1714</v>
      </c>
      <c r="D116" s="371"/>
      <c r="E116" s="371"/>
      <c r="F116" s="371"/>
      <c r="G116" s="371"/>
      <c r="H116" s="371"/>
      <c r="I116" s="371"/>
      <c r="J116" s="371"/>
      <c r="K116" s="371"/>
      <c r="L116" s="371"/>
      <c r="M116" s="359"/>
      <c r="N116" s="371"/>
      <c r="O116" s="371"/>
      <c r="P116" s="69"/>
      <c r="Q116" s="371"/>
    </row>
    <row r="117" spans="1:20" ht="15" customHeight="1" thickBot="1" x14ac:dyDescent="0.35">
      <c r="A117" s="369"/>
      <c r="B117" s="372"/>
      <c r="C117" s="39">
        <v>-474</v>
      </c>
      <c r="D117" s="372"/>
      <c r="E117" s="372"/>
      <c r="F117" s="372"/>
      <c r="G117" s="372"/>
      <c r="H117" s="372"/>
      <c r="I117" s="372"/>
      <c r="J117" s="372"/>
      <c r="K117" s="372"/>
      <c r="L117" s="372"/>
      <c r="M117" s="360"/>
      <c r="N117" s="372"/>
      <c r="O117" s="372"/>
      <c r="P117" s="70"/>
      <c r="Q117" s="372"/>
    </row>
    <row r="118" spans="1:20" ht="15" hidden="1" customHeight="1" x14ac:dyDescent="0.3">
      <c r="A118" s="367">
        <v>38</v>
      </c>
      <c r="B118" s="370" t="s">
        <v>62</v>
      </c>
      <c r="C118" s="37">
        <v>11300</v>
      </c>
      <c r="D118" s="370">
        <v>1</v>
      </c>
      <c r="E118" s="370" t="s">
        <v>24</v>
      </c>
      <c r="F118" s="370">
        <v>1450</v>
      </c>
      <c r="G118" s="370">
        <v>1100</v>
      </c>
      <c r="H118" s="370" t="s">
        <v>67</v>
      </c>
      <c r="I118" s="370">
        <v>150</v>
      </c>
      <c r="J118" s="370" t="s">
        <v>45</v>
      </c>
      <c r="K118" s="370">
        <v>40</v>
      </c>
      <c r="L118" s="370">
        <v>17</v>
      </c>
      <c r="M118" s="358" t="s">
        <v>14</v>
      </c>
      <c r="N118" s="370" t="s">
        <v>53</v>
      </c>
      <c r="O118" s="370" t="s">
        <v>27</v>
      </c>
      <c r="P118" s="68"/>
      <c r="Q118" s="370" t="s">
        <v>52</v>
      </c>
      <c r="T118" s="200">
        <v>1</v>
      </c>
    </row>
    <row r="119" spans="1:20" ht="15" customHeight="1" x14ac:dyDescent="0.3">
      <c r="A119" s="368"/>
      <c r="B119" s="371"/>
      <c r="C119" s="38">
        <v>-13750</v>
      </c>
      <c r="D119" s="371"/>
      <c r="E119" s="371"/>
      <c r="F119" s="371"/>
      <c r="G119" s="371"/>
      <c r="H119" s="371"/>
      <c r="I119" s="371"/>
      <c r="J119" s="371"/>
      <c r="K119" s="371"/>
      <c r="L119" s="371"/>
      <c r="M119" s="359"/>
      <c r="N119" s="371"/>
      <c r="O119" s="371"/>
      <c r="P119" s="224">
        <v>44066</v>
      </c>
      <c r="Q119" s="371"/>
    </row>
    <row r="120" spans="1:20" ht="15" customHeight="1" thickBot="1" x14ac:dyDescent="0.35">
      <c r="A120" s="369"/>
      <c r="B120" s="372"/>
      <c r="C120" s="39">
        <v>-474</v>
      </c>
      <c r="D120" s="372"/>
      <c r="E120" s="372"/>
      <c r="F120" s="372"/>
      <c r="G120" s="372"/>
      <c r="H120" s="372"/>
      <c r="I120" s="372"/>
      <c r="J120" s="372"/>
      <c r="K120" s="372"/>
      <c r="L120" s="372"/>
      <c r="M120" s="360"/>
      <c r="N120" s="372"/>
      <c r="O120" s="372"/>
      <c r="P120" s="70"/>
      <c r="Q120" s="372"/>
    </row>
    <row r="121" spans="1:20" ht="15" hidden="1" customHeight="1" x14ac:dyDescent="0.3">
      <c r="A121" s="367">
        <v>39</v>
      </c>
      <c r="B121" s="370" t="s">
        <v>48</v>
      </c>
      <c r="C121" s="37">
        <v>-15425</v>
      </c>
      <c r="D121" s="370">
        <v>1</v>
      </c>
      <c r="E121" s="370" t="s">
        <v>63</v>
      </c>
      <c r="F121" s="370">
        <v>1450</v>
      </c>
      <c r="G121" s="370">
        <v>1100</v>
      </c>
      <c r="H121" s="370" t="s">
        <v>12</v>
      </c>
      <c r="I121" s="370">
        <v>190</v>
      </c>
      <c r="J121" s="370" t="s">
        <v>45</v>
      </c>
      <c r="K121" s="370">
        <v>60</v>
      </c>
      <c r="L121" s="370">
        <v>44</v>
      </c>
      <c r="M121" s="358" t="s">
        <v>14</v>
      </c>
      <c r="N121" s="370" t="s">
        <v>53</v>
      </c>
      <c r="O121" s="370" t="s">
        <v>27</v>
      </c>
      <c r="P121" s="68"/>
      <c r="Q121" s="370" t="s">
        <v>52</v>
      </c>
      <c r="T121" s="200">
        <v>1</v>
      </c>
    </row>
    <row r="122" spans="1:20" ht="15" customHeight="1" x14ac:dyDescent="0.3">
      <c r="A122" s="368"/>
      <c r="B122" s="371"/>
      <c r="C122" s="38">
        <v>1830</v>
      </c>
      <c r="D122" s="371"/>
      <c r="E122" s="371"/>
      <c r="F122" s="371"/>
      <c r="G122" s="371"/>
      <c r="H122" s="371"/>
      <c r="I122" s="371"/>
      <c r="J122" s="371"/>
      <c r="K122" s="371"/>
      <c r="L122" s="371"/>
      <c r="M122" s="359"/>
      <c r="N122" s="371"/>
      <c r="O122" s="371"/>
      <c r="P122" s="69"/>
      <c r="Q122" s="371"/>
    </row>
    <row r="123" spans="1:20" ht="15" customHeight="1" thickBot="1" x14ac:dyDescent="0.35">
      <c r="A123" s="369"/>
      <c r="B123" s="372"/>
      <c r="C123" s="39">
        <v>-473</v>
      </c>
      <c r="D123" s="372"/>
      <c r="E123" s="372"/>
      <c r="F123" s="372"/>
      <c r="G123" s="372"/>
      <c r="H123" s="372"/>
      <c r="I123" s="372"/>
      <c r="J123" s="372"/>
      <c r="K123" s="372"/>
      <c r="L123" s="372"/>
      <c r="M123" s="360"/>
      <c r="N123" s="372"/>
      <c r="O123" s="372"/>
      <c r="P123" s="225">
        <v>44066</v>
      </c>
      <c r="Q123" s="372"/>
    </row>
    <row r="124" spans="1:20" ht="15" customHeight="1" thickBot="1" x14ac:dyDescent="0.35">
      <c r="A124" s="352" t="s">
        <v>68</v>
      </c>
      <c r="B124" s="353"/>
      <c r="C124" s="353"/>
      <c r="D124" s="353"/>
      <c r="E124" s="353"/>
      <c r="F124" s="353"/>
      <c r="G124" s="353"/>
      <c r="H124" s="353"/>
      <c r="I124" s="353"/>
      <c r="J124" s="353"/>
      <c r="K124" s="353"/>
      <c r="L124" s="353"/>
      <c r="M124" s="353"/>
      <c r="N124" s="353"/>
      <c r="O124" s="353"/>
      <c r="P124" s="353"/>
      <c r="Q124" s="354"/>
    </row>
    <row r="125" spans="1:20" ht="15" customHeight="1" thickBot="1" x14ac:dyDescent="0.35">
      <c r="A125" s="382" t="s">
        <v>69</v>
      </c>
      <c r="B125" s="383"/>
      <c r="C125" s="383"/>
      <c r="D125" s="383"/>
      <c r="E125" s="383"/>
      <c r="F125" s="383"/>
      <c r="G125" s="383"/>
      <c r="H125" s="383"/>
      <c r="I125" s="383"/>
      <c r="J125" s="383"/>
      <c r="K125" s="383"/>
      <c r="L125" s="383"/>
      <c r="M125" s="383"/>
      <c r="N125" s="383"/>
      <c r="O125" s="383"/>
      <c r="P125" s="383"/>
      <c r="Q125" s="384"/>
    </row>
    <row r="126" spans="1:20" ht="15" customHeight="1" thickBot="1" x14ac:dyDescent="0.35">
      <c r="A126" s="352" t="s">
        <v>70</v>
      </c>
      <c r="B126" s="353"/>
      <c r="C126" s="353"/>
      <c r="D126" s="353"/>
      <c r="E126" s="353"/>
      <c r="F126" s="353"/>
      <c r="G126" s="353"/>
      <c r="H126" s="353"/>
      <c r="I126" s="353"/>
      <c r="J126" s="353"/>
      <c r="K126" s="353"/>
      <c r="L126" s="353"/>
      <c r="M126" s="353"/>
      <c r="N126" s="353"/>
      <c r="O126" s="353"/>
      <c r="P126" s="353"/>
      <c r="Q126" s="354"/>
    </row>
    <row r="127" spans="1:20" ht="15" customHeight="1" thickBot="1" x14ac:dyDescent="0.35">
      <c r="A127" s="382" t="s">
        <v>69</v>
      </c>
      <c r="B127" s="383"/>
      <c r="C127" s="383"/>
      <c r="D127" s="383"/>
      <c r="E127" s="383"/>
      <c r="F127" s="383"/>
      <c r="G127" s="383"/>
      <c r="H127" s="383"/>
      <c r="I127" s="383"/>
      <c r="J127" s="383"/>
      <c r="K127" s="383"/>
      <c r="L127" s="383"/>
      <c r="M127" s="383"/>
      <c r="N127" s="383"/>
      <c r="O127" s="383"/>
      <c r="P127" s="383"/>
      <c r="Q127" s="384"/>
    </row>
    <row r="128" spans="1:20" ht="15" customHeight="1" thickBot="1" x14ac:dyDescent="0.35">
      <c r="A128" s="352" t="s">
        <v>71</v>
      </c>
      <c r="B128" s="353"/>
      <c r="C128" s="353"/>
      <c r="D128" s="353"/>
      <c r="E128" s="353"/>
      <c r="F128" s="353"/>
      <c r="G128" s="353"/>
      <c r="H128" s="353"/>
      <c r="I128" s="353"/>
      <c r="J128" s="353"/>
      <c r="K128" s="353"/>
      <c r="L128" s="353"/>
      <c r="M128" s="353"/>
      <c r="N128" s="353"/>
      <c r="O128" s="353"/>
      <c r="P128" s="353"/>
      <c r="Q128" s="354"/>
    </row>
    <row r="129" spans="1:20" ht="15" customHeight="1" thickBot="1" x14ac:dyDescent="0.35">
      <c r="A129" s="382" t="s">
        <v>69</v>
      </c>
      <c r="B129" s="383"/>
      <c r="C129" s="383"/>
      <c r="D129" s="383"/>
      <c r="E129" s="383"/>
      <c r="F129" s="383"/>
      <c r="G129" s="383"/>
      <c r="H129" s="383"/>
      <c r="I129" s="383"/>
      <c r="J129" s="383"/>
      <c r="K129" s="383"/>
      <c r="L129" s="383"/>
      <c r="M129" s="383"/>
      <c r="N129" s="383"/>
      <c r="O129" s="383"/>
      <c r="P129" s="383"/>
      <c r="Q129" s="384"/>
    </row>
    <row r="130" spans="1:20" ht="15" customHeight="1" thickBot="1" x14ac:dyDescent="0.35">
      <c r="A130" s="352" t="s">
        <v>72</v>
      </c>
      <c r="B130" s="353"/>
      <c r="C130" s="353"/>
      <c r="D130" s="353"/>
      <c r="E130" s="353"/>
      <c r="F130" s="353"/>
      <c r="G130" s="353"/>
      <c r="H130" s="353"/>
      <c r="I130" s="353"/>
      <c r="J130" s="353"/>
      <c r="K130" s="353"/>
      <c r="L130" s="353"/>
      <c r="M130" s="353"/>
      <c r="N130" s="353"/>
      <c r="O130" s="353"/>
      <c r="P130" s="353"/>
      <c r="Q130" s="354"/>
    </row>
    <row r="131" spans="1:20" ht="15" customHeight="1" thickBot="1" x14ac:dyDescent="0.35">
      <c r="A131" s="382" t="s">
        <v>69</v>
      </c>
      <c r="B131" s="383"/>
      <c r="C131" s="383"/>
      <c r="D131" s="383"/>
      <c r="E131" s="383"/>
      <c r="F131" s="383"/>
      <c r="G131" s="383"/>
      <c r="H131" s="383"/>
      <c r="I131" s="383"/>
      <c r="J131" s="383"/>
      <c r="K131" s="383"/>
      <c r="L131" s="383"/>
      <c r="M131" s="383"/>
      <c r="N131" s="383"/>
      <c r="O131" s="383"/>
      <c r="P131" s="383"/>
      <c r="Q131" s="384"/>
    </row>
    <row r="132" spans="1:20" ht="15" customHeight="1" thickBot="1" x14ac:dyDescent="0.35">
      <c r="A132" s="352" t="s">
        <v>73</v>
      </c>
      <c r="B132" s="353"/>
      <c r="C132" s="353"/>
      <c r="D132" s="353"/>
      <c r="E132" s="353"/>
      <c r="F132" s="353"/>
      <c r="G132" s="353"/>
      <c r="H132" s="353"/>
      <c r="I132" s="353"/>
      <c r="J132" s="353"/>
      <c r="K132" s="353"/>
      <c r="L132" s="353"/>
      <c r="M132" s="353"/>
      <c r="N132" s="353"/>
      <c r="O132" s="353"/>
      <c r="P132" s="353"/>
      <c r="Q132" s="354"/>
    </row>
    <row r="133" spans="1:20" ht="15" hidden="1" customHeight="1" x14ac:dyDescent="0.3">
      <c r="A133" s="367">
        <v>40</v>
      </c>
      <c r="B133" s="367" t="s">
        <v>74</v>
      </c>
      <c r="C133" s="40">
        <v>-17900</v>
      </c>
      <c r="D133" s="367">
        <v>1</v>
      </c>
      <c r="E133" s="367" t="s">
        <v>24</v>
      </c>
      <c r="F133" s="367">
        <v>1450</v>
      </c>
      <c r="G133" s="367">
        <v>1200</v>
      </c>
      <c r="H133" s="367" t="s">
        <v>25</v>
      </c>
      <c r="I133" s="367">
        <v>60</v>
      </c>
      <c r="J133" s="367" t="s">
        <v>13</v>
      </c>
      <c r="K133" s="367" t="s">
        <v>13</v>
      </c>
      <c r="L133" s="367">
        <v>29</v>
      </c>
      <c r="M133" s="358" t="s">
        <v>14</v>
      </c>
      <c r="N133" s="367" t="s">
        <v>75</v>
      </c>
      <c r="O133" s="367" t="s">
        <v>27</v>
      </c>
      <c r="P133" s="65"/>
      <c r="Q133" s="367" t="s">
        <v>32</v>
      </c>
      <c r="T133" s="200">
        <v>1</v>
      </c>
    </row>
    <row r="134" spans="1:20" ht="15" customHeight="1" x14ac:dyDescent="0.3">
      <c r="A134" s="368"/>
      <c r="B134" s="368"/>
      <c r="C134" s="41">
        <v>-2235</v>
      </c>
      <c r="D134" s="368"/>
      <c r="E134" s="368"/>
      <c r="F134" s="368"/>
      <c r="G134" s="368"/>
      <c r="H134" s="368"/>
      <c r="I134" s="368"/>
      <c r="J134" s="368"/>
      <c r="K134" s="368"/>
      <c r="L134" s="368"/>
      <c r="M134" s="359"/>
      <c r="N134" s="368"/>
      <c r="O134" s="368"/>
      <c r="P134" s="226">
        <v>44066</v>
      </c>
      <c r="Q134" s="368"/>
    </row>
    <row r="135" spans="1:20" ht="15" customHeight="1" thickBot="1" x14ac:dyDescent="0.35">
      <c r="A135" s="369"/>
      <c r="B135" s="369"/>
      <c r="C135" s="42">
        <v>6800</v>
      </c>
      <c r="D135" s="369"/>
      <c r="E135" s="369"/>
      <c r="F135" s="369"/>
      <c r="G135" s="369"/>
      <c r="H135" s="369"/>
      <c r="I135" s="369"/>
      <c r="J135" s="369"/>
      <c r="K135" s="369"/>
      <c r="L135" s="369"/>
      <c r="M135" s="360"/>
      <c r="N135" s="369"/>
      <c r="O135" s="369"/>
      <c r="P135" s="67"/>
      <c r="Q135" s="369"/>
    </row>
    <row r="136" spans="1:20" ht="15" hidden="1" customHeight="1" x14ac:dyDescent="0.3">
      <c r="A136" s="367">
        <v>41</v>
      </c>
      <c r="B136" s="367" t="s">
        <v>74</v>
      </c>
      <c r="C136" s="40">
        <v>480</v>
      </c>
      <c r="D136" s="367">
        <v>1</v>
      </c>
      <c r="E136" s="367" t="s">
        <v>24</v>
      </c>
      <c r="F136" s="367">
        <v>1450</v>
      </c>
      <c r="G136" s="367">
        <v>1200</v>
      </c>
      <c r="H136" s="367" t="s">
        <v>25</v>
      </c>
      <c r="I136" s="367">
        <v>60</v>
      </c>
      <c r="J136" s="367" t="s">
        <v>13</v>
      </c>
      <c r="K136" s="367" t="s">
        <v>13</v>
      </c>
      <c r="L136" s="367">
        <v>29</v>
      </c>
      <c r="M136" s="358" t="s">
        <v>14</v>
      </c>
      <c r="N136" s="367" t="s">
        <v>75</v>
      </c>
      <c r="O136" s="367" t="s">
        <v>27</v>
      </c>
      <c r="P136" s="65"/>
      <c r="Q136" s="367" t="s">
        <v>32</v>
      </c>
      <c r="T136" s="200">
        <v>1</v>
      </c>
    </row>
    <row r="137" spans="1:20" ht="15" customHeight="1" x14ac:dyDescent="0.3">
      <c r="A137" s="368"/>
      <c r="B137" s="368"/>
      <c r="C137" s="41">
        <v>20500</v>
      </c>
      <c r="D137" s="368"/>
      <c r="E137" s="368"/>
      <c r="F137" s="368"/>
      <c r="G137" s="368"/>
      <c r="H137" s="368"/>
      <c r="I137" s="368"/>
      <c r="J137" s="368"/>
      <c r="K137" s="368"/>
      <c r="L137" s="368"/>
      <c r="M137" s="359"/>
      <c r="N137" s="368"/>
      <c r="O137" s="368"/>
      <c r="P137" s="226">
        <v>44066</v>
      </c>
      <c r="Q137" s="368"/>
    </row>
    <row r="138" spans="1:20" ht="15" customHeight="1" thickBot="1" x14ac:dyDescent="0.35">
      <c r="A138" s="369"/>
      <c r="B138" s="369"/>
      <c r="C138" s="42">
        <v>6800</v>
      </c>
      <c r="D138" s="369"/>
      <c r="E138" s="369"/>
      <c r="F138" s="369"/>
      <c r="G138" s="369"/>
      <c r="H138" s="369"/>
      <c r="I138" s="369"/>
      <c r="J138" s="369"/>
      <c r="K138" s="369"/>
      <c r="L138" s="369"/>
      <c r="M138" s="360"/>
      <c r="N138" s="369"/>
      <c r="O138" s="369"/>
      <c r="P138" s="67"/>
      <c r="Q138" s="369"/>
    </row>
    <row r="139" spans="1:20" ht="15" hidden="1" customHeight="1" x14ac:dyDescent="0.3">
      <c r="A139" s="367">
        <v>42</v>
      </c>
      <c r="B139" s="367" t="s">
        <v>74</v>
      </c>
      <c r="C139" s="40">
        <v>-15250</v>
      </c>
      <c r="D139" s="367">
        <v>1</v>
      </c>
      <c r="E139" s="367" t="s">
        <v>24</v>
      </c>
      <c r="F139" s="367">
        <v>1450</v>
      </c>
      <c r="G139" s="367">
        <v>1200</v>
      </c>
      <c r="H139" s="367" t="s">
        <v>25</v>
      </c>
      <c r="I139" s="367">
        <v>60</v>
      </c>
      <c r="J139" s="367" t="s">
        <v>13</v>
      </c>
      <c r="K139" s="367" t="s">
        <v>13</v>
      </c>
      <c r="L139" s="367">
        <v>29</v>
      </c>
      <c r="M139" s="358" t="s">
        <v>14</v>
      </c>
      <c r="N139" s="367" t="s">
        <v>75</v>
      </c>
      <c r="O139" s="367" t="s">
        <v>27</v>
      </c>
      <c r="P139" s="65"/>
      <c r="Q139" s="367" t="s">
        <v>32</v>
      </c>
      <c r="T139" s="200">
        <v>1</v>
      </c>
    </row>
    <row r="140" spans="1:20" ht="15" customHeight="1" x14ac:dyDescent="0.3">
      <c r="A140" s="368"/>
      <c r="B140" s="368"/>
      <c r="C140" s="41">
        <v>9270</v>
      </c>
      <c r="D140" s="368"/>
      <c r="E140" s="368"/>
      <c r="F140" s="368"/>
      <c r="G140" s="368"/>
      <c r="H140" s="368"/>
      <c r="I140" s="368"/>
      <c r="J140" s="368"/>
      <c r="K140" s="368"/>
      <c r="L140" s="368"/>
      <c r="M140" s="359"/>
      <c r="N140" s="368"/>
      <c r="O140" s="368"/>
      <c r="P140" s="226">
        <v>44066</v>
      </c>
      <c r="Q140" s="368"/>
    </row>
    <row r="141" spans="1:20" ht="15" customHeight="1" thickBot="1" x14ac:dyDescent="0.35">
      <c r="A141" s="369"/>
      <c r="B141" s="369"/>
      <c r="C141" s="42">
        <v>6800</v>
      </c>
      <c r="D141" s="369"/>
      <c r="E141" s="369"/>
      <c r="F141" s="369"/>
      <c r="G141" s="369"/>
      <c r="H141" s="369"/>
      <c r="I141" s="369"/>
      <c r="J141" s="369"/>
      <c r="K141" s="369"/>
      <c r="L141" s="369"/>
      <c r="M141" s="360"/>
      <c r="N141" s="369"/>
      <c r="O141" s="369"/>
      <c r="P141" s="67"/>
      <c r="Q141" s="369"/>
    </row>
    <row r="142" spans="1:20" ht="15" hidden="1" customHeight="1" x14ac:dyDescent="0.3">
      <c r="A142" s="367">
        <v>43</v>
      </c>
      <c r="B142" s="367" t="s">
        <v>74</v>
      </c>
      <c r="C142" s="40">
        <v>-2875</v>
      </c>
      <c r="D142" s="367">
        <v>1</v>
      </c>
      <c r="E142" s="367" t="s">
        <v>24</v>
      </c>
      <c r="F142" s="367">
        <v>1450</v>
      </c>
      <c r="G142" s="367">
        <v>1200</v>
      </c>
      <c r="H142" s="367" t="s">
        <v>25</v>
      </c>
      <c r="I142" s="367">
        <v>60</v>
      </c>
      <c r="J142" s="367" t="s">
        <v>13</v>
      </c>
      <c r="K142" s="367" t="s">
        <v>13</v>
      </c>
      <c r="L142" s="367">
        <v>29</v>
      </c>
      <c r="M142" s="358" t="s">
        <v>14</v>
      </c>
      <c r="N142" s="367" t="s">
        <v>76</v>
      </c>
      <c r="O142" s="367" t="s">
        <v>27</v>
      </c>
      <c r="P142" s="65"/>
      <c r="Q142" s="367" t="s">
        <v>32</v>
      </c>
      <c r="T142" s="200">
        <v>1</v>
      </c>
    </row>
    <row r="143" spans="1:20" ht="15" customHeight="1" x14ac:dyDescent="0.3">
      <c r="A143" s="368"/>
      <c r="B143" s="368"/>
      <c r="C143" s="41">
        <v>-17025</v>
      </c>
      <c r="D143" s="368"/>
      <c r="E143" s="368"/>
      <c r="F143" s="368"/>
      <c r="G143" s="368"/>
      <c r="H143" s="368"/>
      <c r="I143" s="368"/>
      <c r="J143" s="368"/>
      <c r="K143" s="368"/>
      <c r="L143" s="368"/>
      <c r="M143" s="359"/>
      <c r="N143" s="368"/>
      <c r="O143" s="368"/>
      <c r="P143" s="66"/>
      <c r="Q143" s="368"/>
    </row>
    <row r="144" spans="1:20" ht="15" customHeight="1" thickBot="1" x14ac:dyDescent="0.35">
      <c r="A144" s="369"/>
      <c r="B144" s="369"/>
      <c r="C144" s="42">
        <v>6800</v>
      </c>
      <c r="D144" s="369"/>
      <c r="E144" s="369"/>
      <c r="F144" s="369"/>
      <c r="G144" s="369"/>
      <c r="H144" s="369"/>
      <c r="I144" s="369"/>
      <c r="J144" s="369"/>
      <c r="K144" s="369"/>
      <c r="L144" s="369"/>
      <c r="M144" s="360"/>
      <c r="N144" s="369"/>
      <c r="O144" s="369"/>
      <c r="P144" s="227">
        <v>44066</v>
      </c>
      <c r="Q144" s="369"/>
    </row>
    <row r="145" spans="1:20" ht="15" hidden="1" customHeight="1" x14ac:dyDescent="0.3">
      <c r="A145" s="367">
        <v>44</v>
      </c>
      <c r="B145" s="367" t="s">
        <v>74</v>
      </c>
      <c r="C145" s="40">
        <v>14435</v>
      </c>
      <c r="D145" s="367">
        <v>1</v>
      </c>
      <c r="E145" s="367" t="s">
        <v>24</v>
      </c>
      <c r="F145" s="367">
        <v>1450</v>
      </c>
      <c r="G145" s="367">
        <v>1200</v>
      </c>
      <c r="H145" s="367" t="s">
        <v>25</v>
      </c>
      <c r="I145" s="367">
        <v>60</v>
      </c>
      <c r="J145" s="367" t="s">
        <v>13</v>
      </c>
      <c r="K145" s="367" t="s">
        <v>13</v>
      </c>
      <c r="L145" s="367">
        <v>29</v>
      </c>
      <c r="M145" s="358" t="s">
        <v>14</v>
      </c>
      <c r="N145" s="367" t="s">
        <v>77</v>
      </c>
      <c r="O145" s="367" t="s">
        <v>27</v>
      </c>
      <c r="P145" s="65"/>
      <c r="Q145" s="367" t="s">
        <v>32</v>
      </c>
      <c r="T145" s="200">
        <v>1</v>
      </c>
    </row>
    <row r="146" spans="1:20" ht="15" customHeight="1" x14ac:dyDescent="0.3">
      <c r="A146" s="368"/>
      <c r="B146" s="368"/>
      <c r="C146" s="41">
        <v>10675</v>
      </c>
      <c r="D146" s="368"/>
      <c r="E146" s="368"/>
      <c r="F146" s="368"/>
      <c r="G146" s="368"/>
      <c r="H146" s="368"/>
      <c r="I146" s="368"/>
      <c r="J146" s="368"/>
      <c r="K146" s="368"/>
      <c r="L146" s="368"/>
      <c r="M146" s="359"/>
      <c r="N146" s="368"/>
      <c r="O146" s="368"/>
      <c r="P146" s="226">
        <v>44066</v>
      </c>
      <c r="Q146" s="368"/>
    </row>
    <row r="147" spans="1:20" ht="15" customHeight="1" thickBot="1" x14ac:dyDescent="0.35">
      <c r="A147" s="369"/>
      <c r="B147" s="369"/>
      <c r="C147" s="42">
        <v>6800</v>
      </c>
      <c r="D147" s="369"/>
      <c r="E147" s="369"/>
      <c r="F147" s="369"/>
      <c r="G147" s="369"/>
      <c r="H147" s="369"/>
      <c r="I147" s="369"/>
      <c r="J147" s="369"/>
      <c r="K147" s="369"/>
      <c r="L147" s="369"/>
      <c r="M147" s="360"/>
      <c r="N147" s="369"/>
      <c r="O147" s="369"/>
      <c r="P147" s="67"/>
      <c r="Q147" s="369"/>
    </row>
    <row r="148" spans="1:20" ht="15" hidden="1" customHeight="1" x14ac:dyDescent="0.3">
      <c r="A148" s="367">
        <v>45</v>
      </c>
      <c r="B148" s="367" t="s">
        <v>74</v>
      </c>
      <c r="C148" s="40">
        <v>16800</v>
      </c>
      <c r="D148" s="367">
        <v>1</v>
      </c>
      <c r="E148" s="367" t="s">
        <v>24</v>
      </c>
      <c r="F148" s="367">
        <v>1450</v>
      </c>
      <c r="G148" s="367">
        <v>1200</v>
      </c>
      <c r="H148" s="367" t="s">
        <v>25</v>
      </c>
      <c r="I148" s="367">
        <v>60</v>
      </c>
      <c r="J148" s="367" t="s">
        <v>13</v>
      </c>
      <c r="K148" s="367" t="s">
        <v>13</v>
      </c>
      <c r="L148" s="367">
        <v>29</v>
      </c>
      <c r="M148" s="358" t="s">
        <v>14</v>
      </c>
      <c r="N148" s="367" t="s">
        <v>77</v>
      </c>
      <c r="O148" s="367" t="s">
        <v>27</v>
      </c>
      <c r="P148" s="65"/>
      <c r="Q148" s="367" t="s">
        <v>32</v>
      </c>
      <c r="T148" s="200">
        <v>1</v>
      </c>
    </row>
    <row r="149" spans="1:20" ht="15" customHeight="1" x14ac:dyDescent="0.3">
      <c r="A149" s="368"/>
      <c r="B149" s="368"/>
      <c r="C149" s="41">
        <v>-9710</v>
      </c>
      <c r="D149" s="368"/>
      <c r="E149" s="368"/>
      <c r="F149" s="368"/>
      <c r="G149" s="368"/>
      <c r="H149" s="368"/>
      <c r="I149" s="368"/>
      <c r="J149" s="368"/>
      <c r="K149" s="368"/>
      <c r="L149" s="368"/>
      <c r="M149" s="359"/>
      <c r="N149" s="368"/>
      <c r="O149" s="368"/>
      <c r="P149" s="226">
        <v>44066</v>
      </c>
      <c r="Q149" s="368"/>
    </row>
    <row r="150" spans="1:20" ht="15" customHeight="1" thickBot="1" x14ac:dyDescent="0.35">
      <c r="A150" s="369"/>
      <c r="B150" s="369"/>
      <c r="C150" s="42">
        <v>6800</v>
      </c>
      <c r="D150" s="369"/>
      <c r="E150" s="369"/>
      <c r="F150" s="369"/>
      <c r="G150" s="369"/>
      <c r="H150" s="369"/>
      <c r="I150" s="369"/>
      <c r="J150" s="369"/>
      <c r="K150" s="369"/>
      <c r="L150" s="369"/>
      <c r="M150" s="360"/>
      <c r="N150" s="369"/>
      <c r="O150" s="369"/>
      <c r="P150" s="67"/>
      <c r="Q150" s="369"/>
    </row>
    <row r="151" spans="1:20" ht="15" customHeight="1" thickBot="1" x14ac:dyDescent="0.35">
      <c r="A151" s="352" t="s">
        <v>78</v>
      </c>
      <c r="B151" s="353"/>
      <c r="C151" s="353"/>
      <c r="D151" s="353"/>
      <c r="E151" s="353"/>
      <c r="F151" s="353"/>
      <c r="G151" s="353"/>
      <c r="H151" s="353"/>
      <c r="I151" s="353"/>
      <c r="J151" s="353"/>
      <c r="K151" s="353"/>
      <c r="L151" s="353"/>
      <c r="M151" s="353"/>
      <c r="N151" s="353"/>
      <c r="O151" s="353"/>
      <c r="P151" s="353"/>
      <c r="Q151" s="354"/>
    </row>
    <row r="152" spans="1:20" ht="15" hidden="1" customHeight="1" x14ac:dyDescent="0.3">
      <c r="A152" s="367">
        <v>46</v>
      </c>
      <c r="B152" s="367" t="s">
        <v>74</v>
      </c>
      <c r="C152" s="40">
        <v>-19200</v>
      </c>
      <c r="D152" s="367">
        <v>1</v>
      </c>
      <c r="E152" s="367" t="s">
        <v>24</v>
      </c>
      <c r="F152" s="367">
        <v>600</v>
      </c>
      <c r="G152" s="367">
        <v>600</v>
      </c>
      <c r="H152" s="367" t="s">
        <v>25</v>
      </c>
      <c r="I152" s="367">
        <v>60</v>
      </c>
      <c r="J152" s="367" t="s">
        <v>13</v>
      </c>
      <c r="K152" s="367" t="s">
        <v>13</v>
      </c>
      <c r="L152" s="367">
        <v>29</v>
      </c>
      <c r="M152" s="358" t="s">
        <v>14</v>
      </c>
      <c r="N152" s="367" t="s">
        <v>79</v>
      </c>
      <c r="O152" s="367" t="s">
        <v>27</v>
      </c>
      <c r="P152" s="65"/>
      <c r="Q152" s="367" t="s">
        <v>28</v>
      </c>
      <c r="T152" s="200">
        <v>1</v>
      </c>
    </row>
    <row r="153" spans="1:20" ht="15" customHeight="1" x14ac:dyDescent="0.3">
      <c r="A153" s="368"/>
      <c r="B153" s="368"/>
      <c r="C153" s="41">
        <v>-2237</v>
      </c>
      <c r="D153" s="368"/>
      <c r="E153" s="368"/>
      <c r="F153" s="368"/>
      <c r="G153" s="368"/>
      <c r="H153" s="368"/>
      <c r="I153" s="368"/>
      <c r="J153" s="368"/>
      <c r="K153" s="368"/>
      <c r="L153" s="368"/>
      <c r="M153" s="359"/>
      <c r="N153" s="368"/>
      <c r="O153" s="368"/>
      <c r="P153" s="226">
        <v>44063</v>
      </c>
      <c r="Q153" s="368"/>
    </row>
    <row r="154" spans="1:20" ht="15" customHeight="1" thickBot="1" x14ac:dyDescent="0.35">
      <c r="A154" s="369"/>
      <c r="B154" s="369"/>
      <c r="C154" s="42">
        <v>12715</v>
      </c>
      <c r="D154" s="369"/>
      <c r="E154" s="369"/>
      <c r="F154" s="369"/>
      <c r="G154" s="369"/>
      <c r="H154" s="369"/>
      <c r="I154" s="369"/>
      <c r="J154" s="369"/>
      <c r="K154" s="369"/>
      <c r="L154" s="369"/>
      <c r="M154" s="360"/>
      <c r="N154" s="369"/>
      <c r="O154" s="369"/>
      <c r="P154" s="67"/>
      <c r="Q154" s="369"/>
    </row>
    <row r="155" spans="1:20" ht="15" hidden="1" customHeight="1" x14ac:dyDescent="0.3">
      <c r="A155" s="367">
        <v>47</v>
      </c>
      <c r="B155" s="367" t="s">
        <v>74</v>
      </c>
      <c r="C155" s="40">
        <v>-3990</v>
      </c>
      <c r="D155" s="367">
        <v>1</v>
      </c>
      <c r="E155" s="367" t="s">
        <v>24</v>
      </c>
      <c r="F155" s="367">
        <v>1000</v>
      </c>
      <c r="G155" s="367">
        <v>1000</v>
      </c>
      <c r="H155" s="367" t="s">
        <v>25</v>
      </c>
      <c r="I155" s="367">
        <v>60</v>
      </c>
      <c r="J155" s="367" t="s">
        <v>13</v>
      </c>
      <c r="K155" s="367" t="s">
        <v>13</v>
      </c>
      <c r="L155" s="367">
        <v>29</v>
      </c>
      <c r="M155" s="358" t="s">
        <v>14</v>
      </c>
      <c r="N155" s="367" t="s">
        <v>80</v>
      </c>
      <c r="O155" s="367" t="s">
        <v>27</v>
      </c>
      <c r="P155" s="65"/>
      <c r="Q155" s="367" t="s">
        <v>28</v>
      </c>
      <c r="R155" s="186">
        <v>44063</v>
      </c>
      <c r="T155" s="200">
        <v>1</v>
      </c>
    </row>
    <row r="156" spans="1:20" ht="15" customHeight="1" x14ac:dyDescent="0.3">
      <c r="A156" s="368"/>
      <c r="B156" s="368"/>
      <c r="C156" s="41">
        <v>19500</v>
      </c>
      <c r="D156" s="368"/>
      <c r="E156" s="368"/>
      <c r="F156" s="368"/>
      <c r="G156" s="368"/>
      <c r="H156" s="368"/>
      <c r="I156" s="368"/>
      <c r="J156" s="368"/>
      <c r="K156" s="368"/>
      <c r="L156" s="368"/>
      <c r="M156" s="359"/>
      <c r="N156" s="368"/>
      <c r="O156" s="368"/>
      <c r="P156" s="226">
        <v>44063</v>
      </c>
      <c r="Q156" s="368"/>
    </row>
    <row r="157" spans="1:20" ht="15" customHeight="1" thickBot="1" x14ac:dyDescent="0.35">
      <c r="A157" s="369"/>
      <c r="B157" s="369"/>
      <c r="C157" s="42">
        <v>13045</v>
      </c>
      <c r="D157" s="369"/>
      <c r="E157" s="369"/>
      <c r="F157" s="369"/>
      <c r="G157" s="369"/>
      <c r="H157" s="369"/>
      <c r="I157" s="369"/>
      <c r="J157" s="369"/>
      <c r="K157" s="369"/>
      <c r="L157" s="369"/>
      <c r="M157" s="360"/>
      <c r="N157" s="369"/>
      <c r="O157" s="369"/>
      <c r="P157" s="67"/>
      <c r="Q157" s="369"/>
    </row>
    <row r="158" spans="1:20" ht="15" hidden="1" customHeight="1" x14ac:dyDescent="0.3">
      <c r="A158" s="367">
        <v>48</v>
      </c>
      <c r="B158" s="367" t="s">
        <v>74</v>
      </c>
      <c r="C158" s="40">
        <v>3815</v>
      </c>
      <c r="D158" s="367">
        <v>1</v>
      </c>
      <c r="E158" s="367" t="s">
        <v>24</v>
      </c>
      <c r="F158" s="367">
        <v>1200</v>
      </c>
      <c r="G158" s="367">
        <v>1200</v>
      </c>
      <c r="H158" s="367" t="s">
        <v>25</v>
      </c>
      <c r="I158" s="367">
        <v>60</v>
      </c>
      <c r="J158" s="367" t="s">
        <v>13</v>
      </c>
      <c r="K158" s="367" t="s">
        <v>13</v>
      </c>
      <c r="L158" s="367">
        <v>29</v>
      </c>
      <c r="M158" s="358" t="s">
        <v>14</v>
      </c>
      <c r="N158" s="367" t="s">
        <v>80</v>
      </c>
      <c r="O158" s="367" t="s">
        <v>27</v>
      </c>
      <c r="P158" s="65"/>
      <c r="Q158" s="367" t="s">
        <v>28</v>
      </c>
      <c r="R158" s="186">
        <v>44063</v>
      </c>
      <c r="T158" s="200">
        <v>1</v>
      </c>
    </row>
    <row r="159" spans="1:20" ht="15" customHeight="1" x14ac:dyDescent="0.3">
      <c r="A159" s="368"/>
      <c r="B159" s="368"/>
      <c r="C159" s="41">
        <v>15734</v>
      </c>
      <c r="D159" s="368"/>
      <c r="E159" s="368"/>
      <c r="F159" s="368"/>
      <c r="G159" s="368"/>
      <c r="H159" s="368"/>
      <c r="I159" s="368"/>
      <c r="J159" s="368"/>
      <c r="K159" s="368"/>
      <c r="L159" s="368"/>
      <c r="M159" s="359"/>
      <c r="N159" s="368"/>
      <c r="O159" s="368"/>
      <c r="P159" s="226">
        <v>44063</v>
      </c>
      <c r="Q159" s="368"/>
    </row>
    <row r="160" spans="1:20" ht="15" customHeight="1" thickBot="1" x14ac:dyDescent="0.35">
      <c r="A160" s="369"/>
      <c r="B160" s="369"/>
      <c r="C160" s="42">
        <v>11760</v>
      </c>
      <c r="D160" s="369"/>
      <c r="E160" s="369"/>
      <c r="F160" s="369"/>
      <c r="G160" s="369"/>
      <c r="H160" s="369"/>
      <c r="I160" s="369"/>
      <c r="J160" s="369"/>
      <c r="K160" s="369"/>
      <c r="L160" s="369"/>
      <c r="M160" s="360"/>
      <c r="N160" s="369"/>
      <c r="O160" s="369"/>
      <c r="P160" s="67"/>
      <c r="Q160" s="369"/>
    </row>
    <row r="161" spans="1:20" ht="15" hidden="1" customHeight="1" x14ac:dyDescent="0.3">
      <c r="A161" s="367">
        <v>49</v>
      </c>
      <c r="B161" s="367" t="s">
        <v>74</v>
      </c>
      <c r="C161" s="40">
        <v>-16000</v>
      </c>
      <c r="D161" s="367">
        <v>1</v>
      </c>
      <c r="E161" s="367" t="s">
        <v>24</v>
      </c>
      <c r="F161" s="367">
        <v>1000</v>
      </c>
      <c r="G161" s="367">
        <v>1000</v>
      </c>
      <c r="H161" s="367" t="s">
        <v>25</v>
      </c>
      <c r="I161" s="367">
        <v>60</v>
      </c>
      <c r="J161" s="367" t="s">
        <v>13</v>
      </c>
      <c r="K161" s="367" t="s">
        <v>13</v>
      </c>
      <c r="L161" s="367">
        <v>29</v>
      </c>
      <c r="M161" s="358" t="s">
        <v>14</v>
      </c>
      <c r="N161" s="367" t="s">
        <v>79</v>
      </c>
      <c r="O161" s="367" t="s">
        <v>27</v>
      </c>
      <c r="P161" s="65"/>
      <c r="Q161" s="367" t="s">
        <v>28</v>
      </c>
      <c r="R161" s="186">
        <v>44063</v>
      </c>
      <c r="T161" s="200">
        <v>1</v>
      </c>
    </row>
    <row r="162" spans="1:20" ht="15" customHeight="1" x14ac:dyDescent="0.3">
      <c r="A162" s="368"/>
      <c r="B162" s="368"/>
      <c r="C162" s="41">
        <v>9770</v>
      </c>
      <c r="D162" s="368"/>
      <c r="E162" s="368"/>
      <c r="F162" s="368"/>
      <c r="G162" s="368"/>
      <c r="H162" s="368"/>
      <c r="I162" s="368"/>
      <c r="J162" s="368"/>
      <c r="K162" s="368"/>
      <c r="L162" s="368"/>
      <c r="M162" s="359"/>
      <c r="N162" s="368"/>
      <c r="O162" s="368"/>
      <c r="P162" s="226">
        <v>44063</v>
      </c>
      <c r="Q162" s="368"/>
    </row>
    <row r="163" spans="1:20" ht="15" customHeight="1" thickBot="1" x14ac:dyDescent="0.35">
      <c r="A163" s="369"/>
      <c r="B163" s="369"/>
      <c r="C163" s="42">
        <v>12555</v>
      </c>
      <c r="D163" s="369"/>
      <c r="E163" s="369"/>
      <c r="F163" s="369"/>
      <c r="G163" s="369"/>
      <c r="H163" s="369"/>
      <c r="I163" s="369"/>
      <c r="J163" s="369"/>
      <c r="K163" s="369"/>
      <c r="L163" s="369"/>
      <c r="M163" s="360"/>
      <c r="N163" s="369"/>
      <c r="O163" s="369"/>
      <c r="P163" s="67"/>
      <c r="Q163" s="369"/>
    </row>
    <row r="164" spans="1:20" ht="15" hidden="1" customHeight="1" x14ac:dyDescent="0.3">
      <c r="A164" s="367">
        <v>50</v>
      </c>
      <c r="B164" s="367" t="s">
        <v>74</v>
      </c>
      <c r="C164" s="40">
        <v>-3447</v>
      </c>
      <c r="D164" s="367">
        <v>1</v>
      </c>
      <c r="E164" s="367" t="s">
        <v>24</v>
      </c>
      <c r="F164" s="367">
        <v>1200</v>
      </c>
      <c r="G164" s="367">
        <v>1200</v>
      </c>
      <c r="H164" s="367" t="s">
        <v>25</v>
      </c>
      <c r="I164" s="367">
        <v>60</v>
      </c>
      <c r="J164" s="367" t="s">
        <v>13</v>
      </c>
      <c r="K164" s="367" t="s">
        <v>13</v>
      </c>
      <c r="L164" s="367">
        <v>29</v>
      </c>
      <c r="M164" s="358" t="s">
        <v>14</v>
      </c>
      <c r="N164" s="367" t="s">
        <v>81</v>
      </c>
      <c r="O164" s="367" t="s">
        <v>27</v>
      </c>
      <c r="P164" s="65"/>
      <c r="Q164" s="367" t="s">
        <v>28</v>
      </c>
      <c r="R164" s="186">
        <v>44063</v>
      </c>
      <c r="T164" s="200">
        <v>1</v>
      </c>
    </row>
    <row r="165" spans="1:20" ht="15" customHeight="1" x14ac:dyDescent="0.3">
      <c r="A165" s="368"/>
      <c r="B165" s="368"/>
      <c r="C165" s="41">
        <v>-16208</v>
      </c>
      <c r="D165" s="368"/>
      <c r="E165" s="368"/>
      <c r="F165" s="368"/>
      <c r="G165" s="368"/>
      <c r="H165" s="368"/>
      <c r="I165" s="368"/>
      <c r="J165" s="368"/>
      <c r="K165" s="368"/>
      <c r="L165" s="368"/>
      <c r="M165" s="359"/>
      <c r="N165" s="368"/>
      <c r="O165" s="368"/>
      <c r="P165" s="226">
        <v>44063</v>
      </c>
      <c r="Q165" s="368"/>
    </row>
    <row r="166" spans="1:20" ht="15" customHeight="1" thickBot="1" x14ac:dyDescent="0.35">
      <c r="A166" s="369"/>
      <c r="B166" s="369"/>
      <c r="C166" s="42">
        <v>11910</v>
      </c>
      <c r="D166" s="369"/>
      <c r="E166" s="369"/>
      <c r="F166" s="369"/>
      <c r="G166" s="369"/>
      <c r="H166" s="369"/>
      <c r="I166" s="369"/>
      <c r="J166" s="369"/>
      <c r="K166" s="369"/>
      <c r="L166" s="369"/>
      <c r="M166" s="360"/>
      <c r="N166" s="369"/>
      <c r="O166" s="369"/>
      <c r="P166" s="67"/>
      <c r="Q166" s="369"/>
    </row>
    <row r="167" spans="1:20" ht="15" hidden="1" customHeight="1" x14ac:dyDescent="0.3">
      <c r="A167" s="367">
        <v>51</v>
      </c>
      <c r="B167" s="367" t="s">
        <v>74</v>
      </c>
      <c r="C167" s="40">
        <v>3990</v>
      </c>
      <c r="D167" s="367">
        <v>1</v>
      </c>
      <c r="E167" s="367" t="s">
        <v>24</v>
      </c>
      <c r="F167" s="367">
        <v>1000</v>
      </c>
      <c r="G167" s="367">
        <v>1000</v>
      </c>
      <c r="H167" s="367" t="s">
        <v>25</v>
      </c>
      <c r="I167" s="367">
        <v>60</v>
      </c>
      <c r="J167" s="367" t="s">
        <v>13</v>
      </c>
      <c r="K167" s="367" t="s">
        <v>13</v>
      </c>
      <c r="L167" s="367">
        <v>29</v>
      </c>
      <c r="M167" s="358" t="s">
        <v>14</v>
      </c>
      <c r="N167" s="367" t="s">
        <v>81</v>
      </c>
      <c r="O167" s="367" t="s">
        <v>27</v>
      </c>
      <c r="P167" s="65"/>
      <c r="Q167" s="367" t="s">
        <v>28</v>
      </c>
      <c r="R167" s="186">
        <v>44063</v>
      </c>
      <c r="T167" s="200">
        <v>1</v>
      </c>
    </row>
    <row r="168" spans="1:20" ht="15" customHeight="1" x14ac:dyDescent="0.3">
      <c r="A168" s="368"/>
      <c r="B168" s="368"/>
      <c r="C168" s="40">
        <v>-19440</v>
      </c>
      <c r="D168" s="368"/>
      <c r="E168" s="368"/>
      <c r="F168" s="368"/>
      <c r="G168" s="368"/>
      <c r="H168" s="368"/>
      <c r="I168" s="368"/>
      <c r="J168" s="368"/>
      <c r="K168" s="368"/>
      <c r="L168" s="368"/>
      <c r="M168" s="359"/>
      <c r="N168" s="368"/>
      <c r="O168" s="368"/>
      <c r="P168" s="226">
        <v>44063</v>
      </c>
      <c r="Q168" s="368"/>
    </row>
    <row r="169" spans="1:20" ht="15" customHeight="1" thickBot="1" x14ac:dyDescent="0.35">
      <c r="A169" s="369"/>
      <c r="B169" s="369"/>
      <c r="C169" s="42">
        <v>12825</v>
      </c>
      <c r="D169" s="369"/>
      <c r="E169" s="369"/>
      <c r="F169" s="369"/>
      <c r="G169" s="369"/>
      <c r="H169" s="369"/>
      <c r="I169" s="369"/>
      <c r="J169" s="369"/>
      <c r="K169" s="369"/>
      <c r="L169" s="369"/>
      <c r="M169" s="360"/>
      <c r="N169" s="369"/>
      <c r="O169" s="369"/>
      <c r="P169" s="67"/>
      <c r="Q169" s="369"/>
    </row>
    <row r="170" spans="1:20" ht="15" customHeight="1" thickBot="1" x14ac:dyDescent="0.35">
      <c r="A170" s="352" t="s">
        <v>82</v>
      </c>
      <c r="B170" s="353"/>
      <c r="C170" s="353"/>
      <c r="D170" s="353"/>
      <c r="E170" s="353"/>
      <c r="F170" s="353"/>
      <c r="G170" s="353"/>
      <c r="H170" s="353"/>
      <c r="I170" s="353"/>
      <c r="J170" s="353"/>
      <c r="K170" s="353"/>
      <c r="L170" s="353"/>
      <c r="M170" s="353"/>
      <c r="N170" s="353"/>
      <c r="O170" s="353"/>
      <c r="P170" s="353"/>
      <c r="Q170" s="354"/>
    </row>
    <row r="171" spans="1:20" ht="15" hidden="1" customHeight="1" x14ac:dyDescent="0.3">
      <c r="A171" s="367">
        <v>52</v>
      </c>
      <c r="B171" s="367" t="s">
        <v>74</v>
      </c>
      <c r="C171" s="40">
        <v>14437</v>
      </c>
      <c r="D171" s="367">
        <v>1</v>
      </c>
      <c r="E171" s="367" t="s">
        <v>24</v>
      </c>
      <c r="F171" s="367">
        <v>1450</v>
      </c>
      <c r="G171" s="367">
        <v>1200</v>
      </c>
      <c r="H171" s="367" t="s">
        <v>25</v>
      </c>
      <c r="I171" s="367">
        <v>60</v>
      </c>
      <c r="J171" s="367" t="s">
        <v>13</v>
      </c>
      <c r="K171" s="367" t="s">
        <v>13</v>
      </c>
      <c r="L171" s="367">
        <v>29</v>
      </c>
      <c r="M171" s="358" t="s">
        <v>14</v>
      </c>
      <c r="N171" s="367" t="s">
        <v>83</v>
      </c>
      <c r="O171" s="367" t="s">
        <v>27</v>
      </c>
      <c r="P171" s="65"/>
      <c r="Q171" s="367" t="s">
        <v>32</v>
      </c>
      <c r="R171" s="186">
        <v>44063</v>
      </c>
      <c r="T171" s="200">
        <v>1</v>
      </c>
    </row>
    <row r="172" spans="1:20" ht="15" customHeight="1" x14ac:dyDescent="0.3">
      <c r="A172" s="368"/>
      <c r="B172" s="368"/>
      <c r="C172" s="41">
        <v>10677</v>
      </c>
      <c r="D172" s="368"/>
      <c r="E172" s="368"/>
      <c r="F172" s="368"/>
      <c r="G172" s="368"/>
      <c r="H172" s="368"/>
      <c r="I172" s="368"/>
      <c r="J172" s="368"/>
      <c r="K172" s="368"/>
      <c r="L172" s="368"/>
      <c r="M172" s="359"/>
      <c r="N172" s="368"/>
      <c r="O172" s="368"/>
      <c r="P172" s="226">
        <v>44063</v>
      </c>
      <c r="Q172" s="368"/>
    </row>
    <row r="173" spans="1:20" ht="15" customHeight="1" thickBot="1" x14ac:dyDescent="0.35">
      <c r="A173" s="369"/>
      <c r="B173" s="369"/>
      <c r="C173" s="42">
        <v>13300</v>
      </c>
      <c r="D173" s="369"/>
      <c r="E173" s="369"/>
      <c r="F173" s="369"/>
      <c r="G173" s="369"/>
      <c r="H173" s="369"/>
      <c r="I173" s="369"/>
      <c r="J173" s="369"/>
      <c r="K173" s="369"/>
      <c r="L173" s="369"/>
      <c r="M173" s="360"/>
      <c r="N173" s="369"/>
      <c r="O173" s="369"/>
      <c r="P173" s="67"/>
      <c r="Q173" s="369"/>
    </row>
    <row r="174" spans="1:20" ht="15" hidden="1" customHeight="1" x14ac:dyDescent="0.3">
      <c r="A174" s="370">
        <v>53</v>
      </c>
      <c r="B174" s="370" t="s">
        <v>84</v>
      </c>
      <c r="C174" s="40">
        <v>-5566</v>
      </c>
      <c r="D174" s="370">
        <v>1</v>
      </c>
      <c r="E174" s="370" t="s">
        <v>63</v>
      </c>
      <c r="F174" s="370">
        <v>1450</v>
      </c>
      <c r="G174" s="370">
        <v>1200</v>
      </c>
      <c r="H174" s="370" t="s">
        <v>61</v>
      </c>
      <c r="I174" s="370">
        <v>50</v>
      </c>
      <c r="J174" s="370" t="s">
        <v>13</v>
      </c>
      <c r="K174" s="370">
        <v>145</v>
      </c>
      <c r="L174" s="370">
        <v>-75.5</v>
      </c>
      <c r="M174" s="358" t="s">
        <v>14</v>
      </c>
      <c r="N174" s="370" t="s">
        <v>85</v>
      </c>
      <c r="O174" s="370" t="s">
        <v>27</v>
      </c>
      <c r="P174" s="68"/>
      <c r="Q174" s="367" t="s">
        <v>86</v>
      </c>
      <c r="R174" s="186">
        <v>44063</v>
      </c>
      <c r="T174" s="200">
        <v>1</v>
      </c>
    </row>
    <row r="175" spans="1:20" ht="15" customHeight="1" x14ac:dyDescent="0.3">
      <c r="A175" s="371"/>
      <c r="B175" s="371"/>
      <c r="C175" s="41">
        <v>-19633</v>
      </c>
      <c r="D175" s="371"/>
      <c r="E175" s="371"/>
      <c r="F175" s="371"/>
      <c r="G175" s="371"/>
      <c r="H175" s="371"/>
      <c r="I175" s="371"/>
      <c r="J175" s="371"/>
      <c r="K175" s="371"/>
      <c r="L175" s="371"/>
      <c r="M175" s="359"/>
      <c r="N175" s="371"/>
      <c r="O175" s="371"/>
      <c r="P175" s="224">
        <v>44063</v>
      </c>
      <c r="Q175" s="368"/>
    </row>
    <row r="176" spans="1:20" ht="15" customHeight="1" thickBot="1" x14ac:dyDescent="0.35">
      <c r="A176" s="372"/>
      <c r="B176" s="372"/>
      <c r="C176" s="42">
        <v>14600</v>
      </c>
      <c r="D176" s="372"/>
      <c r="E176" s="372"/>
      <c r="F176" s="372"/>
      <c r="G176" s="372"/>
      <c r="H176" s="372"/>
      <c r="I176" s="372"/>
      <c r="J176" s="372"/>
      <c r="K176" s="372"/>
      <c r="L176" s="372"/>
      <c r="M176" s="360"/>
      <c r="N176" s="372"/>
      <c r="O176" s="372"/>
      <c r="P176" s="70"/>
      <c r="Q176" s="369"/>
    </row>
    <row r="177" spans="1:20" ht="15" hidden="1" customHeight="1" x14ac:dyDescent="0.3">
      <c r="A177" s="370">
        <v>54</v>
      </c>
      <c r="B177" s="370" t="s">
        <v>87</v>
      </c>
      <c r="C177" s="37">
        <v>-6070</v>
      </c>
      <c r="D177" s="370">
        <v>1</v>
      </c>
      <c r="E177" s="370" t="s">
        <v>63</v>
      </c>
      <c r="F177" s="370">
        <v>1450</v>
      </c>
      <c r="G177" s="370">
        <v>1200</v>
      </c>
      <c r="H177" s="370" t="s">
        <v>61</v>
      </c>
      <c r="I177" s="370">
        <v>50</v>
      </c>
      <c r="J177" s="370" t="s">
        <v>13</v>
      </c>
      <c r="K177" s="370">
        <v>165</v>
      </c>
      <c r="L177" s="370">
        <v>-95.5</v>
      </c>
      <c r="M177" s="358" t="s">
        <v>14</v>
      </c>
      <c r="N177" s="370" t="s">
        <v>85</v>
      </c>
      <c r="O177" s="370" t="s">
        <v>27</v>
      </c>
      <c r="P177" s="68"/>
      <c r="Q177" s="367" t="s">
        <v>86</v>
      </c>
      <c r="T177" s="200">
        <v>1</v>
      </c>
    </row>
    <row r="178" spans="1:20" ht="15" customHeight="1" x14ac:dyDescent="0.3">
      <c r="A178" s="371"/>
      <c r="B178" s="371"/>
      <c r="C178" s="38">
        <v>-19986</v>
      </c>
      <c r="D178" s="371"/>
      <c r="E178" s="371"/>
      <c r="F178" s="371"/>
      <c r="G178" s="371"/>
      <c r="H178" s="371"/>
      <c r="I178" s="371"/>
      <c r="J178" s="371"/>
      <c r="K178" s="371"/>
      <c r="L178" s="371"/>
      <c r="M178" s="359"/>
      <c r="N178" s="371"/>
      <c r="O178" s="371"/>
      <c r="P178" s="224">
        <v>44066</v>
      </c>
      <c r="Q178" s="368"/>
    </row>
    <row r="179" spans="1:20" ht="15" customHeight="1" thickBot="1" x14ac:dyDescent="0.35">
      <c r="A179" s="372"/>
      <c r="B179" s="372"/>
      <c r="C179" s="39">
        <v>14600</v>
      </c>
      <c r="D179" s="372"/>
      <c r="E179" s="372"/>
      <c r="F179" s="372"/>
      <c r="G179" s="372"/>
      <c r="H179" s="372"/>
      <c r="I179" s="372"/>
      <c r="J179" s="372"/>
      <c r="K179" s="372"/>
      <c r="L179" s="372"/>
      <c r="M179" s="360"/>
      <c r="N179" s="372"/>
      <c r="O179" s="372"/>
      <c r="P179" s="70"/>
      <c r="Q179" s="369"/>
    </row>
    <row r="180" spans="1:20" ht="15" customHeight="1" thickBot="1" x14ac:dyDescent="0.35">
      <c r="A180" s="352" t="s">
        <v>88</v>
      </c>
      <c r="B180" s="353"/>
      <c r="C180" s="353"/>
      <c r="D180" s="353"/>
      <c r="E180" s="353"/>
      <c r="F180" s="353"/>
      <c r="G180" s="353"/>
      <c r="H180" s="353"/>
      <c r="I180" s="353"/>
      <c r="J180" s="353"/>
      <c r="K180" s="353"/>
      <c r="L180" s="353"/>
      <c r="M180" s="353"/>
      <c r="N180" s="353"/>
      <c r="O180" s="353"/>
      <c r="P180" s="353"/>
      <c r="Q180" s="354"/>
    </row>
    <row r="181" spans="1:20" ht="15" hidden="1" customHeight="1" x14ac:dyDescent="0.3">
      <c r="A181" s="367">
        <v>55</v>
      </c>
      <c r="B181" s="367" t="s">
        <v>74</v>
      </c>
      <c r="C181" s="40">
        <v>-15500</v>
      </c>
      <c r="D181" s="367">
        <v>1</v>
      </c>
      <c r="E181" s="367" t="s">
        <v>24</v>
      </c>
      <c r="F181" s="367">
        <v>1000</v>
      </c>
      <c r="G181" s="367">
        <v>1000</v>
      </c>
      <c r="H181" s="367" t="s">
        <v>25</v>
      </c>
      <c r="I181" s="367">
        <v>60</v>
      </c>
      <c r="J181" s="367" t="s">
        <v>13</v>
      </c>
      <c r="K181" s="367" t="s">
        <v>13</v>
      </c>
      <c r="L181" s="367">
        <v>29</v>
      </c>
      <c r="M181" s="358" t="s">
        <v>14</v>
      </c>
      <c r="N181" s="367" t="s">
        <v>89</v>
      </c>
      <c r="O181" s="367" t="s">
        <v>27</v>
      </c>
      <c r="P181" s="65"/>
      <c r="Q181" s="367" t="s">
        <v>28</v>
      </c>
      <c r="T181" s="200">
        <v>1</v>
      </c>
    </row>
    <row r="182" spans="1:20" ht="15" customHeight="1" x14ac:dyDescent="0.3">
      <c r="A182" s="368"/>
      <c r="B182" s="368"/>
      <c r="C182" s="41">
        <v>7885</v>
      </c>
      <c r="D182" s="368"/>
      <c r="E182" s="368"/>
      <c r="F182" s="368"/>
      <c r="G182" s="368"/>
      <c r="H182" s="368"/>
      <c r="I182" s="368"/>
      <c r="J182" s="368"/>
      <c r="K182" s="368"/>
      <c r="L182" s="368"/>
      <c r="M182" s="359"/>
      <c r="N182" s="368"/>
      <c r="O182" s="368"/>
      <c r="P182" s="226">
        <v>44066</v>
      </c>
      <c r="Q182" s="368"/>
    </row>
    <row r="183" spans="1:20" ht="15" customHeight="1" thickBot="1" x14ac:dyDescent="0.35">
      <c r="A183" s="369"/>
      <c r="B183" s="369"/>
      <c r="C183" s="42">
        <v>19650</v>
      </c>
      <c r="D183" s="369"/>
      <c r="E183" s="369"/>
      <c r="F183" s="369"/>
      <c r="G183" s="369"/>
      <c r="H183" s="369"/>
      <c r="I183" s="369"/>
      <c r="J183" s="369"/>
      <c r="K183" s="369"/>
      <c r="L183" s="369"/>
      <c r="M183" s="360"/>
      <c r="N183" s="369"/>
      <c r="O183" s="369"/>
      <c r="P183" s="67"/>
      <c r="Q183" s="369"/>
    </row>
    <row r="184" spans="1:20" ht="15" hidden="1" customHeight="1" x14ac:dyDescent="0.3">
      <c r="A184" s="367">
        <v>56</v>
      </c>
      <c r="B184" s="367" t="s">
        <v>74</v>
      </c>
      <c r="C184" s="40">
        <v>3490</v>
      </c>
      <c r="D184" s="367">
        <v>1</v>
      </c>
      <c r="E184" s="367" t="s">
        <v>24</v>
      </c>
      <c r="F184" s="367">
        <v>1000</v>
      </c>
      <c r="G184" s="367">
        <v>1000</v>
      </c>
      <c r="H184" s="367" t="s">
        <v>25</v>
      </c>
      <c r="I184" s="367">
        <v>60</v>
      </c>
      <c r="J184" s="367" t="s">
        <v>13</v>
      </c>
      <c r="K184" s="367" t="s">
        <v>13</v>
      </c>
      <c r="L184" s="367">
        <v>29</v>
      </c>
      <c r="M184" s="358" t="s">
        <v>14</v>
      </c>
      <c r="N184" s="367" t="s">
        <v>90</v>
      </c>
      <c r="O184" s="367" t="s">
        <v>27</v>
      </c>
      <c r="P184" s="65"/>
      <c r="Q184" s="367" t="s">
        <v>28</v>
      </c>
      <c r="R184" s="186">
        <v>44063</v>
      </c>
      <c r="T184" s="200">
        <v>1</v>
      </c>
    </row>
    <row r="185" spans="1:20" ht="15" customHeight="1" x14ac:dyDescent="0.3">
      <c r="A185" s="368"/>
      <c r="B185" s="368"/>
      <c r="C185" s="41">
        <v>-19090</v>
      </c>
      <c r="D185" s="368"/>
      <c r="E185" s="368"/>
      <c r="F185" s="368"/>
      <c r="G185" s="368"/>
      <c r="H185" s="368"/>
      <c r="I185" s="368"/>
      <c r="J185" s="368"/>
      <c r="K185" s="368"/>
      <c r="L185" s="368"/>
      <c r="M185" s="359"/>
      <c r="N185" s="368"/>
      <c r="O185" s="368"/>
      <c r="P185" s="226">
        <v>44063</v>
      </c>
      <c r="Q185" s="368"/>
    </row>
    <row r="186" spans="1:20" ht="15" customHeight="1" thickBot="1" x14ac:dyDescent="0.35">
      <c r="A186" s="369"/>
      <c r="B186" s="369"/>
      <c r="C186" s="42">
        <v>24740</v>
      </c>
      <c r="D186" s="369"/>
      <c r="E186" s="369"/>
      <c r="F186" s="369"/>
      <c r="G186" s="369"/>
      <c r="H186" s="369"/>
      <c r="I186" s="369"/>
      <c r="J186" s="369"/>
      <c r="K186" s="369"/>
      <c r="L186" s="369"/>
      <c r="M186" s="360"/>
      <c r="N186" s="369"/>
      <c r="O186" s="369"/>
      <c r="P186" s="67"/>
      <c r="Q186" s="369"/>
    </row>
    <row r="187" spans="1:20" ht="15" hidden="1" customHeight="1" x14ac:dyDescent="0.3">
      <c r="A187" s="367">
        <v>57</v>
      </c>
      <c r="B187" s="367" t="s">
        <v>74</v>
      </c>
      <c r="C187" s="40">
        <v>-4311</v>
      </c>
      <c r="D187" s="367">
        <v>1</v>
      </c>
      <c r="E187" s="367" t="s">
        <v>24</v>
      </c>
      <c r="F187" s="367">
        <v>1000</v>
      </c>
      <c r="G187" s="367">
        <v>1000</v>
      </c>
      <c r="H187" s="367" t="s">
        <v>25</v>
      </c>
      <c r="I187" s="367">
        <v>60</v>
      </c>
      <c r="J187" s="367" t="s">
        <v>13</v>
      </c>
      <c r="K187" s="367" t="s">
        <v>13</v>
      </c>
      <c r="L187" s="367">
        <v>29</v>
      </c>
      <c r="M187" s="358" t="s">
        <v>14</v>
      </c>
      <c r="N187" s="367" t="s">
        <v>91</v>
      </c>
      <c r="O187" s="367" t="s">
        <v>27</v>
      </c>
      <c r="P187" s="65"/>
      <c r="Q187" s="367" t="s">
        <v>28</v>
      </c>
      <c r="R187" s="186">
        <v>44063</v>
      </c>
      <c r="T187" s="200">
        <v>1</v>
      </c>
    </row>
    <row r="188" spans="1:20" ht="15" customHeight="1" x14ac:dyDescent="0.3">
      <c r="A188" s="368"/>
      <c r="B188" s="368"/>
      <c r="C188" s="41">
        <v>-15287</v>
      </c>
      <c r="D188" s="368"/>
      <c r="E188" s="368"/>
      <c r="F188" s="368"/>
      <c r="G188" s="368"/>
      <c r="H188" s="368"/>
      <c r="I188" s="368"/>
      <c r="J188" s="368"/>
      <c r="K188" s="368"/>
      <c r="L188" s="368"/>
      <c r="M188" s="359"/>
      <c r="N188" s="368"/>
      <c r="O188" s="368"/>
      <c r="P188" s="226">
        <v>44063</v>
      </c>
      <c r="Q188" s="368"/>
    </row>
    <row r="189" spans="1:20" ht="15" customHeight="1" thickBot="1" x14ac:dyDescent="0.35">
      <c r="A189" s="369"/>
      <c r="B189" s="369"/>
      <c r="C189" s="42">
        <v>24760</v>
      </c>
      <c r="D189" s="369"/>
      <c r="E189" s="369"/>
      <c r="F189" s="369"/>
      <c r="G189" s="369"/>
      <c r="H189" s="369"/>
      <c r="I189" s="369"/>
      <c r="J189" s="369"/>
      <c r="K189" s="369"/>
      <c r="L189" s="369"/>
      <c r="M189" s="360"/>
      <c r="N189" s="369"/>
      <c r="O189" s="369"/>
      <c r="P189" s="67"/>
      <c r="Q189" s="369"/>
    </row>
    <row r="190" spans="1:20" ht="15" customHeight="1" thickBot="1" x14ac:dyDescent="0.35">
      <c r="A190" s="352" t="s">
        <v>92</v>
      </c>
      <c r="B190" s="353"/>
      <c r="C190" s="353"/>
      <c r="D190" s="353"/>
      <c r="E190" s="353"/>
      <c r="F190" s="353"/>
      <c r="G190" s="353"/>
      <c r="H190" s="353"/>
      <c r="I190" s="353"/>
      <c r="J190" s="353"/>
      <c r="K190" s="353"/>
      <c r="L190" s="353"/>
      <c r="M190" s="353"/>
      <c r="N190" s="353"/>
      <c r="O190" s="353"/>
      <c r="P190" s="353"/>
      <c r="Q190" s="354"/>
    </row>
    <row r="191" spans="1:20" ht="15" customHeight="1" thickBot="1" x14ac:dyDescent="0.35">
      <c r="A191" s="382" t="s">
        <v>69</v>
      </c>
      <c r="B191" s="383"/>
      <c r="C191" s="383"/>
      <c r="D191" s="383"/>
      <c r="E191" s="383"/>
      <c r="F191" s="383"/>
      <c r="G191" s="383"/>
      <c r="H191" s="383"/>
      <c r="I191" s="383"/>
      <c r="J191" s="383"/>
      <c r="K191" s="383"/>
      <c r="L191" s="383"/>
      <c r="M191" s="383"/>
      <c r="N191" s="383"/>
      <c r="O191" s="383"/>
      <c r="P191" s="383"/>
      <c r="Q191" s="384"/>
    </row>
    <row r="192" spans="1:20" ht="15" customHeight="1" thickBot="1" x14ac:dyDescent="0.35">
      <c r="A192" s="352" t="s">
        <v>93</v>
      </c>
      <c r="B192" s="353"/>
      <c r="C192" s="353"/>
      <c r="D192" s="353"/>
      <c r="E192" s="353"/>
      <c r="F192" s="353"/>
      <c r="G192" s="353"/>
      <c r="H192" s="353"/>
      <c r="I192" s="353"/>
      <c r="J192" s="353"/>
      <c r="K192" s="353"/>
      <c r="L192" s="353"/>
      <c r="M192" s="353"/>
      <c r="N192" s="353"/>
      <c r="O192" s="353"/>
      <c r="P192" s="353"/>
      <c r="Q192" s="354"/>
    </row>
    <row r="193" spans="1:20" ht="15" hidden="1" customHeight="1" x14ac:dyDescent="0.3">
      <c r="A193" s="370">
        <v>58</v>
      </c>
      <c r="B193" s="370" t="s">
        <v>87</v>
      </c>
      <c r="C193" s="37">
        <v>-1185</v>
      </c>
      <c r="D193" s="370">
        <v>1</v>
      </c>
      <c r="E193" s="370" t="s">
        <v>94</v>
      </c>
      <c r="F193" s="370">
        <v>1450</v>
      </c>
      <c r="G193" s="370">
        <v>1100</v>
      </c>
      <c r="H193" s="370" t="s">
        <v>60</v>
      </c>
      <c r="I193" s="370">
        <v>50</v>
      </c>
      <c r="J193" s="370" t="s">
        <v>13</v>
      </c>
      <c r="K193" s="370">
        <v>145</v>
      </c>
      <c r="L193" s="370">
        <v>-61</v>
      </c>
      <c r="M193" s="358" t="s">
        <v>14</v>
      </c>
      <c r="N193" s="370" t="s">
        <v>95</v>
      </c>
      <c r="O193" s="370" t="s">
        <v>27</v>
      </c>
      <c r="P193" s="68"/>
      <c r="Q193" s="367" t="s">
        <v>86</v>
      </c>
      <c r="R193" s="186">
        <v>44063</v>
      </c>
      <c r="T193" s="200">
        <v>1</v>
      </c>
    </row>
    <row r="194" spans="1:20" ht="15" customHeight="1" x14ac:dyDescent="0.3">
      <c r="A194" s="371"/>
      <c r="B194" s="371"/>
      <c r="C194" s="38">
        <v>20800</v>
      </c>
      <c r="D194" s="371"/>
      <c r="E194" s="371"/>
      <c r="F194" s="371"/>
      <c r="G194" s="371"/>
      <c r="H194" s="371"/>
      <c r="I194" s="371"/>
      <c r="J194" s="371"/>
      <c r="K194" s="371"/>
      <c r="L194" s="371"/>
      <c r="M194" s="359"/>
      <c r="N194" s="371"/>
      <c r="O194" s="371"/>
      <c r="P194" s="224">
        <v>44063</v>
      </c>
      <c r="Q194" s="368"/>
    </row>
    <row r="195" spans="1:20" ht="15" customHeight="1" thickBot="1" x14ac:dyDescent="0.35">
      <c r="A195" s="372"/>
      <c r="B195" s="372"/>
      <c r="C195" s="39">
        <v>26550</v>
      </c>
      <c r="D195" s="372"/>
      <c r="E195" s="372"/>
      <c r="F195" s="372"/>
      <c r="G195" s="372"/>
      <c r="H195" s="372"/>
      <c r="I195" s="372"/>
      <c r="J195" s="372"/>
      <c r="K195" s="372"/>
      <c r="L195" s="372"/>
      <c r="M195" s="360"/>
      <c r="N195" s="372"/>
      <c r="O195" s="372"/>
      <c r="P195" s="70"/>
      <c r="Q195" s="369"/>
    </row>
    <row r="196" spans="1:20" ht="15" hidden="1" customHeight="1" x14ac:dyDescent="0.3">
      <c r="A196" s="370">
        <v>59</v>
      </c>
      <c r="B196" s="370" t="s">
        <v>84</v>
      </c>
      <c r="C196" s="37">
        <v>-685</v>
      </c>
      <c r="D196" s="370">
        <v>1</v>
      </c>
      <c r="E196" s="370" t="s">
        <v>94</v>
      </c>
      <c r="F196" s="370">
        <v>1450</v>
      </c>
      <c r="G196" s="370">
        <v>1100</v>
      </c>
      <c r="H196" s="370" t="s">
        <v>60</v>
      </c>
      <c r="I196" s="370">
        <v>50</v>
      </c>
      <c r="J196" s="370" t="s">
        <v>13</v>
      </c>
      <c r="K196" s="370">
        <v>125</v>
      </c>
      <c r="L196" s="370">
        <v>-41</v>
      </c>
      <c r="M196" s="358" t="s">
        <v>14</v>
      </c>
      <c r="N196" s="370" t="s">
        <v>95</v>
      </c>
      <c r="O196" s="370" t="s">
        <v>27</v>
      </c>
      <c r="P196" s="223">
        <v>44066</v>
      </c>
      <c r="Q196" s="367" t="s">
        <v>86</v>
      </c>
      <c r="T196" s="200">
        <v>1</v>
      </c>
    </row>
    <row r="197" spans="1:20" ht="15" customHeight="1" x14ac:dyDescent="0.3">
      <c r="A197" s="371"/>
      <c r="B197" s="371"/>
      <c r="C197" s="38">
        <v>20800</v>
      </c>
      <c r="D197" s="371"/>
      <c r="E197" s="371"/>
      <c r="F197" s="371"/>
      <c r="G197" s="371"/>
      <c r="H197" s="371"/>
      <c r="I197" s="371"/>
      <c r="J197" s="371"/>
      <c r="K197" s="371"/>
      <c r="L197" s="371"/>
      <c r="M197" s="359"/>
      <c r="N197" s="371"/>
      <c r="O197" s="371"/>
      <c r="P197" s="69"/>
      <c r="Q197" s="368"/>
    </row>
    <row r="198" spans="1:20" ht="15" customHeight="1" thickBot="1" x14ac:dyDescent="0.35">
      <c r="A198" s="372"/>
      <c r="B198" s="372"/>
      <c r="C198" s="39">
        <v>26550</v>
      </c>
      <c r="D198" s="372"/>
      <c r="E198" s="372"/>
      <c r="F198" s="372"/>
      <c r="G198" s="372"/>
      <c r="H198" s="372"/>
      <c r="I198" s="372"/>
      <c r="J198" s="372"/>
      <c r="K198" s="372"/>
      <c r="L198" s="372"/>
      <c r="M198" s="360"/>
      <c r="N198" s="372"/>
      <c r="O198" s="372"/>
      <c r="P198" s="70"/>
      <c r="Q198" s="369"/>
    </row>
    <row r="199" spans="1:20" ht="15" hidden="1" customHeight="1" x14ac:dyDescent="0.3">
      <c r="A199" s="370">
        <v>60</v>
      </c>
      <c r="B199" s="370" t="s">
        <v>87</v>
      </c>
      <c r="C199" s="37">
        <v>-13900</v>
      </c>
      <c r="D199" s="370">
        <v>1</v>
      </c>
      <c r="E199" s="370" t="s">
        <v>24</v>
      </c>
      <c r="F199" s="370">
        <v>1450</v>
      </c>
      <c r="G199" s="370">
        <v>1100</v>
      </c>
      <c r="H199" s="370" t="s">
        <v>60</v>
      </c>
      <c r="I199" s="370">
        <v>50</v>
      </c>
      <c r="J199" s="370" t="s">
        <v>13</v>
      </c>
      <c r="K199" s="370">
        <v>135</v>
      </c>
      <c r="L199" s="370">
        <v>-29</v>
      </c>
      <c r="M199" s="358" t="s">
        <v>14</v>
      </c>
      <c r="N199" s="370" t="s">
        <v>95</v>
      </c>
      <c r="O199" s="370" t="s">
        <v>27</v>
      </c>
      <c r="P199" s="247"/>
      <c r="Q199" s="367" t="s">
        <v>86</v>
      </c>
      <c r="T199" s="200">
        <v>1</v>
      </c>
    </row>
    <row r="200" spans="1:20" ht="15" customHeight="1" x14ac:dyDescent="0.3">
      <c r="A200" s="371"/>
      <c r="B200" s="371"/>
      <c r="C200" s="38">
        <v>13600</v>
      </c>
      <c r="D200" s="371"/>
      <c r="E200" s="371"/>
      <c r="F200" s="371"/>
      <c r="G200" s="371"/>
      <c r="H200" s="371"/>
      <c r="I200" s="371"/>
      <c r="J200" s="371"/>
      <c r="K200" s="371"/>
      <c r="L200" s="371"/>
      <c r="M200" s="359"/>
      <c r="N200" s="371"/>
      <c r="O200" s="371"/>
      <c r="P200" s="224">
        <v>44079</v>
      </c>
      <c r="Q200" s="368"/>
      <c r="R200" s="186">
        <v>44079</v>
      </c>
    </row>
    <row r="201" spans="1:20" ht="15" customHeight="1" thickBot="1" x14ac:dyDescent="0.35">
      <c r="A201" s="372"/>
      <c r="B201" s="372"/>
      <c r="C201" s="39">
        <v>26550</v>
      </c>
      <c r="D201" s="372"/>
      <c r="E201" s="372"/>
      <c r="F201" s="372"/>
      <c r="G201" s="372"/>
      <c r="H201" s="372"/>
      <c r="I201" s="372"/>
      <c r="J201" s="372"/>
      <c r="K201" s="372"/>
      <c r="L201" s="372"/>
      <c r="M201" s="360"/>
      <c r="N201" s="372"/>
      <c r="O201" s="372"/>
      <c r="P201" s="248"/>
      <c r="Q201" s="369"/>
    </row>
    <row r="202" spans="1:20" ht="15" hidden="1" customHeight="1" x14ac:dyDescent="0.3">
      <c r="A202" s="370">
        <v>61</v>
      </c>
      <c r="B202" s="370" t="s">
        <v>84</v>
      </c>
      <c r="C202" s="37">
        <v>-13300</v>
      </c>
      <c r="D202" s="370">
        <v>1</v>
      </c>
      <c r="E202" s="370" t="s">
        <v>24</v>
      </c>
      <c r="F202" s="370">
        <v>1450</v>
      </c>
      <c r="G202" s="370">
        <v>1100</v>
      </c>
      <c r="H202" s="370" t="s">
        <v>60</v>
      </c>
      <c r="I202" s="370">
        <v>50</v>
      </c>
      <c r="J202" s="370" t="s">
        <v>13</v>
      </c>
      <c r="K202" s="370">
        <v>125</v>
      </c>
      <c r="L202" s="370">
        <v>-19</v>
      </c>
      <c r="M202" s="358" t="s">
        <v>14</v>
      </c>
      <c r="N202" s="370" t="s">
        <v>95</v>
      </c>
      <c r="O202" s="370" t="s">
        <v>27</v>
      </c>
      <c r="P202" s="247"/>
      <c r="Q202" s="367" t="s">
        <v>86</v>
      </c>
      <c r="T202" s="200">
        <v>1</v>
      </c>
    </row>
    <row r="203" spans="1:20" ht="15" customHeight="1" x14ac:dyDescent="0.3">
      <c r="A203" s="371"/>
      <c r="B203" s="371"/>
      <c r="C203" s="38">
        <v>13600</v>
      </c>
      <c r="D203" s="371"/>
      <c r="E203" s="371"/>
      <c r="F203" s="371"/>
      <c r="G203" s="371"/>
      <c r="H203" s="371"/>
      <c r="I203" s="371"/>
      <c r="J203" s="371"/>
      <c r="K203" s="371"/>
      <c r="L203" s="371"/>
      <c r="M203" s="359"/>
      <c r="N203" s="371"/>
      <c r="O203" s="371"/>
      <c r="P203" s="224">
        <v>44079</v>
      </c>
      <c r="Q203" s="368"/>
      <c r="R203" s="186">
        <v>44079</v>
      </c>
    </row>
    <row r="204" spans="1:20" ht="15" customHeight="1" thickBot="1" x14ac:dyDescent="0.35">
      <c r="A204" s="372"/>
      <c r="B204" s="372"/>
      <c r="C204" s="39">
        <v>26550</v>
      </c>
      <c r="D204" s="372"/>
      <c r="E204" s="372"/>
      <c r="F204" s="372"/>
      <c r="G204" s="372"/>
      <c r="H204" s="372"/>
      <c r="I204" s="372"/>
      <c r="J204" s="372"/>
      <c r="K204" s="372"/>
      <c r="L204" s="372"/>
      <c r="M204" s="360"/>
      <c r="N204" s="372"/>
      <c r="O204" s="372"/>
      <c r="P204" s="248"/>
      <c r="Q204" s="369"/>
    </row>
    <row r="205" spans="1:20" ht="15" hidden="1" customHeight="1" x14ac:dyDescent="0.3">
      <c r="A205" s="370">
        <v>62</v>
      </c>
      <c r="B205" s="370" t="s">
        <v>87</v>
      </c>
      <c r="C205" s="37">
        <v>-17716</v>
      </c>
      <c r="D205" s="370">
        <v>1</v>
      </c>
      <c r="E205" s="370" t="s">
        <v>24</v>
      </c>
      <c r="F205" s="370">
        <v>1700</v>
      </c>
      <c r="G205" s="370">
        <v>1100</v>
      </c>
      <c r="H205" s="370" t="s">
        <v>96</v>
      </c>
      <c r="I205" s="370">
        <v>50</v>
      </c>
      <c r="J205" s="370" t="s">
        <v>13</v>
      </c>
      <c r="K205" s="370">
        <v>135</v>
      </c>
      <c r="L205" s="370">
        <v>77.5</v>
      </c>
      <c r="M205" s="358" t="s">
        <v>14</v>
      </c>
      <c r="N205" s="370" t="s">
        <v>97</v>
      </c>
      <c r="O205" s="370" t="s">
        <v>27</v>
      </c>
      <c r="P205" s="68"/>
      <c r="Q205" s="367" t="s">
        <v>98</v>
      </c>
      <c r="T205" s="200">
        <v>1</v>
      </c>
    </row>
    <row r="206" spans="1:20" ht="15" customHeight="1" x14ac:dyDescent="0.3">
      <c r="A206" s="371"/>
      <c r="B206" s="371"/>
      <c r="C206" s="38">
        <v>-10445</v>
      </c>
      <c r="D206" s="371"/>
      <c r="E206" s="371"/>
      <c r="F206" s="371"/>
      <c r="G206" s="371"/>
      <c r="H206" s="371"/>
      <c r="I206" s="371"/>
      <c r="J206" s="371"/>
      <c r="K206" s="371"/>
      <c r="L206" s="371"/>
      <c r="M206" s="359"/>
      <c r="N206" s="371"/>
      <c r="O206" s="371"/>
      <c r="P206" s="224">
        <v>44066</v>
      </c>
      <c r="Q206" s="368"/>
    </row>
    <row r="207" spans="1:20" ht="15" customHeight="1" thickBot="1" x14ac:dyDescent="0.35">
      <c r="A207" s="372"/>
      <c r="B207" s="372"/>
      <c r="C207" s="39">
        <v>26800</v>
      </c>
      <c r="D207" s="372"/>
      <c r="E207" s="372"/>
      <c r="F207" s="372"/>
      <c r="G207" s="372"/>
      <c r="H207" s="372"/>
      <c r="I207" s="372"/>
      <c r="J207" s="372"/>
      <c r="K207" s="372"/>
      <c r="L207" s="372"/>
      <c r="M207" s="360"/>
      <c r="N207" s="372"/>
      <c r="O207" s="372"/>
      <c r="P207" s="70"/>
      <c r="Q207" s="369"/>
    </row>
    <row r="208" spans="1:20" ht="15" hidden="1" customHeight="1" x14ac:dyDescent="0.3">
      <c r="A208" s="370">
        <v>63</v>
      </c>
      <c r="B208" s="370" t="s">
        <v>84</v>
      </c>
      <c r="C208" s="37">
        <v>-18056</v>
      </c>
      <c r="D208" s="370">
        <v>1</v>
      </c>
      <c r="E208" s="370" t="s">
        <v>24</v>
      </c>
      <c r="F208" s="370">
        <v>1700</v>
      </c>
      <c r="G208" s="370">
        <v>1100</v>
      </c>
      <c r="H208" s="370" t="s">
        <v>96</v>
      </c>
      <c r="I208" s="370">
        <v>50</v>
      </c>
      <c r="J208" s="370" t="s">
        <v>13</v>
      </c>
      <c r="K208" s="370">
        <v>125</v>
      </c>
      <c r="L208" s="370">
        <v>87.5</v>
      </c>
      <c r="M208" s="358" t="s">
        <v>14</v>
      </c>
      <c r="N208" s="370" t="s">
        <v>97</v>
      </c>
      <c r="O208" s="370" t="s">
        <v>27</v>
      </c>
      <c r="P208" s="68"/>
      <c r="Q208" s="367" t="s">
        <v>98</v>
      </c>
      <c r="T208" s="200">
        <v>1</v>
      </c>
    </row>
    <row r="209" spans="1:20" ht="15" customHeight="1" x14ac:dyDescent="0.3">
      <c r="A209" s="371"/>
      <c r="B209" s="371"/>
      <c r="C209" s="38">
        <v>-9835</v>
      </c>
      <c r="D209" s="371"/>
      <c r="E209" s="371"/>
      <c r="F209" s="371"/>
      <c r="G209" s="371"/>
      <c r="H209" s="371"/>
      <c r="I209" s="371"/>
      <c r="J209" s="371"/>
      <c r="K209" s="371"/>
      <c r="L209" s="371"/>
      <c r="M209" s="359"/>
      <c r="N209" s="371"/>
      <c r="O209" s="371"/>
      <c r="P209" s="69"/>
      <c r="Q209" s="368"/>
    </row>
    <row r="210" spans="1:20" ht="15" customHeight="1" thickBot="1" x14ac:dyDescent="0.35">
      <c r="A210" s="372"/>
      <c r="B210" s="372"/>
      <c r="C210" s="39">
        <v>26800</v>
      </c>
      <c r="D210" s="372"/>
      <c r="E210" s="372"/>
      <c r="F210" s="372"/>
      <c r="G210" s="372"/>
      <c r="H210" s="372"/>
      <c r="I210" s="372"/>
      <c r="J210" s="372"/>
      <c r="K210" s="372"/>
      <c r="L210" s="372"/>
      <c r="M210" s="360"/>
      <c r="N210" s="372"/>
      <c r="O210" s="372"/>
      <c r="P210" s="225">
        <v>44066</v>
      </c>
      <c r="Q210" s="369"/>
    </row>
    <row r="211" spans="1:20" ht="15" customHeight="1" thickBot="1" x14ac:dyDescent="0.35">
      <c r="A211" s="352" t="s">
        <v>99</v>
      </c>
      <c r="B211" s="353"/>
      <c r="C211" s="353"/>
      <c r="D211" s="353"/>
      <c r="E211" s="353"/>
      <c r="F211" s="353"/>
      <c r="G211" s="353"/>
      <c r="H211" s="353"/>
      <c r="I211" s="353"/>
      <c r="J211" s="353"/>
      <c r="K211" s="353"/>
      <c r="L211" s="353"/>
      <c r="M211" s="353"/>
      <c r="N211" s="353"/>
      <c r="O211" s="353"/>
      <c r="P211" s="353"/>
      <c r="Q211" s="354"/>
    </row>
    <row r="212" spans="1:20" ht="15" customHeight="1" thickBot="1" x14ac:dyDescent="0.35">
      <c r="A212" s="382" t="s">
        <v>69</v>
      </c>
      <c r="B212" s="383"/>
      <c r="C212" s="383"/>
      <c r="D212" s="383"/>
      <c r="E212" s="383"/>
      <c r="F212" s="383"/>
      <c r="G212" s="383"/>
      <c r="H212" s="383"/>
      <c r="I212" s="383"/>
      <c r="J212" s="383"/>
      <c r="K212" s="383"/>
      <c r="L212" s="383"/>
      <c r="M212" s="383"/>
      <c r="N212" s="383"/>
      <c r="O212" s="383"/>
      <c r="P212" s="383"/>
      <c r="Q212" s="384"/>
    </row>
    <row r="213" spans="1:20" ht="15" customHeight="1" thickBot="1" x14ac:dyDescent="0.35">
      <c r="A213" s="352" t="s">
        <v>100</v>
      </c>
      <c r="B213" s="353"/>
      <c r="C213" s="353"/>
      <c r="D213" s="353"/>
      <c r="E213" s="353"/>
      <c r="F213" s="353"/>
      <c r="G213" s="353"/>
      <c r="H213" s="353"/>
      <c r="I213" s="353"/>
      <c r="J213" s="353"/>
      <c r="K213" s="353"/>
      <c r="L213" s="353"/>
      <c r="M213" s="353"/>
      <c r="N213" s="353"/>
      <c r="O213" s="353"/>
      <c r="P213" s="353"/>
      <c r="Q213" s="354"/>
    </row>
    <row r="214" spans="1:20" ht="15" hidden="1" customHeight="1" x14ac:dyDescent="0.3">
      <c r="A214" s="385">
        <v>64</v>
      </c>
      <c r="B214" s="385" t="s">
        <v>84</v>
      </c>
      <c r="C214" s="45">
        <v>-18373</v>
      </c>
      <c r="D214" s="385">
        <v>1</v>
      </c>
      <c r="E214" s="385" t="s">
        <v>24</v>
      </c>
      <c r="F214" s="385">
        <v>400</v>
      </c>
      <c r="G214" s="388">
        <v>340</v>
      </c>
      <c r="H214" s="385" t="s">
        <v>96</v>
      </c>
      <c r="I214" s="385">
        <v>50</v>
      </c>
      <c r="J214" s="385" t="s">
        <v>13</v>
      </c>
      <c r="K214" s="385">
        <v>125</v>
      </c>
      <c r="L214" s="385">
        <v>87.5</v>
      </c>
      <c r="M214" s="355" t="s">
        <v>14</v>
      </c>
      <c r="N214" s="388" t="s">
        <v>101</v>
      </c>
      <c r="O214" s="385" t="s">
        <v>27</v>
      </c>
      <c r="P214" s="74"/>
      <c r="Q214" s="388" t="s">
        <v>98</v>
      </c>
      <c r="T214" s="287">
        <v>1</v>
      </c>
    </row>
    <row r="215" spans="1:20" ht="15" customHeight="1" x14ac:dyDescent="0.3">
      <c r="A215" s="386"/>
      <c r="B215" s="386"/>
      <c r="C215" s="46">
        <v>-9269</v>
      </c>
      <c r="D215" s="386"/>
      <c r="E215" s="386"/>
      <c r="F215" s="386"/>
      <c r="G215" s="389"/>
      <c r="H215" s="386"/>
      <c r="I215" s="386"/>
      <c r="J215" s="386"/>
      <c r="K215" s="386"/>
      <c r="L215" s="386"/>
      <c r="M215" s="356"/>
      <c r="N215" s="389"/>
      <c r="O215" s="386"/>
      <c r="P215" s="75"/>
      <c r="Q215" s="389"/>
    </row>
    <row r="216" spans="1:20" ht="15" customHeight="1" thickBot="1" x14ac:dyDescent="0.35">
      <c r="A216" s="387"/>
      <c r="B216" s="387"/>
      <c r="C216" s="47">
        <v>34208</v>
      </c>
      <c r="D216" s="387"/>
      <c r="E216" s="387"/>
      <c r="F216" s="387"/>
      <c r="G216" s="390"/>
      <c r="H216" s="387"/>
      <c r="I216" s="387"/>
      <c r="J216" s="387"/>
      <c r="K216" s="387"/>
      <c r="L216" s="387"/>
      <c r="M216" s="357"/>
      <c r="N216" s="390"/>
      <c r="O216" s="387"/>
      <c r="P216" s="76"/>
      <c r="Q216" s="390"/>
    </row>
    <row r="217" spans="1:20" ht="15" hidden="1" customHeight="1" x14ac:dyDescent="0.3">
      <c r="A217" s="385">
        <v>65</v>
      </c>
      <c r="B217" s="385" t="s">
        <v>87</v>
      </c>
      <c r="C217" s="45">
        <v>-18031</v>
      </c>
      <c r="D217" s="385">
        <v>1</v>
      </c>
      <c r="E217" s="385" t="s">
        <v>24</v>
      </c>
      <c r="F217" s="385">
        <v>400</v>
      </c>
      <c r="G217" s="388">
        <v>340</v>
      </c>
      <c r="H217" s="385" t="s">
        <v>96</v>
      </c>
      <c r="I217" s="385">
        <v>50</v>
      </c>
      <c r="J217" s="385" t="s">
        <v>13</v>
      </c>
      <c r="K217" s="385">
        <v>135</v>
      </c>
      <c r="L217" s="385">
        <v>77.5</v>
      </c>
      <c r="M217" s="355" t="s">
        <v>14</v>
      </c>
      <c r="N217" s="388" t="s">
        <v>101</v>
      </c>
      <c r="O217" s="385" t="s">
        <v>27</v>
      </c>
      <c r="P217" s="74"/>
      <c r="Q217" s="388" t="s">
        <v>98</v>
      </c>
      <c r="T217" s="287">
        <v>1</v>
      </c>
    </row>
    <row r="218" spans="1:20" ht="15" customHeight="1" x14ac:dyDescent="0.3">
      <c r="A218" s="386"/>
      <c r="B218" s="386"/>
      <c r="C218" s="46">
        <v>-9878</v>
      </c>
      <c r="D218" s="386"/>
      <c r="E218" s="386"/>
      <c r="F218" s="386"/>
      <c r="G218" s="389"/>
      <c r="H218" s="386"/>
      <c r="I218" s="386"/>
      <c r="J218" s="386"/>
      <c r="K218" s="386"/>
      <c r="L218" s="386"/>
      <c r="M218" s="356"/>
      <c r="N218" s="389"/>
      <c r="O218" s="386"/>
      <c r="P218" s="75"/>
      <c r="Q218" s="389"/>
    </row>
    <row r="219" spans="1:20" ht="15" customHeight="1" thickBot="1" x14ac:dyDescent="0.35">
      <c r="A219" s="387"/>
      <c r="B219" s="387"/>
      <c r="C219" s="47">
        <v>34208</v>
      </c>
      <c r="D219" s="387"/>
      <c r="E219" s="387"/>
      <c r="F219" s="387"/>
      <c r="G219" s="390"/>
      <c r="H219" s="387"/>
      <c r="I219" s="387"/>
      <c r="J219" s="387"/>
      <c r="K219" s="387"/>
      <c r="L219" s="387"/>
      <c r="M219" s="357"/>
      <c r="N219" s="390"/>
      <c r="O219" s="387"/>
      <c r="P219" s="76"/>
      <c r="Q219" s="390"/>
    </row>
    <row r="220" spans="1:20" ht="15" customHeight="1" thickBot="1" x14ac:dyDescent="0.35">
      <c r="A220" s="352" t="s">
        <v>102</v>
      </c>
      <c r="B220" s="353"/>
      <c r="C220" s="353"/>
      <c r="D220" s="353"/>
      <c r="E220" s="353"/>
      <c r="F220" s="353"/>
      <c r="G220" s="353"/>
      <c r="H220" s="353"/>
      <c r="I220" s="353"/>
      <c r="J220" s="353"/>
      <c r="K220" s="353"/>
      <c r="L220" s="353"/>
      <c r="M220" s="353"/>
      <c r="N220" s="353"/>
      <c r="O220" s="353"/>
      <c r="P220" s="353"/>
      <c r="Q220" s="354"/>
    </row>
    <row r="221" spans="1:20" ht="15" customHeight="1" x14ac:dyDescent="0.3">
      <c r="A221" s="367">
        <v>66</v>
      </c>
      <c r="B221" s="367" t="s">
        <v>10</v>
      </c>
      <c r="C221" s="40">
        <v>9155</v>
      </c>
      <c r="D221" s="367">
        <v>1</v>
      </c>
      <c r="E221" s="367" t="s">
        <v>30</v>
      </c>
      <c r="F221" s="367">
        <v>800</v>
      </c>
      <c r="G221" s="367">
        <v>800</v>
      </c>
      <c r="H221" s="367" t="s">
        <v>25</v>
      </c>
      <c r="I221" s="367">
        <v>20</v>
      </c>
      <c r="J221" s="367" t="s">
        <v>13</v>
      </c>
      <c r="K221" s="367" t="s">
        <v>13</v>
      </c>
      <c r="L221" s="367">
        <v>29</v>
      </c>
      <c r="M221" s="358" t="s">
        <v>14</v>
      </c>
      <c r="N221" s="367" t="s">
        <v>103</v>
      </c>
      <c r="O221" s="367" t="s">
        <v>27</v>
      </c>
      <c r="P221" s="261"/>
      <c r="Q221" s="367" t="s">
        <v>28</v>
      </c>
      <c r="T221" s="200">
        <v>1</v>
      </c>
    </row>
    <row r="222" spans="1:20" ht="15" customHeight="1" x14ac:dyDescent="0.3">
      <c r="A222" s="368"/>
      <c r="B222" s="368"/>
      <c r="C222" s="41">
        <v>23693</v>
      </c>
      <c r="D222" s="368"/>
      <c r="E222" s="368"/>
      <c r="F222" s="368"/>
      <c r="G222" s="368"/>
      <c r="H222" s="368"/>
      <c r="I222" s="368"/>
      <c r="J222" s="368"/>
      <c r="K222" s="368"/>
      <c r="L222" s="368"/>
      <c r="M222" s="359"/>
      <c r="N222" s="368"/>
      <c r="O222" s="368"/>
      <c r="P222" s="226">
        <v>44090</v>
      </c>
      <c r="Q222" s="368"/>
      <c r="R222" s="186">
        <v>44090</v>
      </c>
    </row>
    <row r="223" spans="1:20" ht="15" customHeight="1" thickBot="1" x14ac:dyDescent="0.35">
      <c r="A223" s="369"/>
      <c r="B223" s="369"/>
      <c r="C223" s="42">
        <v>3800</v>
      </c>
      <c r="D223" s="369"/>
      <c r="E223" s="369"/>
      <c r="F223" s="369"/>
      <c r="G223" s="369"/>
      <c r="H223" s="369"/>
      <c r="I223" s="369"/>
      <c r="J223" s="369"/>
      <c r="K223" s="369"/>
      <c r="L223" s="369"/>
      <c r="M223" s="360"/>
      <c r="N223" s="369"/>
      <c r="O223" s="369"/>
      <c r="P223" s="262"/>
      <c r="Q223" s="369"/>
    </row>
    <row r="224" spans="1:20" ht="15" customHeight="1" x14ac:dyDescent="0.3">
      <c r="A224" s="367">
        <v>67</v>
      </c>
      <c r="B224" s="367" t="s">
        <v>10</v>
      </c>
      <c r="C224" s="40">
        <v>-24555</v>
      </c>
      <c r="D224" s="367">
        <v>1</v>
      </c>
      <c r="E224" s="367" t="s">
        <v>30</v>
      </c>
      <c r="F224" s="367">
        <v>800</v>
      </c>
      <c r="G224" s="367">
        <v>800</v>
      </c>
      <c r="H224" s="367" t="s">
        <v>25</v>
      </c>
      <c r="I224" s="367">
        <v>20</v>
      </c>
      <c r="J224" s="367" t="s">
        <v>13</v>
      </c>
      <c r="K224" s="367" t="s">
        <v>13</v>
      </c>
      <c r="L224" s="367">
        <v>29</v>
      </c>
      <c r="M224" s="358" t="s">
        <v>14</v>
      </c>
      <c r="N224" s="367" t="s">
        <v>104</v>
      </c>
      <c r="O224" s="367" t="s">
        <v>27</v>
      </c>
      <c r="P224" s="261"/>
      <c r="Q224" s="367" t="s">
        <v>28</v>
      </c>
      <c r="T224" s="200">
        <v>1</v>
      </c>
    </row>
    <row r="225" spans="1:20" ht="15" customHeight="1" x14ac:dyDescent="0.3">
      <c r="A225" s="368"/>
      <c r="B225" s="368"/>
      <c r="C225" s="41">
        <v>6495</v>
      </c>
      <c r="D225" s="368"/>
      <c r="E225" s="368"/>
      <c r="F225" s="368"/>
      <c r="G225" s="368"/>
      <c r="H225" s="368"/>
      <c r="I225" s="368"/>
      <c r="J225" s="368"/>
      <c r="K225" s="368"/>
      <c r="L225" s="368"/>
      <c r="M225" s="359"/>
      <c r="N225" s="368"/>
      <c r="O225" s="368"/>
      <c r="P225" s="226">
        <v>44090</v>
      </c>
      <c r="Q225" s="368"/>
      <c r="R225" s="186">
        <v>44090</v>
      </c>
    </row>
    <row r="226" spans="1:20" ht="15" customHeight="1" thickBot="1" x14ac:dyDescent="0.35">
      <c r="A226" s="369"/>
      <c r="B226" s="369"/>
      <c r="C226" s="42">
        <v>2480</v>
      </c>
      <c r="D226" s="369"/>
      <c r="E226" s="369"/>
      <c r="F226" s="369"/>
      <c r="G226" s="369"/>
      <c r="H226" s="369"/>
      <c r="I226" s="369"/>
      <c r="J226" s="369"/>
      <c r="K226" s="369"/>
      <c r="L226" s="369"/>
      <c r="M226" s="360"/>
      <c r="N226" s="369"/>
      <c r="O226" s="369"/>
      <c r="P226" s="262"/>
      <c r="Q226" s="369"/>
    </row>
    <row r="227" spans="1:20" ht="15" customHeight="1" x14ac:dyDescent="0.3">
      <c r="A227" s="367">
        <v>68</v>
      </c>
      <c r="B227" s="367" t="s">
        <v>10</v>
      </c>
      <c r="C227" s="40">
        <v>-24555</v>
      </c>
      <c r="D227" s="367">
        <v>1</v>
      </c>
      <c r="E227" s="367" t="s">
        <v>30</v>
      </c>
      <c r="F227" s="367">
        <v>800</v>
      </c>
      <c r="G227" s="367">
        <v>800</v>
      </c>
      <c r="H227" s="367" t="s">
        <v>25</v>
      </c>
      <c r="I227" s="367">
        <v>20</v>
      </c>
      <c r="J227" s="367" t="s">
        <v>13</v>
      </c>
      <c r="K227" s="367" t="s">
        <v>13</v>
      </c>
      <c r="L227" s="367">
        <v>29</v>
      </c>
      <c r="M227" s="358" t="s">
        <v>14</v>
      </c>
      <c r="N227" s="367" t="s">
        <v>105</v>
      </c>
      <c r="O227" s="367" t="s">
        <v>27</v>
      </c>
      <c r="P227" s="261"/>
      <c r="Q227" s="367" t="s">
        <v>28</v>
      </c>
      <c r="T227" s="200">
        <v>1</v>
      </c>
    </row>
    <row r="228" spans="1:20" ht="15" customHeight="1" x14ac:dyDescent="0.3">
      <c r="A228" s="368"/>
      <c r="B228" s="368"/>
      <c r="C228" s="41">
        <v>-6496</v>
      </c>
      <c r="D228" s="368"/>
      <c r="E228" s="368"/>
      <c r="F228" s="368"/>
      <c r="G228" s="368"/>
      <c r="H228" s="368"/>
      <c r="I228" s="368"/>
      <c r="J228" s="368"/>
      <c r="K228" s="368"/>
      <c r="L228" s="368"/>
      <c r="M228" s="359"/>
      <c r="N228" s="368"/>
      <c r="O228" s="368"/>
      <c r="P228" s="226">
        <v>44090</v>
      </c>
      <c r="Q228" s="368"/>
      <c r="R228" s="186">
        <v>44090</v>
      </c>
    </row>
    <row r="229" spans="1:20" ht="15" customHeight="1" thickBot="1" x14ac:dyDescent="0.35">
      <c r="A229" s="369"/>
      <c r="B229" s="369"/>
      <c r="C229" s="42">
        <v>2480</v>
      </c>
      <c r="D229" s="369"/>
      <c r="E229" s="369"/>
      <c r="F229" s="369"/>
      <c r="G229" s="369"/>
      <c r="H229" s="369"/>
      <c r="I229" s="369"/>
      <c r="J229" s="369"/>
      <c r="K229" s="369"/>
      <c r="L229" s="369"/>
      <c r="M229" s="360"/>
      <c r="N229" s="369"/>
      <c r="O229" s="369"/>
      <c r="P229" s="262"/>
      <c r="Q229" s="369"/>
    </row>
    <row r="230" spans="1:20" ht="15" customHeight="1" x14ac:dyDescent="0.3">
      <c r="A230" s="388">
        <v>69</v>
      </c>
      <c r="B230" s="388" t="s">
        <v>10</v>
      </c>
      <c r="C230" s="45">
        <v>-24701</v>
      </c>
      <c r="D230" s="388">
        <v>1</v>
      </c>
      <c r="E230" s="388" t="s">
        <v>30</v>
      </c>
      <c r="F230" s="388">
        <v>800</v>
      </c>
      <c r="G230" s="388">
        <v>800</v>
      </c>
      <c r="H230" s="388" t="s">
        <v>25</v>
      </c>
      <c r="I230" s="388">
        <v>20</v>
      </c>
      <c r="J230" s="388" t="s">
        <v>13</v>
      </c>
      <c r="K230" s="388" t="s">
        <v>13</v>
      </c>
      <c r="L230" s="388">
        <v>29</v>
      </c>
      <c r="M230" s="355" t="s">
        <v>14</v>
      </c>
      <c r="N230" s="388" t="s">
        <v>106</v>
      </c>
      <c r="O230" s="388" t="s">
        <v>27</v>
      </c>
      <c r="P230" s="80"/>
      <c r="Q230" s="388" t="s">
        <v>28</v>
      </c>
      <c r="T230" s="287">
        <v>1</v>
      </c>
    </row>
    <row r="231" spans="1:20" ht="15" customHeight="1" x14ac:dyDescent="0.3">
      <c r="A231" s="389"/>
      <c r="B231" s="389"/>
      <c r="C231" s="46">
        <v>-3852</v>
      </c>
      <c r="D231" s="389"/>
      <c r="E231" s="389"/>
      <c r="F231" s="389"/>
      <c r="G231" s="389"/>
      <c r="H231" s="389"/>
      <c r="I231" s="389"/>
      <c r="J231" s="389"/>
      <c r="K231" s="389"/>
      <c r="L231" s="389"/>
      <c r="M231" s="356"/>
      <c r="N231" s="389"/>
      <c r="O231" s="389"/>
      <c r="P231" s="81"/>
      <c r="Q231" s="389"/>
    </row>
    <row r="232" spans="1:20" ht="15" customHeight="1" thickBot="1" x14ac:dyDescent="0.35">
      <c r="A232" s="390"/>
      <c r="B232" s="390"/>
      <c r="C232" s="47">
        <v>4000</v>
      </c>
      <c r="D232" s="390"/>
      <c r="E232" s="390"/>
      <c r="F232" s="390"/>
      <c r="G232" s="390"/>
      <c r="H232" s="390"/>
      <c r="I232" s="390"/>
      <c r="J232" s="390"/>
      <c r="K232" s="390"/>
      <c r="L232" s="390"/>
      <c r="M232" s="357"/>
      <c r="N232" s="390"/>
      <c r="O232" s="390"/>
      <c r="P232" s="82"/>
      <c r="Q232" s="390"/>
    </row>
    <row r="233" spans="1:20" ht="15" customHeight="1" x14ac:dyDescent="0.3">
      <c r="A233" s="367">
        <v>70</v>
      </c>
      <c r="B233" s="367" t="s">
        <v>23</v>
      </c>
      <c r="C233" s="40">
        <v>15108</v>
      </c>
      <c r="D233" s="367">
        <v>1</v>
      </c>
      <c r="E233" s="367" t="s">
        <v>24</v>
      </c>
      <c r="F233" s="367">
        <v>800</v>
      </c>
      <c r="G233" s="367">
        <v>800</v>
      </c>
      <c r="H233" s="367" t="s">
        <v>107</v>
      </c>
      <c r="I233" s="367">
        <v>60</v>
      </c>
      <c r="J233" s="367" t="s">
        <v>13</v>
      </c>
      <c r="K233" s="367" t="s">
        <v>13</v>
      </c>
      <c r="L233" s="367">
        <v>17</v>
      </c>
      <c r="M233" s="358" t="s">
        <v>14</v>
      </c>
      <c r="N233" s="367" t="s">
        <v>108</v>
      </c>
      <c r="O233" s="367" t="s">
        <v>27</v>
      </c>
      <c r="P233" s="261"/>
      <c r="Q233" s="367" t="s">
        <v>109</v>
      </c>
      <c r="T233" s="200">
        <v>1</v>
      </c>
    </row>
    <row r="234" spans="1:20" ht="15" customHeight="1" x14ac:dyDescent="0.3">
      <c r="A234" s="368"/>
      <c r="B234" s="368"/>
      <c r="C234" s="41">
        <v>20418</v>
      </c>
      <c r="D234" s="368"/>
      <c r="E234" s="368"/>
      <c r="F234" s="368"/>
      <c r="G234" s="368"/>
      <c r="H234" s="368"/>
      <c r="I234" s="368"/>
      <c r="J234" s="368"/>
      <c r="K234" s="368"/>
      <c r="L234" s="368"/>
      <c r="M234" s="359"/>
      <c r="N234" s="368"/>
      <c r="O234" s="368"/>
      <c r="P234" s="226">
        <v>44090</v>
      </c>
      <c r="Q234" s="368"/>
      <c r="R234" s="186">
        <v>44090</v>
      </c>
    </row>
    <row r="235" spans="1:20" ht="15" customHeight="1" thickBot="1" x14ac:dyDescent="0.35">
      <c r="A235" s="369"/>
      <c r="B235" s="369"/>
      <c r="C235" s="42">
        <v>3607</v>
      </c>
      <c r="D235" s="369"/>
      <c r="E235" s="369"/>
      <c r="F235" s="369"/>
      <c r="G235" s="369"/>
      <c r="H235" s="369"/>
      <c r="I235" s="369"/>
      <c r="J235" s="369"/>
      <c r="K235" s="369"/>
      <c r="L235" s="369"/>
      <c r="M235" s="360"/>
      <c r="N235" s="369"/>
      <c r="O235" s="369"/>
      <c r="P235" s="262"/>
      <c r="Q235" s="369"/>
    </row>
    <row r="236" spans="1:20" ht="15" customHeight="1" x14ac:dyDescent="0.3">
      <c r="A236" s="385">
        <v>71</v>
      </c>
      <c r="B236" s="385" t="s">
        <v>43</v>
      </c>
      <c r="C236" s="43">
        <v>-25681</v>
      </c>
      <c r="D236" s="385">
        <v>1</v>
      </c>
      <c r="E236" s="385" t="s">
        <v>25</v>
      </c>
      <c r="F236" s="385">
        <v>800</v>
      </c>
      <c r="G236" s="385">
        <v>800</v>
      </c>
      <c r="H236" s="385" t="s">
        <v>44</v>
      </c>
      <c r="I236" s="385">
        <v>90</v>
      </c>
      <c r="J236" s="385" t="s">
        <v>45</v>
      </c>
      <c r="K236" s="385">
        <v>0</v>
      </c>
      <c r="L236" s="385">
        <v>75</v>
      </c>
      <c r="M236" s="355" t="s">
        <v>14</v>
      </c>
      <c r="N236" s="388" t="s">
        <v>110</v>
      </c>
      <c r="O236" s="385" t="s">
        <v>111</v>
      </c>
      <c r="P236" s="74"/>
      <c r="Q236" s="385" t="s">
        <v>112</v>
      </c>
      <c r="T236" s="287">
        <v>1</v>
      </c>
    </row>
    <row r="237" spans="1:20" ht="15" customHeight="1" x14ac:dyDescent="0.3">
      <c r="A237" s="386"/>
      <c r="B237" s="386"/>
      <c r="C237" s="48">
        <v>2473</v>
      </c>
      <c r="D237" s="386"/>
      <c r="E237" s="386"/>
      <c r="F237" s="386"/>
      <c r="G237" s="386"/>
      <c r="H237" s="386"/>
      <c r="I237" s="386"/>
      <c r="J237" s="386"/>
      <c r="K237" s="386"/>
      <c r="L237" s="386"/>
      <c r="M237" s="356"/>
      <c r="N237" s="389"/>
      <c r="O237" s="386"/>
      <c r="P237" s="75"/>
      <c r="Q237" s="386"/>
    </row>
    <row r="238" spans="1:20" ht="15" customHeight="1" thickBot="1" x14ac:dyDescent="0.35">
      <c r="A238" s="387"/>
      <c r="B238" s="387"/>
      <c r="C238" s="44">
        <v>2880</v>
      </c>
      <c r="D238" s="387"/>
      <c r="E238" s="387"/>
      <c r="F238" s="387"/>
      <c r="G238" s="387"/>
      <c r="H238" s="387"/>
      <c r="I238" s="387"/>
      <c r="J238" s="387"/>
      <c r="K238" s="387"/>
      <c r="L238" s="387"/>
      <c r="M238" s="357"/>
      <c r="N238" s="390"/>
      <c r="O238" s="387"/>
      <c r="P238" s="76"/>
      <c r="Q238" s="387"/>
    </row>
    <row r="239" spans="1:20" ht="15" customHeight="1" thickBot="1" x14ac:dyDescent="0.35">
      <c r="A239" s="352" t="s">
        <v>113</v>
      </c>
      <c r="B239" s="353"/>
      <c r="C239" s="353"/>
      <c r="D239" s="353"/>
      <c r="E239" s="353"/>
      <c r="F239" s="353"/>
      <c r="G239" s="353"/>
      <c r="H239" s="353"/>
      <c r="I239" s="353"/>
      <c r="J239" s="353"/>
      <c r="K239" s="353"/>
      <c r="L239" s="353"/>
      <c r="M239" s="353"/>
      <c r="N239" s="353"/>
      <c r="O239" s="353"/>
      <c r="P239" s="353"/>
      <c r="Q239" s="354"/>
    </row>
    <row r="240" spans="1:20" ht="15" customHeight="1" x14ac:dyDescent="0.3">
      <c r="A240" s="370">
        <v>72</v>
      </c>
      <c r="B240" s="370" t="s">
        <v>114</v>
      </c>
      <c r="C240" s="37">
        <v>-20073</v>
      </c>
      <c r="D240" s="370">
        <v>1</v>
      </c>
      <c r="E240" s="370" t="s">
        <v>25</v>
      </c>
      <c r="F240" s="370">
        <v>500</v>
      </c>
      <c r="G240" s="370">
        <v>400</v>
      </c>
      <c r="H240" s="370" t="s">
        <v>44</v>
      </c>
      <c r="I240" s="370">
        <v>90</v>
      </c>
      <c r="J240" s="370" t="s">
        <v>45</v>
      </c>
      <c r="K240" s="370">
        <v>0</v>
      </c>
      <c r="L240" s="370">
        <v>75</v>
      </c>
      <c r="M240" s="358" t="s">
        <v>14</v>
      </c>
      <c r="N240" s="370" t="s">
        <v>115</v>
      </c>
      <c r="O240" s="370" t="s">
        <v>16</v>
      </c>
      <c r="P240" s="263"/>
      <c r="Q240" s="370" t="s">
        <v>116</v>
      </c>
      <c r="T240" s="200">
        <v>1</v>
      </c>
    </row>
    <row r="241" spans="1:20" ht="15" customHeight="1" x14ac:dyDescent="0.3">
      <c r="A241" s="371"/>
      <c r="B241" s="371"/>
      <c r="C241" s="38">
        <v>16993</v>
      </c>
      <c r="D241" s="371"/>
      <c r="E241" s="371"/>
      <c r="F241" s="371"/>
      <c r="G241" s="371"/>
      <c r="H241" s="371"/>
      <c r="I241" s="371"/>
      <c r="J241" s="371"/>
      <c r="K241" s="371"/>
      <c r="L241" s="371"/>
      <c r="M241" s="359"/>
      <c r="N241" s="371"/>
      <c r="O241" s="371"/>
      <c r="P241" s="224">
        <v>44090</v>
      </c>
      <c r="Q241" s="371"/>
      <c r="R241" s="186">
        <v>44090</v>
      </c>
    </row>
    <row r="242" spans="1:20" ht="15" customHeight="1" thickBot="1" x14ac:dyDescent="0.35">
      <c r="A242" s="372"/>
      <c r="B242" s="372"/>
      <c r="C242" s="39">
        <v>54050</v>
      </c>
      <c r="D242" s="372"/>
      <c r="E242" s="372"/>
      <c r="F242" s="372"/>
      <c r="G242" s="372"/>
      <c r="H242" s="372"/>
      <c r="I242" s="372"/>
      <c r="J242" s="372"/>
      <c r="K242" s="372"/>
      <c r="L242" s="372"/>
      <c r="M242" s="360"/>
      <c r="N242" s="372"/>
      <c r="O242" s="372"/>
      <c r="P242" s="265"/>
      <c r="Q242" s="372"/>
    </row>
    <row r="243" spans="1:20" ht="15" customHeight="1" thickBot="1" x14ac:dyDescent="0.35">
      <c r="A243" s="352" t="s">
        <v>117</v>
      </c>
      <c r="B243" s="353"/>
      <c r="C243" s="353"/>
      <c r="D243" s="353"/>
      <c r="E243" s="353"/>
      <c r="F243" s="353"/>
      <c r="G243" s="353"/>
      <c r="H243" s="353"/>
      <c r="I243" s="353"/>
      <c r="J243" s="353"/>
      <c r="K243" s="353"/>
      <c r="L243" s="353"/>
      <c r="M243" s="353"/>
      <c r="N243" s="353"/>
      <c r="O243" s="353"/>
      <c r="P243" s="353"/>
      <c r="Q243" s="354"/>
    </row>
    <row r="244" spans="1:20" ht="15" customHeight="1" x14ac:dyDescent="0.3">
      <c r="A244" s="370">
        <v>73</v>
      </c>
      <c r="B244" s="370" t="s">
        <v>118</v>
      </c>
      <c r="C244" s="37">
        <v>-12342</v>
      </c>
      <c r="D244" s="370">
        <v>1</v>
      </c>
      <c r="E244" s="370" t="s">
        <v>25</v>
      </c>
      <c r="F244" s="370">
        <v>400</v>
      </c>
      <c r="G244" s="370">
        <v>400</v>
      </c>
      <c r="H244" s="370" t="s">
        <v>44</v>
      </c>
      <c r="I244" s="370">
        <v>115</v>
      </c>
      <c r="J244" s="370" t="s">
        <v>45</v>
      </c>
      <c r="K244" s="370">
        <v>0</v>
      </c>
      <c r="L244" s="370">
        <v>64.7</v>
      </c>
      <c r="M244" s="358" t="s">
        <v>14</v>
      </c>
      <c r="N244" s="367" t="s">
        <v>119</v>
      </c>
      <c r="O244" s="370" t="s">
        <v>16</v>
      </c>
      <c r="P244" s="263"/>
      <c r="Q244" s="370" t="s">
        <v>120</v>
      </c>
      <c r="T244" s="200">
        <v>1</v>
      </c>
    </row>
    <row r="245" spans="1:20" ht="15" customHeight="1" x14ac:dyDescent="0.3">
      <c r="A245" s="371"/>
      <c r="B245" s="371"/>
      <c r="C245" s="38">
        <v>18831</v>
      </c>
      <c r="D245" s="371"/>
      <c r="E245" s="371"/>
      <c r="F245" s="371"/>
      <c r="G245" s="371"/>
      <c r="H245" s="371"/>
      <c r="I245" s="371"/>
      <c r="J245" s="371"/>
      <c r="K245" s="371"/>
      <c r="L245" s="371"/>
      <c r="M245" s="359"/>
      <c r="N245" s="368"/>
      <c r="O245" s="371"/>
      <c r="P245" s="224">
        <v>44090</v>
      </c>
      <c r="Q245" s="371"/>
      <c r="R245" s="186">
        <v>44090</v>
      </c>
    </row>
    <row r="246" spans="1:20" ht="15" customHeight="1" thickBot="1" x14ac:dyDescent="0.35">
      <c r="A246" s="372"/>
      <c r="B246" s="372"/>
      <c r="C246" s="39">
        <v>57565</v>
      </c>
      <c r="D246" s="372"/>
      <c r="E246" s="372"/>
      <c r="F246" s="372"/>
      <c r="G246" s="372"/>
      <c r="H246" s="372"/>
      <c r="I246" s="372"/>
      <c r="J246" s="372"/>
      <c r="K246" s="372"/>
      <c r="L246" s="372"/>
      <c r="M246" s="360"/>
      <c r="N246" s="369"/>
      <c r="O246" s="372"/>
      <c r="P246" s="265"/>
      <c r="Q246" s="372"/>
    </row>
    <row r="247" spans="1:20" ht="15" customHeight="1" x14ac:dyDescent="0.3">
      <c r="A247" s="370">
        <v>74</v>
      </c>
      <c r="B247" s="370" t="s">
        <v>118</v>
      </c>
      <c r="C247" s="37">
        <v>-9812</v>
      </c>
      <c r="D247" s="370">
        <v>1</v>
      </c>
      <c r="E247" s="370" t="s">
        <v>25</v>
      </c>
      <c r="F247" s="370">
        <v>400</v>
      </c>
      <c r="G247" s="370">
        <v>400</v>
      </c>
      <c r="H247" s="370" t="s">
        <v>44</v>
      </c>
      <c r="I247" s="370">
        <v>115</v>
      </c>
      <c r="J247" s="370" t="s">
        <v>45</v>
      </c>
      <c r="K247" s="370">
        <v>0</v>
      </c>
      <c r="L247" s="370">
        <v>56.3</v>
      </c>
      <c r="M247" s="358" t="s">
        <v>14</v>
      </c>
      <c r="N247" s="370" t="s">
        <v>121</v>
      </c>
      <c r="O247" s="370" t="s">
        <v>16</v>
      </c>
      <c r="P247" s="263"/>
      <c r="Q247" s="370" t="s">
        <v>120</v>
      </c>
      <c r="T247" s="200">
        <v>1</v>
      </c>
    </row>
    <row r="248" spans="1:20" ht="15" customHeight="1" x14ac:dyDescent="0.3">
      <c r="A248" s="371"/>
      <c r="B248" s="371"/>
      <c r="C248" s="38">
        <v>20337</v>
      </c>
      <c r="D248" s="371"/>
      <c r="E248" s="371"/>
      <c r="F248" s="371"/>
      <c r="G248" s="371"/>
      <c r="H248" s="371"/>
      <c r="I248" s="371"/>
      <c r="J248" s="371"/>
      <c r="K248" s="371"/>
      <c r="L248" s="371"/>
      <c r="M248" s="359"/>
      <c r="N248" s="371"/>
      <c r="O248" s="371"/>
      <c r="P248" s="224">
        <v>44090</v>
      </c>
      <c r="Q248" s="371"/>
      <c r="R248" s="186">
        <v>44090</v>
      </c>
    </row>
    <row r="249" spans="1:20" ht="15" customHeight="1" thickBot="1" x14ac:dyDescent="0.35">
      <c r="A249" s="372"/>
      <c r="B249" s="372"/>
      <c r="C249" s="39">
        <v>57575</v>
      </c>
      <c r="D249" s="372"/>
      <c r="E249" s="372"/>
      <c r="F249" s="372"/>
      <c r="G249" s="372"/>
      <c r="H249" s="372"/>
      <c r="I249" s="372"/>
      <c r="J249" s="372"/>
      <c r="K249" s="372"/>
      <c r="L249" s="372"/>
      <c r="M249" s="360"/>
      <c r="N249" s="372"/>
      <c r="O249" s="372"/>
      <c r="P249" s="265"/>
      <c r="Q249" s="372"/>
    </row>
    <row r="250" spans="1:20" ht="15" customHeight="1" x14ac:dyDescent="0.3">
      <c r="A250" s="370">
        <v>75</v>
      </c>
      <c r="B250" s="370" t="s">
        <v>122</v>
      </c>
      <c r="C250" s="37">
        <v>12342</v>
      </c>
      <c r="D250" s="370">
        <v>1</v>
      </c>
      <c r="E250" s="370" t="s">
        <v>25</v>
      </c>
      <c r="F250" s="370">
        <v>400</v>
      </c>
      <c r="G250" s="370">
        <v>400</v>
      </c>
      <c r="H250" s="370" t="s">
        <v>44</v>
      </c>
      <c r="I250" s="370">
        <v>115</v>
      </c>
      <c r="J250" s="370" t="s">
        <v>45</v>
      </c>
      <c r="K250" s="370">
        <v>0</v>
      </c>
      <c r="L250" s="370">
        <v>65</v>
      </c>
      <c r="M250" s="358" t="s">
        <v>14</v>
      </c>
      <c r="N250" s="370" t="s">
        <v>123</v>
      </c>
      <c r="O250" s="370" t="s">
        <v>16</v>
      </c>
      <c r="P250" s="190"/>
      <c r="Q250" s="370" t="s">
        <v>120</v>
      </c>
      <c r="R250" s="186">
        <v>44069</v>
      </c>
      <c r="T250" s="200">
        <v>1</v>
      </c>
    </row>
    <row r="251" spans="1:20" ht="15" customHeight="1" x14ac:dyDescent="0.3">
      <c r="A251" s="371"/>
      <c r="B251" s="371"/>
      <c r="C251" s="38">
        <v>-18831</v>
      </c>
      <c r="D251" s="371"/>
      <c r="E251" s="371"/>
      <c r="F251" s="371"/>
      <c r="G251" s="371"/>
      <c r="H251" s="371"/>
      <c r="I251" s="371"/>
      <c r="J251" s="371"/>
      <c r="K251" s="371"/>
      <c r="L251" s="371"/>
      <c r="M251" s="359"/>
      <c r="N251" s="371"/>
      <c r="O251" s="371"/>
      <c r="P251" s="224">
        <v>44069</v>
      </c>
      <c r="Q251" s="371"/>
    </row>
    <row r="252" spans="1:20" ht="15" customHeight="1" thickBot="1" x14ac:dyDescent="0.35">
      <c r="A252" s="372"/>
      <c r="B252" s="372"/>
      <c r="C252" s="39">
        <v>57675</v>
      </c>
      <c r="D252" s="372"/>
      <c r="E252" s="372"/>
      <c r="F252" s="372"/>
      <c r="G252" s="372"/>
      <c r="H252" s="372"/>
      <c r="I252" s="372"/>
      <c r="J252" s="372"/>
      <c r="K252" s="372"/>
      <c r="L252" s="372"/>
      <c r="M252" s="360"/>
      <c r="N252" s="372"/>
      <c r="O252" s="372"/>
      <c r="P252" s="192"/>
      <c r="Q252" s="372"/>
    </row>
    <row r="253" spans="1:20" ht="15" customHeight="1" x14ac:dyDescent="0.3">
      <c r="A253" s="370">
        <v>76</v>
      </c>
      <c r="B253" s="370" t="s">
        <v>122</v>
      </c>
      <c r="C253" s="37">
        <v>9812</v>
      </c>
      <c r="D253" s="370">
        <v>1</v>
      </c>
      <c r="E253" s="370" t="s">
        <v>25</v>
      </c>
      <c r="F253" s="370">
        <v>400</v>
      </c>
      <c r="G253" s="370">
        <v>400</v>
      </c>
      <c r="H253" s="370" t="s">
        <v>44</v>
      </c>
      <c r="I253" s="370">
        <v>115</v>
      </c>
      <c r="J253" s="370" t="s">
        <v>45</v>
      </c>
      <c r="K253" s="370">
        <v>0</v>
      </c>
      <c r="L253" s="370">
        <v>56.1</v>
      </c>
      <c r="M253" s="358" t="s">
        <v>14</v>
      </c>
      <c r="N253" s="370" t="s">
        <v>124</v>
      </c>
      <c r="O253" s="370" t="s">
        <v>16</v>
      </c>
      <c r="P253" s="190"/>
      <c r="Q253" s="370" t="s">
        <v>120</v>
      </c>
      <c r="R253" s="186">
        <v>44069</v>
      </c>
      <c r="T253" s="200">
        <v>1</v>
      </c>
    </row>
    <row r="254" spans="1:20" ht="15" customHeight="1" x14ac:dyDescent="0.3">
      <c r="A254" s="371"/>
      <c r="B254" s="371"/>
      <c r="C254" s="38">
        <v>-20337</v>
      </c>
      <c r="D254" s="371"/>
      <c r="E254" s="371"/>
      <c r="F254" s="371"/>
      <c r="G254" s="371"/>
      <c r="H254" s="371"/>
      <c r="I254" s="371"/>
      <c r="J254" s="371"/>
      <c r="K254" s="371"/>
      <c r="L254" s="371"/>
      <c r="M254" s="359"/>
      <c r="N254" s="371"/>
      <c r="O254" s="371"/>
      <c r="P254" s="224">
        <v>44069</v>
      </c>
      <c r="Q254" s="371"/>
    </row>
    <row r="255" spans="1:20" ht="15" customHeight="1" thickBot="1" x14ac:dyDescent="0.35">
      <c r="A255" s="372"/>
      <c r="B255" s="372"/>
      <c r="C255" s="39">
        <v>57665</v>
      </c>
      <c r="D255" s="372"/>
      <c r="E255" s="372"/>
      <c r="F255" s="372"/>
      <c r="G255" s="372"/>
      <c r="H255" s="372"/>
      <c r="I255" s="372"/>
      <c r="J255" s="372"/>
      <c r="K255" s="372"/>
      <c r="L255" s="372"/>
      <c r="M255" s="360"/>
      <c r="N255" s="372"/>
      <c r="O255" s="372"/>
      <c r="P255" s="192"/>
      <c r="Q255" s="372"/>
    </row>
    <row r="256" spans="1:20" ht="15" customHeight="1" x14ac:dyDescent="0.3">
      <c r="A256" s="370">
        <v>77</v>
      </c>
      <c r="B256" s="370" t="s">
        <v>122</v>
      </c>
      <c r="C256" s="37">
        <v>-18831</v>
      </c>
      <c r="D256" s="370">
        <v>1</v>
      </c>
      <c r="E256" s="370" t="s">
        <v>25</v>
      </c>
      <c r="F256" s="370">
        <v>400</v>
      </c>
      <c r="G256" s="370">
        <v>400</v>
      </c>
      <c r="H256" s="370" t="s">
        <v>44</v>
      </c>
      <c r="I256" s="370">
        <v>115</v>
      </c>
      <c r="J256" s="370" t="s">
        <v>45</v>
      </c>
      <c r="K256" s="370">
        <v>0</v>
      </c>
      <c r="L256" s="370">
        <v>65.099999999999994</v>
      </c>
      <c r="M256" s="358" t="s">
        <v>14</v>
      </c>
      <c r="N256" s="370" t="s">
        <v>125</v>
      </c>
      <c r="O256" s="370" t="s">
        <v>16</v>
      </c>
      <c r="P256" s="293"/>
      <c r="Q256" s="370" t="s">
        <v>120</v>
      </c>
      <c r="T256" s="200">
        <v>1</v>
      </c>
    </row>
    <row r="257" spans="1:20" ht="15" customHeight="1" x14ac:dyDescent="0.3">
      <c r="A257" s="371"/>
      <c r="B257" s="371"/>
      <c r="C257" s="38">
        <v>-12342</v>
      </c>
      <c r="D257" s="371"/>
      <c r="E257" s="371"/>
      <c r="F257" s="371"/>
      <c r="G257" s="371"/>
      <c r="H257" s="371"/>
      <c r="I257" s="371"/>
      <c r="J257" s="371"/>
      <c r="K257" s="371"/>
      <c r="L257" s="371"/>
      <c r="M257" s="359"/>
      <c r="N257" s="371"/>
      <c r="O257" s="371"/>
      <c r="P257" s="224">
        <v>44095</v>
      </c>
      <c r="Q257" s="371"/>
    </row>
    <row r="258" spans="1:20" ht="15" customHeight="1" thickBot="1" x14ac:dyDescent="0.35">
      <c r="A258" s="372"/>
      <c r="B258" s="372"/>
      <c r="C258" s="39">
        <v>57535</v>
      </c>
      <c r="D258" s="372"/>
      <c r="E258" s="372"/>
      <c r="F258" s="372"/>
      <c r="G258" s="372"/>
      <c r="H258" s="372"/>
      <c r="I258" s="372"/>
      <c r="J258" s="372"/>
      <c r="K258" s="372"/>
      <c r="L258" s="372"/>
      <c r="M258" s="360"/>
      <c r="N258" s="372"/>
      <c r="O258" s="372"/>
      <c r="P258" s="294"/>
      <c r="Q258" s="372"/>
    </row>
    <row r="259" spans="1:20" ht="15" customHeight="1" x14ac:dyDescent="0.3">
      <c r="A259" s="370">
        <v>78</v>
      </c>
      <c r="B259" s="370" t="s">
        <v>122</v>
      </c>
      <c r="C259" s="37">
        <v>-20337</v>
      </c>
      <c r="D259" s="370">
        <v>1</v>
      </c>
      <c r="E259" s="370" t="s">
        <v>25</v>
      </c>
      <c r="F259" s="370">
        <v>400</v>
      </c>
      <c r="G259" s="370">
        <v>400</v>
      </c>
      <c r="H259" s="370" t="s">
        <v>44</v>
      </c>
      <c r="I259" s="370">
        <v>115</v>
      </c>
      <c r="J259" s="370" t="s">
        <v>45</v>
      </c>
      <c r="K259" s="370">
        <v>0</v>
      </c>
      <c r="L259" s="370">
        <v>56.4</v>
      </c>
      <c r="M259" s="358" t="s">
        <v>14</v>
      </c>
      <c r="N259" s="370" t="s">
        <v>126</v>
      </c>
      <c r="O259" s="370" t="s">
        <v>16</v>
      </c>
      <c r="P259" s="293"/>
      <c r="Q259" s="370" t="s">
        <v>120</v>
      </c>
      <c r="T259" s="200">
        <v>1</v>
      </c>
    </row>
    <row r="260" spans="1:20" ht="15" customHeight="1" x14ac:dyDescent="0.3">
      <c r="A260" s="371"/>
      <c r="B260" s="371"/>
      <c r="C260" s="38">
        <v>-9812</v>
      </c>
      <c r="D260" s="371"/>
      <c r="E260" s="371"/>
      <c r="F260" s="371"/>
      <c r="G260" s="371"/>
      <c r="H260" s="371"/>
      <c r="I260" s="371"/>
      <c r="J260" s="371"/>
      <c r="K260" s="371"/>
      <c r="L260" s="371"/>
      <c r="M260" s="359"/>
      <c r="N260" s="371"/>
      <c r="O260" s="371"/>
      <c r="P260" s="224">
        <v>44095</v>
      </c>
      <c r="Q260" s="371"/>
    </row>
    <row r="261" spans="1:20" ht="15" customHeight="1" thickBot="1" x14ac:dyDescent="0.35">
      <c r="A261" s="372"/>
      <c r="B261" s="372"/>
      <c r="C261" s="39">
        <v>57520</v>
      </c>
      <c r="D261" s="372"/>
      <c r="E261" s="372"/>
      <c r="F261" s="372"/>
      <c r="G261" s="372"/>
      <c r="H261" s="372"/>
      <c r="I261" s="372"/>
      <c r="J261" s="372"/>
      <c r="K261" s="372"/>
      <c r="L261" s="372"/>
      <c r="M261" s="360"/>
      <c r="N261" s="372"/>
      <c r="O261" s="372"/>
      <c r="P261" s="294"/>
      <c r="Q261" s="372"/>
    </row>
    <row r="262" spans="1:20" ht="15" customHeight="1" x14ac:dyDescent="0.3">
      <c r="A262" s="370">
        <v>79</v>
      </c>
      <c r="B262" s="370" t="s">
        <v>114</v>
      </c>
      <c r="C262" s="37">
        <v>-19691</v>
      </c>
      <c r="D262" s="370">
        <v>1</v>
      </c>
      <c r="E262" s="370" t="s">
        <v>25</v>
      </c>
      <c r="F262" s="370">
        <v>600</v>
      </c>
      <c r="G262" s="370">
        <v>600</v>
      </c>
      <c r="H262" s="370" t="s">
        <v>44</v>
      </c>
      <c r="I262" s="370">
        <v>90</v>
      </c>
      <c r="J262" s="370" t="s">
        <v>45</v>
      </c>
      <c r="K262" s="370">
        <v>0</v>
      </c>
      <c r="L262" s="370">
        <v>75</v>
      </c>
      <c r="M262" s="358" t="s">
        <v>14</v>
      </c>
      <c r="N262" s="370" t="s">
        <v>127</v>
      </c>
      <c r="O262" s="370" t="s">
        <v>16</v>
      </c>
      <c r="P262" s="293"/>
      <c r="Q262" s="370" t="s">
        <v>120</v>
      </c>
      <c r="T262" s="200">
        <v>1</v>
      </c>
    </row>
    <row r="263" spans="1:20" ht="15" customHeight="1" x14ac:dyDescent="0.3">
      <c r="A263" s="371"/>
      <c r="B263" s="371"/>
      <c r="C263" s="38">
        <v>16670</v>
      </c>
      <c r="D263" s="371"/>
      <c r="E263" s="371"/>
      <c r="F263" s="371"/>
      <c r="G263" s="371"/>
      <c r="H263" s="371"/>
      <c r="I263" s="371"/>
      <c r="J263" s="371"/>
      <c r="K263" s="371"/>
      <c r="L263" s="371"/>
      <c r="M263" s="359"/>
      <c r="N263" s="371"/>
      <c r="O263" s="371"/>
      <c r="P263" s="224">
        <v>44095</v>
      </c>
      <c r="Q263" s="371"/>
    </row>
    <row r="264" spans="1:20" ht="15" customHeight="1" thickBot="1" x14ac:dyDescent="0.35">
      <c r="A264" s="372"/>
      <c r="B264" s="372"/>
      <c r="C264" s="39">
        <v>56650</v>
      </c>
      <c r="D264" s="372"/>
      <c r="E264" s="372"/>
      <c r="F264" s="372"/>
      <c r="G264" s="372"/>
      <c r="H264" s="372"/>
      <c r="I264" s="372"/>
      <c r="J264" s="372"/>
      <c r="K264" s="372"/>
      <c r="L264" s="372"/>
      <c r="M264" s="360"/>
      <c r="N264" s="372"/>
      <c r="O264" s="372"/>
      <c r="P264" s="294"/>
      <c r="Q264" s="372"/>
    </row>
    <row r="265" spans="1:20" ht="15" customHeight="1" thickBot="1" x14ac:dyDescent="0.35">
      <c r="A265" s="352" t="s">
        <v>128</v>
      </c>
      <c r="B265" s="353"/>
      <c r="C265" s="353"/>
      <c r="D265" s="353"/>
      <c r="E265" s="353"/>
      <c r="F265" s="353"/>
      <c r="G265" s="353"/>
      <c r="H265" s="353"/>
      <c r="I265" s="353"/>
      <c r="J265" s="353"/>
      <c r="K265" s="353"/>
      <c r="L265" s="353"/>
      <c r="M265" s="353"/>
      <c r="N265" s="353"/>
      <c r="O265" s="353"/>
      <c r="P265" s="353"/>
      <c r="Q265" s="354"/>
    </row>
    <row r="266" spans="1:20" ht="15" customHeight="1" x14ac:dyDescent="0.3">
      <c r="A266" s="376">
        <v>80</v>
      </c>
      <c r="B266" s="376" t="s">
        <v>129</v>
      </c>
      <c r="C266" s="58">
        <v>-23000</v>
      </c>
      <c r="D266" s="376">
        <v>1</v>
      </c>
      <c r="E266" s="376" t="s">
        <v>130</v>
      </c>
      <c r="F266" s="376">
        <v>500</v>
      </c>
      <c r="G266" s="376">
        <v>400</v>
      </c>
      <c r="H266" s="376" t="s">
        <v>61</v>
      </c>
      <c r="I266" s="376">
        <v>300</v>
      </c>
      <c r="J266" s="376" t="s">
        <v>45</v>
      </c>
      <c r="K266" s="376">
        <v>90</v>
      </c>
      <c r="L266" s="376">
        <v>168</v>
      </c>
      <c r="M266" s="379" t="s">
        <v>14</v>
      </c>
      <c r="N266" s="376" t="s">
        <v>131</v>
      </c>
      <c r="O266" s="376" t="s">
        <v>16</v>
      </c>
      <c r="P266" s="330"/>
      <c r="Q266" s="376" t="s">
        <v>132</v>
      </c>
      <c r="T266" s="288">
        <v>1</v>
      </c>
    </row>
    <row r="267" spans="1:20" ht="15" customHeight="1" x14ac:dyDescent="0.3">
      <c r="A267" s="377"/>
      <c r="B267" s="377"/>
      <c r="C267" s="59">
        <v>-8145</v>
      </c>
      <c r="D267" s="377"/>
      <c r="E267" s="377"/>
      <c r="F267" s="377"/>
      <c r="G267" s="377"/>
      <c r="H267" s="377"/>
      <c r="I267" s="377"/>
      <c r="J267" s="377"/>
      <c r="K267" s="377"/>
      <c r="L267" s="377"/>
      <c r="M267" s="380"/>
      <c r="N267" s="377"/>
      <c r="O267" s="377"/>
      <c r="P267" s="332">
        <v>44103</v>
      </c>
      <c r="Q267" s="377"/>
    </row>
    <row r="268" spans="1:20" ht="15" customHeight="1" thickBot="1" x14ac:dyDescent="0.35">
      <c r="A268" s="378"/>
      <c r="B268" s="378"/>
      <c r="C268" s="57">
        <v>59450</v>
      </c>
      <c r="D268" s="378"/>
      <c r="E268" s="378"/>
      <c r="F268" s="378"/>
      <c r="G268" s="378"/>
      <c r="H268" s="378"/>
      <c r="I268" s="378"/>
      <c r="J268" s="378"/>
      <c r="K268" s="378"/>
      <c r="L268" s="378"/>
      <c r="M268" s="381"/>
      <c r="N268" s="378"/>
      <c r="O268" s="378"/>
      <c r="P268" s="331"/>
      <c r="Q268" s="378"/>
    </row>
    <row r="269" spans="1:20" ht="15" customHeight="1" x14ac:dyDescent="0.3">
      <c r="A269" s="376">
        <v>81</v>
      </c>
      <c r="B269" s="376" t="s">
        <v>129</v>
      </c>
      <c r="C269" s="58">
        <v>-24065</v>
      </c>
      <c r="D269" s="376">
        <v>1</v>
      </c>
      <c r="E269" s="376" t="s">
        <v>130</v>
      </c>
      <c r="F269" s="376">
        <v>500</v>
      </c>
      <c r="G269" s="376">
        <v>400</v>
      </c>
      <c r="H269" s="376" t="s">
        <v>61</v>
      </c>
      <c r="I269" s="376">
        <v>300</v>
      </c>
      <c r="J269" s="376" t="s">
        <v>45</v>
      </c>
      <c r="K269" s="376">
        <v>90</v>
      </c>
      <c r="L269" s="376">
        <v>168</v>
      </c>
      <c r="M269" s="379" t="s">
        <v>14</v>
      </c>
      <c r="N269" s="376" t="s">
        <v>131</v>
      </c>
      <c r="O269" s="376" t="s">
        <v>16</v>
      </c>
      <c r="P269" s="330"/>
      <c r="Q269" s="376" t="s">
        <v>132</v>
      </c>
      <c r="T269" s="288">
        <v>1</v>
      </c>
    </row>
    <row r="270" spans="1:20" ht="15" customHeight="1" x14ac:dyDescent="0.3">
      <c r="A270" s="377"/>
      <c r="B270" s="377"/>
      <c r="C270" s="59">
        <v>-4027</v>
      </c>
      <c r="D270" s="377"/>
      <c r="E270" s="377"/>
      <c r="F270" s="377"/>
      <c r="G270" s="377"/>
      <c r="H270" s="377"/>
      <c r="I270" s="377"/>
      <c r="J270" s="377"/>
      <c r="K270" s="377"/>
      <c r="L270" s="377"/>
      <c r="M270" s="380"/>
      <c r="N270" s="377"/>
      <c r="O270" s="377"/>
      <c r="P270" s="332">
        <v>44103</v>
      </c>
      <c r="Q270" s="377"/>
    </row>
    <row r="271" spans="1:20" ht="15" customHeight="1" thickBot="1" x14ac:dyDescent="0.35">
      <c r="A271" s="378"/>
      <c r="B271" s="378"/>
      <c r="C271" s="57">
        <v>59450</v>
      </c>
      <c r="D271" s="378"/>
      <c r="E271" s="378"/>
      <c r="F271" s="378"/>
      <c r="G271" s="378"/>
      <c r="H271" s="378"/>
      <c r="I271" s="378"/>
      <c r="J271" s="378"/>
      <c r="K271" s="378"/>
      <c r="L271" s="378"/>
      <c r="M271" s="381"/>
      <c r="N271" s="378"/>
      <c r="O271" s="378"/>
      <c r="P271" s="331"/>
      <c r="Q271" s="378"/>
    </row>
    <row r="272" spans="1:20" ht="15" customHeight="1" x14ac:dyDescent="0.3">
      <c r="A272" s="376">
        <v>82</v>
      </c>
      <c r="B272" s="376" t="s">
        <v>129</v>
      </c>
      <c r="C272" s="58">
        <v>-24399</v>
      </c>
      <c r="D272" s="376">
        <v>1</v>
      </c>
      <c r="E272" s="376" t="s">
        <v>130</v>
      </c>
      <c r="F272" s="376">
        <v>500</v>
      </c>
      <c r="G272" s="376">
        <v>400</v>
      </c>
      <c r="H272" s="376" t="s">
        <v>61</v>
      </c>
      <c r="I272" s="376">
        <v>300</v>
      </c>
      <c r="J272" s="376" t="s">
        <v>45</v>
      </c>
      <c r="K272" s="376">
        <v>90</v>
      </c>
      <c r="L272" s="376">
        <v>168</v>
      </c>
      <c r="M272" s="379" t="s">
        <v>14</v>
      </c>
      <c r="N272" s="376" t="s">
        <v>131</v>
      </c>
      <c r="O272" s="376" t="s">
        <v>16</v>
      </c>
      <c r="P272" s="330"/>
      <c r="Q272" s="376" t="s">
        <v>132</v>
      </c>
      <c r="T272" s="288">
        <v>1</v>
      </c>
    </row>
    <row r="273" spans="1:20" ht="15" customHeight="1" x14ac:dyDescent="0.3">
      <c r="A273" s="377"/>
      <c r="B273" s="377"/>
      <c r="C273" s="59">
        <v>213</v>
      </c>
      <c r="D273" s="377"/>
      <c r="E273" s="377"/>
      <c r="F273" s="377"/>
      <c r="G273" s="377"/>
      <c r="H273" s="377"/>
      <c r="I273" s="377"/>
      <c r="J273" s="377"/>
      <c r="K273" s="377"/>
      <c r="L273" s="377"/>
      <c r="M273" s="380"/>
      <c r="N273" s="377"/>
      <c r="O273" s="377"/>
      <c r="P273" s="332">
        <v>44103</v>
      </c>
      <c r="Q273" s="377"/>
    </row>
    <row r="274" spans="1:20" ht="15" customHeight="1" thickBot="1" x14ac:dyDescent="0.35">
      <c r="A274" s="378"/>
      <c r="B274" s="378"/>
      <c r="C274" s="57">
        <v>59450</v>
      </c>
      <c r="D274" s="378"/>
      <c r="E274" s="378"/>
      <c r="F274" s="378"/>
      <c r="G274" s="378"/>
      <c r="H274" s="378"/>
      <c r="I274" s="378"/>
      <c r="J274" s="378"/>
      <c r="K274" s="378"/>
      <c r="L274" s="378"/>
      <c r="M274" s="381"/>
      <c r="N274" s="378"/>
      <c r="O274" s="378"/>
      <c r="P274" s="331"/>
      <c r="Q274" s="378"/>
    </row>
    <row r="275" spans="1:20" ht="15" customHeight="1" x14ac:dyDescent="0.3">
      <c r="A275" s="376">
        <v>83</v>
      </c>
      <c r="B275" s="376" t="s">
        <v>129</v>
      </c>
      <c r="C275" s="58">
        <v>-23991</v>
      </c>
      <c r="D275" s="376">
        <v>1</v>
      </c>
      <c r="E275" s="376" t="s">
        <v>130</v>
      </c>
      <c r="F275" s="376">
        <v>500</v>
      </c>
      <c r="G275" s="376">
        <v>400</v>
      </c>
      <c r="H275" s="376" t="s">
        <v>61</v>
      </c>
      <c r="I275" s="376">
        <v>300</v>
      </c>
      <c r="J275" s="376" t="s">
        <v>45</v>
      </c>
      <c r="K275" s="376">
        <v>90</v>
      </c>
      <c r="L275" s="376">
        <v>168</v>
      </c>
      <c r="M275" s="379" t="s">
        <v>14</v>
      </c>
      <c r="N275" s="376" t="s">
        <v>131</v>
      </c>
      <c r="O275" s="376" t="s">
        <v>16</v>
      </c>
      <c r="P275" s="330"/>
      <c r="Q275" s="376" t="s">
        <v>132</v>
      </c>
      <c r="T275" s="288">
        <v>1</v>
      </c>
    </row>
    <row r="276" spans="1:20" ht="15" customHeight="1" x14ac:dyDescent="0.3">
      <c r="A276" s="377"/>
      <c r="B276" s="377"/>
      <c r="C276" s="59">
        <v>4447</v>
      </c>
      <c r="D276" s="377"/>
      <c r="E276" s="377"/>
      <c r="F276" s="377"/>
      <c r="G276" s="377"/>
      <c r="H276" s="377"/>
      <c r="I276" s="377"/>
      <c r="J276" s="377"/>
      <c r="K276" s="377"/>
      <c r="L276" s="377"/>
      <c r="M276" s="380"/>
      <c r="N276" s="377"/>
      <c r="O276" s="377"/>
      <c r="P276" s="332">
        <v>44103</v>
      </c>
      <c r="Q276" s="377"/>
    </row>
    <row r="277" spans="1:20" ht="15" customHeight="1" thickBot="1" x14ac:dyDescent="0.35">
      <c r="A277" s="378"/>
      <c r="B277" s="378"/>
      <c r="C277" s="57">
        <v>59450</v>
      </c>
      <c r="D277" s="378"/>
      <c r="E277" s="378"/>
      <c r="F277" s="378"/>
      <c r="G277" s="378"/>
      <c r="H277" s="378"/>
      <c r="I277" s="378"/>
      <c r="J277" s="378"/>
      <c r="K277" s="378"/>
      <c r="L277" s="378"/>
      <c r="M277" s="381"/>
      <c r="N277" s="378"/>
      <c r="O277" s="378"/>
      <c r="P277" s="331"/>
      <c r="Q277" s="378"/>
    </row>
    <row r="278" spans="1:20" ht="15" customHeight="1" x14ac:dyDescent="0.3">
      <c r="A278" s="376">
        <v>84</v>
      </c>
      <c r="B278" s="376" t="s">
        <v>129</v>
      </c>
      <c r="C278" s="58">
        <v>-23802</v>
      </c>
      <c r="D278" s="376">
        <v>1</v>
      </c>
      <c r="E278" s="376" t="s">
        <v>133</v>
      </c>
      <c r="F278" s="376">
        <v>500</v>
      </c>
      <c r="G278" s="376">
        <v>400</v>
      </c>
      <c r="H278" s="376" t="s">
        <v>134</v>
      </c>
      <c r="I278" s="376">
        <v>300</v>
      </c>
      <c r="J278" s="376" t="s">
        <v>45</v>
      </c>
      <c r="K278" s="376">
        <v>120</v>
      </c>
      <c r="L278" s="376">
        <v>264.5</v>
      </c>
      <c r="M278" s="379" t="s">
        <v>14</v>
      </c>
      <c r="N278" s="376" t="s">
        <v>131</v>
      </c>
      <c r="O278" s="376" t="s">
        <v>16</v>
      </c>
      <c r="P278" s="330"/>
      <c r="Q278" s="376" t="s">
        <v>135</v>
      </c>
      <c r="T278" s="288">
        <v>1</v>
      </c>
    </row>
    <row r="279" spans="1:20" ht="15" customHeight="1" x14ac:dyDescent="0.3">
      <c r="A279" s="377"/>
      <c r="B279" s="377"/>
      <c r="C279" s="59">
        <v>6601</v>
      </c>
      <c r="D279" s="377"/>
      <c r="E279" s="377"/>
      <c r="F279" s="377"/>
      <c r="G279" s="377"/>
      <c r="H279" s="377"/>
      <c r="I279" s="377"/>
      <c r="J279" s="377"/>
      <c r="K279" s="377"/>
      <c r="L279" s="377"/>
      <c r="M279" s="380"/>
      <c r="N279" s="377"/>
      <c r="O279" s="377"/>
      <c r="P279" s="332">
        <v>44103</v>
      </c>
      <c r="Q279" s="377"/>
    </row>
    <row r="280" spans="1:20" ht="15" customHeight="1" thickBot="1" x14ac:dyDescent="0.35">
      <c r="A280" s="378"/>
      <c r="B280" s="378"/>
      <c r="C280" s="57">
        <v>59450</v>
      </c>
      <c r="D280" s="378"/>
      <c r="E280" s="378"/>
      <c r="F280" s="378"/>
      <c r="G280" s="378"/>
      <c r="H280" s="378"/>
      <c r="I280" s="378"/>
      <c r="J280" s="378"/>
      <c r="K280" s="378"/>
      <c r="L280" s="378"/>
      <c r="M280" s="381"/>
      <c r="N280" s="378"/>
      <c r="O280" s="378"/>
      <c r="P280" s="331"/>
      <c r="Q280" s="378"/>
    </row>
    <row r="281" spans="1:20" ht="15" customHeight="1" x14ac:dyDescent="0.3">
      <c r="A281" s="376">
        <v>85</v>
      </c>
      <c r="B281" s="376" t="s">
        <v>129</v>
      </c>
      <c r="C281" s="58">
        <v>-22855</v>
      </c>
      <c r="D281" s="376">
        <v>1</v>
      </c>
      <c r="E281" s="376" t="s">
        <v>130</v>
      </c>
      <c r="F281" s="376">
        <v>500</v>
      </c>
      <c r="G281" s="376">
        <v>400</v>
      </c>
      <c r="H281" s="376" t="s">
        <v>61</v>
      </c>
      <c r="I281" s="376">
        <v>300</v>
      </c>
      <c r="J281" s="376" t="s">
        <v>45</v>
      </c>
      <c r="K281" s="376">
        <v>90</v>
      </c>
      <c r="L281" s="376">
        <v>168</v>
      </c>
      <c r="M281" s="379" t="s">
        <v>14</v>
      </c>
      <c r="N281" s="376" t="s">
        <v>131</v>
      </c>
      <c r="O281" s="376" t="s">
        <v>16</v>
      </c>
      <c r="P281" s="330"/>
      <c r="Q281" s="376" t="s">
        <v>132</v>
      </c>
      <c r="T281" s="288">
        <v>1</v>
      </c>
    </row>
    <row r="282" spans="1:20" ht="15" customHeight="1" x14ac:dyDescent="0.3">
      <c r="A282" s="377"/>
      <c r="B282" s="377"/>
      <c r="C282" s="59">
        <v>8545</v>
      </c>
      <c r="D282" s="377"/>
      <c r="E282" s="377"/>
      <c r="F282" s="377"/>
      <c r="G282" s="377"/>
      <c r="H282" s="377"/>
      <c r="I282" s="377"/>
      <c r="J282" s="377"/>
      <c r="K282" s="377"/>
      <c r="L282" s="377"/>
      <c r="M282" s="380"/>
      <c r="N282" s="377"/>
      <c r="O282" s="377"/>
      <c r="P282" s="332">
        <v>44103</v>
      </c>
      <c r="Q282" s="377"/>
    </row>
    <row r="283" spans="1:20" ht="15" customHeight="1" thickBot="1" x14ac:dyDescent="0.35">
      <c r="A283" s="378"/>
      <c r="B283" s="378"/>
      <c r="C283" s="57">
        <v>59450</v>
      </c>
      <c r="D283" s="378"/>
      <c r="E283" s="378"/>
      <c r="F283" s="378"/>
      <c r="G283" s="378"/>
      <c r="H283" s="378"/>
      <c r="I283" s="378"/>
      <c r="J283" s="378"/>
      <c r="K283" s="378"/>
      <c r="L283" s="378"/>
      <c r="M283" s="381"/>
      <c r="N283" s="378"/>
      <c r="O283" s="378"/>
      <c r="P283" s="331"/>
      <c r="Q283" s="378"/>
    </row>
    <row r="284" spans="1:20" ht="15" customHeight="1" x14ac:dyDescent="0.3">
      <c r="A284" s="376">
        <v>86</v>
      </c>
      <c r="B284" s="376" t="s">
        <v>129</v>
      </c>
      <c r="C284" s="58">
        <v>-21024</v>
      </c>
      <c r="D284" s="376">
        <v>1</v>
      </c>
      <c r="E284" s="376" t="s">
        <v>130</v>
      </c>
      <c r="F284" s="376">
        <v>500</v>
      </c>
      <c r="G284" s="376">
        <v>400</v>
      </c>
      <c r="H284" s="376" t="s">
        <v>61</v>
      </c>
      <c r="I284" s="376">
        <v>300</v>
      </c>
      <c r="J284" s="376" t="s">
        <v>45</v>
      </c>
      <c r="K284" s="376">
        <v>90</v>
      </c>
      <c r="L284" s="376">
        <v>168</v>
      </c>
      <c r="M284" s="379" t="s">
        <v>14</v>
      </c>
      <c r="N284" s="376" t="s">
        <v>131</v>
      </c>
      <c r="O284" s="376" t="s">
        <v>16</v>
      </c>
      <c r="P284" s="330"/>
      <c r="Q284" s="376" t="s">
        <v>132</v>
      </c>
      <c r="T284" s="288">
        <v>1</v>
      </c>
    </row>
    <row r="285" spans="1:20" ht="15" customHeight="1" x14ac:dyDescent="0.3">
      <c r="A285" s="377"/>
      <c r="B285" s="377"/>
      <c r="C285" s="59">
        <v>12384</v>
      </c>
      <c r="D285" s="377"/>
      <c r="E285" s="377"/>
      <c r="F285" s="377"/>
      <c r="G285" s="377"/>
      <c r="H285" s="377"/>
      <c r="I285" s="377"/>
      <c r="J285" s="377"/>
      <c r="K285" s="377"/>
      <c r="L285" s="377"/>
      <c r="M285" s="380"/>
      <c r="N285" s="377"/>
      <c r="O285" s="377"/>
      <c r="P285" s="332">
        <v>44103</v>
      </c>
      <c r="Q285" s="377"/>
    </row>
    <row r="286" spans="1:20" ht="15" customHeight="1" thickBot="1" x14ac:dyDescent="0.35">
      <c r="A286" s="378"/>
      <c r="B286" s="378"/>
      <c r="C286" s="57">
        <v>59450</v>
      </c>
      <c r="D286" s="378"/>
      <c r="E286" s="378"/>
      <c r="F286" s="378"/>
      <c r="G286" s="378"/>
      <c r="H286" s="378"/>
      <c r="I286" s="378"/>
      <c r="J286" s="378"/>
      <c r="K286" s="378"/>
      <c r="L286" s="378"/>
      <c r="M286" s="381"/>
      <c r="N286" s="378"/>
      <c r="O286" s="378"/>
      <c r="P286" s="331"/>
      <c r="Q286" s="378"/>
    </row>
    <row r="287" spans="1:20" ht="15" customHeight="1" x14ac:dyDescent="0.3">
      <c r="A287" s="376">
        <v>87</v>
      </c>
      <c r="B287" s="376" t="s">
        <v>129</v>
      </c>
      <c r="C287" s="58">
        <v>-18554</v>
      </c>
      <c r="D287" s="376">
        <v>1</v>
      </c>
      <c r="E287" s="376" t="s">
        <v>130</v>
      </c>
      <c r="F287" s="376">
        <v>500</v>
      </c>
      <c r="G287" s="376">
        <v>400</v>
      </c>
      <c r="H287" s="376" t="s">
        <v>61</v>
      </c>
      <c r="I287" s="376">
        <v>300</v>
      </c>
      <c r="J287" s="376" t="s">
        <v>45</v>
      </c>
      <c r="K287" s="376">
        <v>90</v>
      </c>
      <c r="L287" s="376">
        <v>168</v>
      </c>
      <c r="M287" s="379" t="s">
        <v>14</v>
      </c>
      <c r="N287" s="376" t="s">
        <v>131</v>
      </c>
      <c r="O287" s="376" t="s">
        <v>16</v>
      </c>
      <c r="P287" s="330"/>
      <c r="Q287" s="376" t="s">
        <v>132</v>
      </c>
      <c r="T287" s="288">
        <v>1</v>
      </c>
    </row>
    <row r="288" spans="1:20" ht="15" customHeight="1" x14ac:dyDescent="0.3">
      <c r="A288" s="377"/>
      <c r="B288" s="377"/>
      <c r="C288" s="59">
        <v>15847</v>
      </c>
      <c r="D288" s="377"/>
      <c r="E288" s="377"/>
      <c r="F288" s="377"/>
      <c r="G288" s="377"/>
      <c r="H288" s="377"/>
      <c r="I288" s="377"/>
      <c r="J288" s="377"/>
      <c r="K288" s="377"/>
      <c r="L288" s="377"/>
      <c r="M288" s="380"/>
      <c r="N288" s="377"/>
      <c r="O288" s="377"/>
      <c r="P288" s="332">
        <v>44103</v>
      </c>
      <c r="Q288" s="377"/>
    </row>
    <row r="289" spans="1:20" ht="15" customHeight="1" thickBot="1" x14ac:dyDescent="0.35">
      <c r="A289" s="378"/>
      <c r="B289" s="378"/>
      <c r="C289" s="57">
        <v>59450</v>
      </c>
      <c r="D289" s="378"/>
      <c r="E289" s="378"/>
      <c r="F289" s="378"/>
      <c r="G289" s="378"/>
      <c r="H289" s="378"/>
      <c r="I289" s="378"/>
      <c r="J289" s="378"/>
      <c r="K289" s="378"/>
      <c r="L289" s="378"/>
      <c r="M289" s="381"/>
      <c r="N289" s="378"/>
      <c r="O289" s="378"/>
      <c r="P289" s="331"/>
      <c r="Q289" s="378"/>
    </row>
    <row r="290" spans="1:20" ht="15" customHeight="1" x14ac:dyDescent="0.3">
      <c r="A290" s="376">
        <v>88</v>
      </c>
      <c r="B290" s="376" t="s">
        <v>129</v>
      </c>
      <c r="C290" s="58">
        <v>-15520</v>
      </c>
      <c r="D290" s="376">
        <v>1</v>
      </c>
      <c r="E290" s="376" t="s">
        <v>130</v>
      </c>
      <c r="F290" s="376">
        <v>500</v>
      </c>
      <c r="G290" s="376">
        <v>400</v>
      </c>
      <c r="H290" s="376" t="s">
        <v>61</v>
      </c>
      <c r="I290" s="376">
        <v>300</v>
      </c>
      <c r="J290" s="376" t="s">
        <v>45</v>
      </c>
      <c r="K290" s="376">
        <v>90</v>
      </c>
      <c r="L290" s="376">
        <v>168</v>
      </c>
      <c r="M290" s="379" t="s">
        <v>14</v>
      </c>
      <c r="N290" s="376" t="s">
        <v>131</v>
      </c>
      <c r="O290" s="376" t="s">
        <v>16</v>
      </c>
      <c r="P290" s="339"/>
      <c r="Q290" s="376" t="s">
        <v>132</v>
      </c>
      <c r="T290" s="288">
        <v>1</v>
      </c>
    </row>
    <row r="291" spans="1:20" ht="15" customHeight="1" x14ac:dyDescent="0.3">
      <c r="A291" s="377"/>
      <c r="B291" s="377"/>
      <c r="C291" s="59">
        <v>18828</v>
      </c>
      <c r="D291" s="377"/>
      <c r="E291" s="377"/>
      <c r="F291" s="377"/>
      <c r="G291" s="377"/>
      <c r="H291" s="377"/>
      <c r="I291" s="377"/>
      <c r="J291" s="377"/>
      <c r="K291" s="377"/>
      <c r="L291" s="377"/>
      <c r="M291" s="380"/>
      <c r="N291" s="377"/>
      <c r="O291" s="377"/>
      <c r="P291" s="332">
        <v>44111</v>
      </c>
      <c r="Q291" s="377"/>
    </row>
    <row r="292" spans="1:20" ht="15" customHeight="1" thickBot="1" x14ac:dyDescent="0.35">
      <c r="A292" s="378"/>
      <c r="B292" s="378"/>
      <c r="C292" s="57">
        <v>59450</v>
      </c>
      <c r="D292" s="378"/>
      <c r="E292" s="378"/>
      <c r="F292" s="378"/>
      <c r="G292" s="378"/>
      <c r="H292" s="378"/>
      <c r="I292" s="378"/>
      <c r="J292" s="378"/>
      <c r="K292" s="378"/>
      <c r="L292" s="378"/>
      <c r="M292" s="381"/>
      <c r="N292" s="378"/>
      <c r="O292" s="378"/>
      <c r="P292" s="340"/>
      <c r="Q292" s="378"/>
    </row>
    <row r="293" spans="1:20" ht="15" customHeight="1" x14ac:dyDescent="0.3">
      <c r="A293" s="370">
        <v>89</v>
      </c>
      <c r="B293" s="370" t="s">
        <v>114</v>
      </c>
      <c r="C293" s="37">
        <v>-19864</v>
      </c>
      <c r="D293" s="370">
        <v>1</v>
      </c>
      <c r="E293" s="370" t="s">
        <v>25</v>
      </c>
      <c r="F293" s="370">
        <v>500</v>
      </c>
      <c r="G293" s="370">
        <v>400</v>
      </c>
      <c r="H293" s="370" t="s">
        <v>44</v>
      </c>
      <c r="I293" s="370">
        <v>115</v>
      </c>
      <c r="J293" s="370" t="s">
        <v>45</v>
      </c>
      <c r="K293" s="370">
        <v>0</v>
      </c>
      <c r="L293" s="370">
        <v>75</v>
      </c>
      <c r="M293" s="358" t="s">
        <v>14</v>
      </c>
      <c r="N293" s="370" t="s">
        <v>131</v>
      </c>
      <c r="O293" s="370" t="s">
        <v>16</v>
      </c>
      <c r="P293" s="337"/>
      <c r="Q293" s="370" t="s">
        <v>132</v>
      </c>
      <c r="T293" s="200">
        <v>1</v>
      </c>
    </row>
    <row r="294" spans="1:20" ht="15" customHeight="1" x14ac:dyDescent="0.3">
      <c r="A294" s="371"/>
      <c r="B294" s="371"/>
      <c r="C294" s="38">
        <v>14169</v>
      </c>
      <c r="D294" s="371"/>
      <c r="E294" s="371"/>
      <c r="F294" s="371"/>
      <c r="G294" s="371"/>
      <c r="H294" s="371"/>
      <c r="I294" s="371"/>
      <c r="J294" s="371"/>
      <c r="K294" s="371"/>
      <c r="L294" s="371"/>
      <c r="M294" s="359"/>
      <c r="N294" s="371"/>
      <c r="O294" s="371"/>
      <c r="P294" s="224">
        <v>44111</v>
      </c>
      <c r="Q294" s="371"/>
    </row>
    <row r="295" spans="1:20" ht="15" customHeight="1" thickBot="1" x14ac:dyDescent="0.35">
      <c r="A295" s="372"/>
      <c r="B295" s="372"/>
      <c r="C295" s="39">
        <v>59450</v>
      </c>
      <c r="D295" s="372"/>
      <c r="E295" s="372"/>
      <c r="F295" s="372"/>
      <c r="G295" s="372"/>
      <c r="H295" s="372"/>
      <c r="I295" s="372"/>
      <c r="J295" s="372"/>
      <c r="K295" s="372"/>
      <c r="L295" s="372"/>
      <c r="M295" s="360"/>
      <c r="N295" s="372"/>
      <c r="O295" s="372"/>
      <c r="P295" s="338"/>
      <c r="Q295" s="372"/>
    </row>
    <row r="296" spans="1:20" ht="15" customHeight="1" x14ac:dyDescent="0.3">
      <c r="A296" s="370">
        <v>90</v>
      </c>
      <c r="B296" s="370" t="s">
        <v>136</v>
      </c>
      <c r="C296" s="37">
        <v>-11577</v>
      </c>
      <c r="D296" s="370">
        <v>1</v>
      </c>
      <c r="E296" s="370" t="s">
        <v>24</v>
      </c>
      <c r="F296" s="370">
        <v>500</v>
      </c>
      <c r="G296" s="370">
        <v>400</v>
      </c>
      <c r="H296" s="370" t="s">
        <v>44</v>
      </c>
      <c r="I296" s="370">
        <v>115</v>
      </c>
      <c r="J296" s="370" t="s">
        <v>45</v>
      </c>
      <c r="K296" s="370">
        <v>0</v>
      </c>
      <c r="L296" s="370">
        <v>110</v>
      </c>
      <c r="M296" s="358" t="s">
        <v>14</v>
      </c>
      <c r="N296" s="370" t="s">
        <v>137</v>
      </c>
      <c r="O296" s="370" t="s">
        <v>16</v>
      </c>
      <c r="P296" s="337"/>
      <c r="Q296" s="370" t="s">
        <v>138</v>
      </c>
      <c r="T296" s="200">
        <v>1</v>
      </c>
    </row>
    <row r="297" spans="1:20" ht="15" customHeight="1" x14ac:dyDescent="0.3">
      <c r="A297" s="371"/>
      <c r="B297" s="371"/>
      <c r="C297" s="38">
        <v>21478</v>
      </c>
      <c r="D297" s="371"/>
      <c r="E297" s="371"/>
      <c r="F297" s="371"/>
      <c r="G297" s="371"/>
      <c r="H297" s="371"/>
      <c r="I297" s="371"/>
      <c r="J297" s="371"/>
      <c r="K297" s="371"/>
      <c r="L297" s="371"/>
      <c r="M297" s="359"/>
      <c r="N297" s="371"/>
      <c r="O297" s="371"/>
      <c r="P297" s="224">
        <v>44111</v>
      </c>
      <c r="Q297" s="371"/>
    </row>
    <row r="298" spans="1:20" ht="15" customHeight="1" thickBot="1" x14ac:dyDescent="0.35">
      <c r="A298" s="372"/>
      <c r="B298" s="372"/>
      <c r="C298" s="39">
        <v>59450</v>
      </c>
      <c r="D298" s="372"/>
      <c r="E298" s="372"/>
      <c r="F298" s="372"/>
      <c r="G298" s="372"/>
      <c r="H298" s="372"/>
      <c r="I298" s="372"/>
      <c r="J298" s="372"/>
      <c r="K298" s="372"/>
      <c r="L298" s="372"/>
      <c r="M298" s="360"/>
      <c r="N298" s="372"/>
      <c r="O298" s="372"/>
      <c r="P298" s="338"/>
      <c r="Q298" s="372"/>
    </row>
    <row r="299" spans="1:20" ht="15" customHeight="1" x14ac:dyDescent="0.3">
      <c r="A299" s="376">
        <v>91</v>
      </c>
      <c r="B299" s="376" t="s">
        <v>139</v>
      </c>
      <c r="C299" s="58">
        <v>-8145</v>
      </c>
      <c r="D299" s="376">
        <v>1</v>
      </c>
      <c r="E299" s="376" t="s">
        <v>130</v>
      </c>
      <c r="F299" s="376">
        <v>500</v>
      </c>
      <c r="G299" s="376">
        <v>400</v>
      </c>
      <c r="H299" s="376" t="s">
        <v>61</v>
      </c>
      <c r="I299" s="376">
        <v>300</v>
      </c>
      <c r="J299" s="376" t="s">
        <v>45</v>
      </c>
      <c r="K299" s="376">
        <v>90</v>
      </c>
      <c r="L299" s="376">
        <v>168</v>
      </c>
      <c r="M299" s="379" t="s">
        <v>14</v>
      </c>
      <c r="N299" s="376" t="s">
        <v>140</v>
      </c>
      <c r="O299" s="376" t="s">
        <v>16</v>
      </c>
      <c r="P299" s="335"/>
      <c r="Q299" s="376" t="s">
        <v>132</v>
      </c>
      <c r="T299" s="288">
        <v>1</v>
      </c>
    </row>
    <row r="300" spans="1:20" ht="15" customHeight="1" x14ac:dyDescent="0.3">
      <c r="A300" s="377"/>
      <c r="B300" s="377"/>
      <c r="C300" s="59">
        <v>23000</v>
      </c>
      <c r="D300" s="377"/>
      <c r="E300" s="377"/>
      <c r="F300" s="377"/>
      <c r="G300" s="377"/>
      <c r="H300" s="377"/>
      <c r="I300" s="377"/>
      <c r="J300" s="377"/>
      <c r="K300" s="377"/>
      <c r="L300" s="377"/>
      <c r="M300" s="380"/>
      <c r="N300" s="377"/>
      <c r="O300" s="377"/>
      <c r="P300" s="332">
        <v>44110</v>
      </c>
      <c r="Q300" s="377"/>
    </row>
    <row r="301" spans="1:20" ht="15" customHeight="1" thickBot="1" x14ac:dyDescent="0.35">
      <c r="A301" s="378"/>
      <c r="B301" s="378"/>
      <c r="C301" s="57">
        <v>59450</v>
      </c>
      <c r="D301" s="378"/>
      <c r="E301" s="378"/>
      <c r="F301" s="378"/>
      <c r="G301" s="378"/>
      <c r="H301" s="378"/>
      <c r="I301" s="378"/>
      <c r="J301" s="378"/>
      <c r="K301" s="378"/>
      <c r="L301" s="378"/>
      <c r="M301" s="381"/>
      <c r="N301" s="378"/>
      <c r="O301" s="378"/>
      <c r="P301" s="336"/>
      <c r="Q301" s="378"/>
    </row>
    <row r="302" spans="1:20" ht="15" customHeight="1" x14ac:dyDescent="0.3">
      <c r="A302" s="376">
        <v>92</v>
      </c>
      <c r="B302" s="376" t="s">
        <v>139</v>
      </c>
      <c r="C302" s="58">
        <v>-4027</v>
      </c>
      <c r="D302" s="376">
        <v>1</v>
      </c>
      <c r="E302" s="376" t="s">
        <v>130</v>
      </c>
      <c r="F302" s="376">
        <v>500</v>
      </c>
      <c r="G302" s="376">
        <v>400</v>
      </c>
      <c r="H302" s="376" t="s">
        <v>61</v>
      </c>
      <c r="I302" s="376">
        <v>300</v>
      </c>
      <c r="J302" s="376" t="s">
        <v>45</v>
      </c>
      <c r="K302" s="376">
        <v>90</v>
      </c>
      <c r="L302" s="376">
        <v>168</v>
      </c>
      <c r="M302" s="379" t="s">
        <v>14</v>
      </c>
      <c r="N302" s="376" t="s">
        <v>140</v>
      </c>
      <c r="O302" s="376" t="s">
        <v>16</v>
      </c>
      <c r="P302" s="335"/>
      <c r="Q302" s="376" t="s">
        <v>132</v>
      </c>
      <c r="T302" s="288">
        <v>1</v>
      </c>
    </row>
    <row r="303" spans="1:20" ht="15" customHeight="1" x14ac:dyDescent="0.3">
      <c r="A303" s="377"/>
      <c r="B303" s="377"/>
      <c r="C303" s="59">
        <v>24065</v>
      </c>
      <c r="D303" s="377"/>
      <c r="E303" s="377"/>
      <c r="F303" s="377"/>
      <c r="G303" s="377"/>
      <c r="H303" s="377"/>
      <c r="I303" s="377"/>
      <c r="J303" s="377"/>
      <c r="K303" s="377"/>
      <c r="L303" s="377"/>
      <c r="M303" s="380"/>
      <c r="N303" s="377"/>
      <c r="O303" s="377"/>
      <c r="P303" s="332">
        <v>44110</v>
      </c>
      <c r="Q303" s="377"/>
    </row>
    <row r="304" spans="1:20" ht="15" customHeight="1" thickBot="1" x14ac:dyDescent="0.35">
      <c r="A304" s="378"/>
      <c r="B304" s="378"/>
      <c r="C304" s="57">
        <v>59450</v>
      </c>
      <c r="D304" s="378"/>
      <c r="E304" s="378"/>
      <c r="F304" s="378"/>
      <c r="G304" s="378"/>
      <c r="H304" s="378"/>
      <c r="I304" s="378"/>
      <c r="J304" s="378"/>
      <c r="K304" s="378"/>
      <c r="L304" s="378"/>
      <c r="M304" s="381"/>
      <c r="N304" s="378"/>
      <c r="O304" s="378"/>
      <c r="P304" s="336"/>
      <c r="Q304" s="378"/>
    </row>
    <row r="305" spans="1:20" ht="15" customHeight="1" x14ac:dyDescent="0.3">
      <c r="A305" s="376">
        <v>93</v>
      </c>
      <c r="B305" s="376" t="s">
        <v>139</v>
      </c>
      <c r="C305" s="58">
        <v>213</v>
      </c>
      <c r="D305" s="376">
        <v>1</v>
      </c>
      <c r="E305" s="376" t="s">
        <v>130</v>
      </c>
      <c r="F305" s="376">
        <v>500</v>
      </c>
      <c r="G305" s="376">
        <v>400</v>
      </c>
      <c r="H305" s="376" t="s">
        <v>61</v>
      </c>
      <c r="I305" s="376">
        <v>300</v>
      </c>
      <c r="J305" s="376" t="s">
        <v>45</v>
      </c>
      <c r="K305" s="376">
        <v>90</v>
      </c>
      <c r="L305" s="376">
        <v>168</v>
      </c>
      <c r="M305" s="379" t="s">
        <v>14</v>
      </c>
      <c r="N305" s="376" t="s">
        <v>140</v>
      </c>
      <c r="O305" s="376" t="s">
        <v>16</v>
      </c>
      <c r="P305" s="335"/>
      <c r="Q305" s="376" t="s">
        <v>132</v>
      </c>
      <c r="T305" s="288">
        <v>1</v>
      </c>
    </row>
    <row r="306" spans="1:20" ht="15" customHeight="1" x14ac:dyDescent="0.3">
      <c r="A306" s="377"/>
      <c r="B306" s="377"/>
      <c r="C306" s="59">
        <v>24399</v>
      </c>
      <c r="D306" s="377"/>
      <c r="E306" s="377"/>
      <c r="F306" s="377"/>
      <c r="G306" s="377"/>
      <c r="H306" s="377"/>
      <c r="I306" s="377"/>
      <c r="J306" s="377"/>
      <c r="K306" s="377"/>
      <c r="L306" s="377"/>
      <c r="M306" s="380"/>
      <c r="N306" s="377"/>
      <c r="O306" s="377"/>
      <c r="P306" s="332">
        <v>44110</v>
      </c>
      <c r="Q306" s="377"/>
    </row>
    <row r="307" spans="1:20" ht="15" customHeight="1" thickBot="1" x14ac:dyDescent="0.35">
      <c r="A307" s="378"/>
      <c r="B307" s="378"/>
      <c r="C307" s="57">
        <v>59450</v>
      </c>
      <c r="D307" s="378"/>
      <c r="E307" s="378"/>
      <c r="F307" s="378"/>
      <c r="G307" s="378"/>
      <c r="H307" s="378"/>
      <c r="I307" s="378"/>
      <c r="J307" s="378"/>
      <c r="K307" s="378"/>
      <c r="L307" s="378"/>
      <c r="M307" s="381"/>
      <c r="N307" s="378"/>
      <c r="O307" s="378"/>
      <c r="P307" s="336"/>
      <c r="Q307" s="378"/>
    </row>
    <row r="308" spans="1:20" ht="15" customHeight="1" x14ac:dyDescent="0.3">
      <c r="A308" s="376">
        <v>94</v>
      </c>
      <c r="B308" s="376" t="s">
        <v>139</v>
      </c>
      <c r="C308" s="58">
        <v>4447</v>
      </c>
      <c r="D308" s="376">
        <v>1</v>
      </c>
      <c r="E308" s="376" t="s">
        <v>130</v>
      </c>
      <c r="F308" s="376">
        <v>500</v>
      </c>
      <c r="G308" s="376">
        <v>400</v>
      </c>
      <c r="H308" s="376" t="s">
        <v>61</v>
      </c>
      <c r="I308" s="376">
        <v>300</v>
      </c>
      <c r="J308" s="376" t="s">
        <v>45</v>
      </c>
      <c r="K308" s="376">
        <v>90</v>
      </c>
      <c r="L308" s="376">
        <v>168</v>
      </c>
      <c r="M308" s="379" t="s">
        <v>14</v>
      </c>
      <c r="N308" s="376" t="s">
        <v>140</v>
      </c>
      <c r="O308" s="376" t="s">
        <v>16</v>
      </c>
      <c r="P308" s="339"/>
      <c r="Q308" s="376" t="s">
        <v>132</v>
      </c>
      <c r="T308" s="288">
        <v>1</v>
      </c>
    </row>
    <row r="309" spans="1:20" ht="15" customHeight="1" x14ac:dyDescent="0.3">
      <c r="A309" s="377"/>
      <c r="B309" s="377"/>
      <c r="C309" s="59">
        <v>23991</v>
      </c>
      <c r="D309" s="377"/>
      <c r="E309" s="377"/>
      <c r="F309" s="377"/>
      <c r="G309" s="377"/>
      <c r="H309" s="377"/>
      <c r="I309" s="377"/>
      <c r="J309" s="377"/>
      <c r="K309" s="377"/>
      <c r="L309" s="377"/>
      <c r="M309" s="380"/>
      <c r="N309" s="377"/>
      <c r="O309" s="377"/>
      <c r="P309" s="332">
        <v>44111</v>
      </c>
      <c r="Q309" s="377"/>
    </row>
    <row r="310" spans="1:20" ht="15" customHeight="1" thickBot="1" x14ac:dyDescent="0.35">
      <c r="A310" s="378"/>
      <c r="B310" s="378"/>
      <c r="C310" s="57">
        <v>59450</v>
      </c>
      <c r="D310" s="378"/>
      <c r="E310" s="378"/>
      <c r="F310" s="378"/>
      <c r="G310" s="378"/>
      <c r="H310" s="378"/>
      <c r="I310" s="378"/>
      <c r="J310" s="378"/>
      <c r="K310" s="378"/>
      <c r="L310" s="378"/>
      <c r="M310" s="381"/>
      <c r="N310" s="378"/>
      <c r="O310" s="378"/>
      <c r="P310" s="340"/>
      <c r="Q310" s="378"/>
    </row>
    <row r="311" spans="1:20" ht="15" customHeight="1" x14ac:dyDescent="0.3">
      <c r="A311" s="376">
        <v>95</v>
      </c>
      <c r="B311" s="376" t="s">
        <v>139</v>
      </c>
      <c r="C311" s="58">
        <v>6467</v>
      </c>
      <c r="D311" s="376">
        <v>1</v>
      </c>
      <c r="E311" s="376" t="s">
        <v>133</v>
      </c>
      <c r="F311" s="376">
        <v>500</v>
      </c>
      <c r="G311" s="376">
        <v>400</v>
      </c>
      <c r="H311" s="376" t="s">
        <v>134</v>
      </c>
      <c r="I311" s="376">
        <v>300</v>
      </c>
      <c r="J311" s="376" t="s">
        <v>45</v>
      </c>
      <c r="K311" s="376">
        <v>120</v>
      </c>
      <c r="L311" s="376">
        <v>264.5</v>
      </c>
      <c r="M311" s="379" t="s">
        <v>14</v>
      </c>
      <c r="N311" s="376" t="s">
        <v>140</v>
      </c>
      <c r="O311" s="376" t="s">
        <v>16</v>
      </c>
      <c r="P311" s="343"/>
      <c r="Q311" s="376" t="s">
        <v>135</v>
      </c>
      <c r="T311" s="288">
        <v>1</v>
      </c>
    </row>
    <row r="312" spans="1:20" ht="15" customHeight="1" x14ac:dyDescent="0.3">
      <c r="A312" s="377"/>
      <c r="B312" s="377"/>
      <c r="C312" s="59">
        <v>23320</v>
      </c>
      <c r="D312" s="377"/>
      <c r="E312" s="377"/>
      <c r="F312" s="377"/>
      <c r="G312" s="377"/>
      <c r="H312" s="377"/>
      <c r="I312" s="377"/>
      <c r="J312" s="377"/>
      <c r="K312" s="377"/>
      <c r="L312" s="377"/>
      <c r="M312" s="380"/>
      <c r="N312" s="377"/>
      <c r="O312" s="377"/>
      <c r="P312" s="332">
        <v>44113</v>
      </c>
      <c r="Q312" s="377"/>
    </row>
    <row r="313" spans="1:20" ht="15" customHeight="1" thickBot="1" x14ac:dyDescent="0.35">
      <c r="A313" s="378"/>
      <c r="B313" s="378"/>
      <c r="C313" s="57">
        <v>59450</v>
      </c>
      <c r="D313" s="378"/>
      <c r="E313" s="378"/>
      <c r="F313" s="378"/>
      <c r="G313" s="378"/>
      <c r="H313" s="378"/>
      <c r="I313" s="378"/>
      <c r="J313" s="378"/>
      <c r="K313" s="378"/>
      <c r="L313" s="378"/>
      <c r="M313" s="381"/>
      <c r="N313" s="378"/>
      <c r="O313" s="378"/>
      <c r="P313" s="344"/>
      <c r="Q313" s="378"/>
    </row>
    <row r="314" spans="1:20" ht="15" customHeight="1" x14ac:dyDescent="0.3">
      <c r="A314" s="376">
        <v>96</v>
      </c>
      <c r="B314" s="376" t="s">
        <v>139</v>
      </c>
      <c r="C314" s="58">
        <v>8545</v>
      </c>
      <c r="D314" s="376">
        <v>1</v>
      </c>
      <c r="E314" s="376" t="s">
        <v>130</v>
      </c>
      <c r="F314" s="376">
        <v>500</v>
      </c>
      <c r="G314" s="376">
        <v>400</v>
      </c>
      <c r="H314" s="376" t="s">
        <v>61</v>
      </c>
      <c r="I314" s="376">
        <v>300</v>
      </c>
      <c r="J314" s="376" t="s">
        <v>45</v>
      </c>
      <c r="K314" s="376">
        <v>90</v>
      </c>
      <c r="L314" s="376">
        <v>168</v>
      </c>
      <c r="M314" s="379" t="s">
        <v>14</v>
      </c>
      <c r="N314" s="376" t="s">
        <v>140</v>
      </c>
      <c r="O314" s="376" t="s">
        <v>16</v>
      </c>
      <c r="P314" s="339"/>
      <c r="Q314" s="376" t="s">
        <v>132</v>
      </c>
      <c r="T314" s="288">
        <v>1</v>
      </c>
    </row>
    <row r="315" spans="1:20" ht="15" customHeight="1" x14ac:dyDescent="0.3">
      <c r="A315" s="377"/>
      <c r="B315" s="377"/>
      <c r="C315" s="59">
        <v>22855</v>
      </c>
      <c r="D315" s="377"/>
      <c r="E315" s="377"/>
      <c r="F315" s="377"/>
      <c r="G315" s="377"/>
      <c r="H315" s="377"/>
      <c r="I315" s="377"/>
      <c r="J315" s="377"/>
      <c r="K315" s="377"/>
      <c r="L315" s="377"/>
      <c r="M315" s="380"/>
      <c r="N315" s="377"/>
      <c r="O315" s="377"/>
      <c r="P315" s="332">
        <v>44111</v>
      </c>
      <c r="Q315" s="377"/>
    </row>
    <row r="316" spans="1:20" ht="15" customHeight="1" thickBot="1" x14ac:dyDescent="0.35">
      <c r="A316" s="378"/>
      <c r="B316" s="378"/>
      <c r="C316" s="57">
        <v>59450</v>
      </c>
      <c r="D316" s="378"/>
      <c r="E316" s="378"/>
      <c r="F316" s="378"/>
      <c r="G316" s="378"/>
      <c r="H316" s="378"/>
      <c r="I316" s="378"/>
      <c r="J316" s="378"/>
      <c r="K316" s="378"/>
      <c r="L316" s="378"/>
      <c r="M316" s="381"/>
      <c r="N316" s="378"/>
      <c r="O316" s="378"/>
      <c r="P316" s="340"/>
      <c r="Q316" s="378"/>
    </row>
    <row r="317" spans="1:20" ht="15" customHeight="1" x14ac:dyDescent="0.3">
      <c r="A317" s="376">
        <v>97</v>
      </c>
      <c r="B317" s="376" t="s">
        <v>139</v>
      </c>
      <c r="C317" s="58">
        <v>12384</v>
      </c>
      <c r="D317" s="376">
        <v>1</v>
      </c>
      <c r="E317" s="376" t="s">
        <v>130</v>
      </c>
      <c r="F317" s="376">
        <v>500</v>
      </c>
      <c r="G317" s="376">
        <v>400</v>
      </c>
      <c r="H317" s="376" t="s">
        <v>61</v>
      </c>
      <c r="I317" s="376">
        <v>300</v>
      </c>
      <c r="J317" s="376" t="s">
        <v>45</v>
      </c>
      <c r="K317" s="376">
        <v>90</v>
      </c>
      <c r="L317" s="376">
        <v>168</v>
      </c>
      <c r="M317" s="379" t="s">
        <v>14</v>
      </c>
      <c r="N317" s="376" t="s">
        <v>140</v>
      </c>
      <c r="O317" s="376" t="s">
        <v>16</v>
      </c>
      <c r="P317" s="335"/>
      <c r="Q317" s="376" t="s">
        <v>132</v>
      </c>
      <c r="T317" s="288">
        <v>1</v>
      </c>
    </row>
    <row r="318" spans="1:20" ht="15" customHeight="1" x14ac:dyDescent="0.3">
      <c r="A318" s="377"/>
      <c r="B318" s="377"/>
      <c r="C318" s="59">
        <v>21024</v>
      </c>
      <c r="D318" s="377"/>
      <c r="E318" s="377"/>
      <c r="F318" s="377"/>
      <c r="G318" s="377"/>
      <c r="H318" s="377"/>
      <c r="I318" s="377"/>
      <c r="J318" s="377"/>
      <c r="K318" s="377"/>
      <c r="L318" s="377"/>
      <c r="M318" s="380"/>
      <c r="N318" s="377"/>
      <c r="O318" s="377"/>
      <c r="P318" s="332">
        <v>44110</v>
      </c>
      <c r="Q318" s="377"/>
    </row>
    <row r="319" spans="1:20" ht="15" customHeight="1" thickBot="1" x14ac:dyDescent="0.35">
      <c r="A319" s="378"/>
      <c r="B319" s="378"/>
      <c r="C319" s="57">
        <v>59450</v>
      </c>
      <c r="D319" s="378"/>
      <c r="E319" s="378"/>
      <c r="F319" s="378"/>
      <c r="G319" s="378"/>
      <c r="H319" s="378"/>
      <c r="I319" s="378"/>
      <c r="J319" s="378"/>
      <c r="K319" s="378"/>
      <c r="L319" s="378"/>
      <c r="M319" s="381"/>
      <c r="N319" s="378"/>
      <c r="O319" s="378"/>
      <c r="P319" s="336"/>
      <c r="Q319" s="378"/>
    </row>
    <row r="320" spans="1:20" ht="15" customHeight="1" x14ac:dyDescent="0.3">
      <c r="A320" s="376">
        <v>98</v>
      </c>
      <c r="B320" s="376" t="s">
        <v>139</v>
      </c>
      <c r="C320" s="58">
        <v>15847</v>
      </c>
      <c r="D320" s="376">
        <v>1</v>
      </c>
      <c r="E320" s="376" t="s">
        <v>130</v>
      </c>
      <c r="F320" s="376">
        <v>500</v>
      </c>
      <c r="G320" s="376">
        <v>400</v>
      </c>
      <c r="H320" s="376" t="s">
        <v>61</v>
      </c>
      <c r="I320" s="376">
        <v>300</v>
      </c>
      <c r="J320" s="376" t="s">
        <v>45</v>
      </c>
      <c r="K320" s="376">
        <v>90</v>
      </c>
      <c r="L320" s="376">
        <v>168</v>
      </c>
      <c r="M320" s="379" t="s">
        <v>14</v>
      </c>
      <c r="N320" s="376" t="s">
        <v>140</v>
      </c>
      <c r="O320" s="376" t="s">
        <v>16</v>
      </c>
      <c r="P320" s="339"/>
      <c r="Q320" s="376" t="s">
        <v>132</v>
      </c>
      <c r="T320" s="288">
        <v>1</v>
      </c>
    </row>
    <row r="321" spans="1:20" ht="15" customHeight="1" x14ac:dyDescent="0.3">
      <c r="A321" s="377"/>
      <c r="B321" s="377"/>
      <c r="C321" s="59">
        <v>18554</v>
      </c>
      <c r="D321" s="377"/>
      <c r="E321" s="377"/>
      <c r="F321" s="377"/>
      <c r="G321" s="377"/>
      <c r="H321" s="377"/>
      <c r="I321" s="377"/>
      <c r="J321" s="377"/>
      <c r="K321" s="377"/>
      <c r="L321" s="377"/>
      <c r="M321" s="380"/>
      <c r="N321" s="377"/>
      <c r="O321" s="377"/>
      <c r="P321" s="332">
        <v>44111</v>
      </c>
      <c r="Q321" s="377"/>
    </row>
    <row r="322" spans="1:20" ht="15" customHeight="1" thickBot="1" x14ac:dyDescent="0.35">
      <c r="A322" s="378"/>
      <c r="B322" s="378"/>
      <c r="C322" s="57">
        <v>59450</v>
      </c>
      <c r="D322" s="378"/>
      <c r="E322" s="378"/>
      <c r="F322" s="378"/>
      <c r="G322" s="378"/>
      <c r="H322" s="378"/>
      <c r="I322" s="378"/>
      <c r="J322" s="378"/>
      <c r="K322" s="378"/>
      <c r="L322" s="378"/>
      <c r="M322" s="381"/>
      <c r="N322" s="378"/>
      <c r="O322" s="378"/>
      <c r="P322" s="340"/>
      <c r="Q322" s="378"/>
    </row>
    <row r="323" spans="1:20" ht="15" customHeight="1" x14ac:dyDescent="0.3">
      <c r="A323" s="376">
        <v>99</v>
      </c>
      <c r="B323" s="376" t="s">
        <v>139</v>
      </c>
      <c r="C323" s="58">
        <v>18828</v>
      </c>
      <c r="D323" s="376">
        <v>1</v>
      </c>
      <c r="E323" s="376" t="s">
        <v>130</v>
      </c>
      <c r="F323" s="376">
        <v>500</v>
      </c>
      <c r="G323" s="376">
        <v>400</v>
      </c>
      <c r="H323" s="376" t="s">
        <v>61</v>
      </c>
      <c r="I323" s="376">
        <v>300</v>
      </c>
      <c r="J323" s="376" t="s">
        <v>45</v>
      </c>
      <c r="K323" s="376">
        <v>90</v>
      </c>
      <c r="L323" s="376">
        <v>168</v>
      </c>
      <c r="M323" s="379" t="s">
        <v>14</v>
      </c>
      <c r="N323" s="376" t="s">
        <v>140</v>
      </c>
      <c r="O323" s="376" t="s">
        <v>16</v>
      </c>
      <c r="P323" s="339"/>
      <c r="Q323" s="376" t="s">
        <v>132</v>
      </c>
      <c r="T323" s="288">
        <v>1</v>
      </c>
    </row>
    <row r="324" spans="1:20" ht="15" customHeight="1" x14ac:dyDescent="0.3">
      <c r="A324" s="377"/>
      <c r="B324" s="377"/>
      <c r="C324" s="59">
        <v>15520</v>
      </c>
      <c r="D324" s="377"/>
      <c r="E324" s="377"/>
      <c r="F324" s="377"/>
      <c r="G324" s="377"/>
      <c r="H324" s="377"/>
      <c r="I324" s="377"/>
      <c r="J324" s="377"/>
      <c r="K324" s="377"/>
      <c r="L324" s="377"/>
      <c r="M324" s="380"/>
      <c r="N324" s="377"/>
      <c r="O324" s="377"/>
      <c r="P324" s="332">
        <v>44111</v>
      </c>
      <c r="Q324" s="377"/>
    </row>
    <row r="325" spans="1:20" ht="15" customHeight="1" thickBot="1" x14ac:dyDescent="0.35">
      <c r="A325" s="378"/>
      <c r="B325" s="378"/>
      <c r="C325" s="57">
        <v>59450</v>
      </c>
      <c r="D325" s="378"/>
      <c r="E325" s="378"/>
      <c r="F325" s="378"/>
      <c r="G325" s="378"/>
      <c r="H325" s="378"/>
      <c r="I325" s="378"/>
      <c r="J325" s="378"/>
      <c r="K325" s="378"/>
      <c r="L325" s="378"/>
      <c r="M325" s="381"/>
      <c r="N325" s="378"/>
      <c r="O325" s="378"/>
      <c r="P325" s="340"/>
      <c r="Q325" s="378"/>
    </row>
    <row r="326" spans="1:20" ht="15" customHeight="1" x14ac:dyDescent="0.3">
      <c r="A326" s="370">
        <v>100</v>
      </c>
      <c r="B326" s="370" t="s">
        <v>141</v>
      </c>
      <c r="C326" s="37">
        <v>23000</v>
      </c>
      <c r="D326" s="370">
        <v>1</v>
      </c>
      <c r="E326" s="370" t="s">
        <v>130</v>
      </c>
      <c r="F326" s="370">
        <v>500</v>
      </c>
      <c r="G326" s="370">
        <v>400</v>
      </c>
      <c r="H326" s="370" t="s">
        <v>61</v>
      </c>
      <c r="I326" s="370">
        <v>300</v>
      </c>
      <c r="J326" s="370" t="s">
        <v>45</v>
      </c>
      <c r="K326" s="370">
        <v>90</v>
      </c>
      <c r="L326" s="370">
        <v>168</v>
      </c>
      <c r="M326" s="358" t="s">
        <v>14</v>
      </c>
      <c r="N326" s="370" t="s">
        <v>142</v>
      </c>
      <c r="O326" s="370" t="s">
        <v>16</v>
      </c>
      <c r="P326" s="347"/>
      <c r="Q326" s="370" t="s">
        <v>132</v>
      </c>
      <c r="T326" s="200">
        <v>1</v>
      </c>
    </row>
    <row r="327" spans="1:20" ht="15" customHeight="1" x14ac:dyDescent="0.3">
      <c r="A327" s="371"/>
      <c r="B327" s="371"/>
      <c r="C327" s="38">
        <v>8145</v>
      </c>
      <c r="D327" s="371"/>
      <c r="E327" s="371"/>
      <c r="F327" s="371"/>
      <c r="G327" s="371"/>
      <c r="H327" s="371"/>
      <c r="I327" s="371"/>
      <c r="J327" s="371"/>
      <c r="K327" s="371"/>
      <c r="L327" s="371"/>
      <c r="M327" s="359"/>
      <c r="N327" s="371"/>
      <c r="O327" s="371"/>
      <c r="P327" s="224">
        <v>44118</v>
      </c>
      <c r="Q327" s="371"/>
    </row>
    <row r="328" spans="1:20" ht="15" customHeight="1" thickBot="1" x14ac:dyDescent="0.35">
      <c r="A328" s="372"/>
      <c r="B328" s="372"/>
      <c r="C328" s="39">
        <v>59450</v>
      </c>
      <c r="D328" s="372"/>
      <c r="E328" s="372"/>
      <c r="F328" s="372"/>
      <c r="G328" s="372"/>
      <c r="H328" s="372"/>
      <c r="I328" s="372"/>
      <c r="J328" s="372"/>
      <c r="K328" s="372"/>
      <c r="L328" s="372"/>
      <c r="M328" s="360"/>
      <c r="N328" s="372"/>
      <c r="O328" s="372"/>
      <c r="P328" s="348"/>
      <c r="Q328" s="372"/>
    </row>
    <row r="329" spans="1:20" ht="15" customHeight="1" x14ac:dyDescent="0.3">
      <c r="A329" s="370">
        <v>101</v>
      </c>
      <c r="B329" s="370" t="s">
        <v>141</v>
      </c>
      <c r="C329" s="37">
        <v>24065</v>
      </c>
      <c r="D329" s="370">
        <v>1</v>
      </c>
      <c r="E329" s="370" t="s">
        <v>130</v>
      </c>
      <c r="F329" s="370">
        <v>500</v>
      </c>
      <c r="G329" s="370">
        <v>400</v>
      </c>
      <c r="H329" s="370" t="s">
        <v>61</v>
      </c>
      <c r="I329" s="370">
        <v>300</v>
      </c>
      <c r="J329" s="370" t="s">
        <v>45</v>
      </c>
      <c r="K329" s="370">
        <v>90</v>
      </c>
      <c r="L329" s="370">
        <v>168</v>
      </c>
      <c r="M329" s="358" t="s">
        <v>14</v>
      </c>
      <c r="N329" s="370" t="s">
        <v>142</v>
      </c>
      <c r="O329" s="370" t="s">
        <v>16</v>
      </c>
      <c r="P329" s="347"/>
      <c r="Q329" s="370" t="s">
        <v>132</v>
      </c>
      <c r="T329" s="200">
        <v>1</v>
      </c>
    </row>
    <row r="330" spans="1:20" ht="15" customHeight="1" x14ac:dyDescent="0.3">
      <c r="A330" s="371"/>
      <c r="B330" s="371"/>
      <c r="C330" s="38">
        <v>4027</v>
      </c>
      <c r="D330" s="371"/>
      <c r="E330" s="371"/>
      <c r="F330" s="371"/>
      <c r="G330" s="371"/>
      <c r="H330" s="371"/>
      <c r="I330" s="371"/>
      <c r="J330" s="371"/>
      <c r="K330" s="371"/>
      <c r="L330" s="371"/>
      <c r="M330" s="359"/>
      <c r="N330" s="371"/>
      <c r="O330" s="371"/>
      <c r="P330" s="224">
        <v>44118</v>
      </c>
      <c r="Q330" s="371"/>
    </row>
    <row r="331" spans="1:20" ht="15" customHeight="1" thickBot="1" x14ac:dyDescent="0.35">
      <c r="A331" s="372"/>
      <c r="B331" s="372"/>
      <c r="C331" s="39">
        <v>59450</v>
      </c>
      <c r="D331" s="372"/>
      <c r="E331" s="372"/>
      <c r="F331" s="372"/>
      <c r="G331" s="372"/>
      <c r="H331" s="372"/>
      <c r="I331" s="372"/>
      <c r="J331" s="372"/>
      <c r="K331" s="372"/>
      <c r="L331" s="372"/>
      <c r="M331" s="360"/>
      <c r="N331" s="372"/>
      <c r="O331" s="372"/>
      <c r="P331" s="348"/>
      <c r="Q331" s="372"/>
    </row>
    <row r="332" spans="1:20" ht="15" customHeight="1" x14ac:dyDescent="0.3">
      <c r="A332" s="370">
        <v>102</v>
      </c>
      <c r="B332" s="370" t="s">
        <v>141</v>
      </c>
      <c r="C332" s="37">
        <v>24399</v>
      </c>
      <c r="D332" s="370">
        <v>1</v>
      </c>
      <c r="E332" s="370" t="s">
        <v>130</v>
      </c>
      <c r="F332" s="370">
        <v>500</v>
      </c>
      <c r="G332" s="370">
        <v>400</v>
      </c>
      <c r="H332" s="370" t="s">
        <v>61</v>
      </c>
      <c r="I332" s="370">
        <v>300</v>
      </c>
      <c r="J332" s="370" t="s">
        <v>45</v>
      </c>
      <c r="K332" s="370">
        <v>90</v>
      </c>
      <c r="L332" s="370">
        <v>168</v>
      </c>
      <c r="M332" s="358" t="s">
        <v>14</v>
      </c>
      <c r="N332" s="370" t="s">
        <v>142</v>
      </c>
      <c r="O332" s="370" t="s">
        <v>16</v>
      </c>
      <c r="P332" s="347"/>
      <c r="Q332" s="370" t="s">
        <v>132</v>
      </c>
      <c r="T332" s="200">
        <v>1</v>
      </c>
    </row>
    <row r="333" spans="1:20" ht="15" customHeight="1" x14ac:dyDescent="0.3">
      <c r="A333" s="371"/>
      <c r="B333" s="371"/>
      <c r="C333" s="38">
        <v>-213</v>
      </c>
      <c r="D333" s="371"/>
      <c r="E333" s="371"/>
      <c r="F333" s="371"/>
      <c r="G333" s="371"/>
      <c r="H333" s="371"/>
      <c r="I333" s="371"/>
      <c r="J333" s="371"/>
      <c r="K333" s="371"/>
      <c r="L333" s="371"/>
      <c r="M333" s="359"/>
      <c r="N333" s="371"/>
      <c r="O333" s="371"/>
      <c r="P333" s="224">
        <v>44118</v>
      </c>
      <c r="Q333" s="371"/>
    </row>
    <row r="334" spans="1:20" ht="15" customHeight="1" thickBot="1" x14ac:dyDescent="0.35">
      <c r="A334" s="372"/>
      <c r="B334" s="372"/>
      <c r="C334" s="39">
        <v>59450</v>
      </c>
      <c r="D334" s="372"/>
      <c r="E334" s="372"/>
      <c r="F334" s="372"/>
      <c r="G334" s="372"/>
      <c r="H334" s="372"/>
      <c r="I334" s="372"/>
      <c r="J334" s="372"/>
      <c r="K334" s="372"/>
      <c r="L334" s="372"/>
      <c r="M334" s="360"/>
      <c r="N334" s="372"/>
      <c r="O334" s="372"/>
      <c r="P334" s="348"/>
      <c r="Q334" s="372"/>
    </row>
    <row r="335" spans="1:20" ht="15" customHeight="1" x14ac:dyDescent="0.3">
      <c r="A335" s="370">
        <v>103</v>
      </c>
      <c r="B335" s="370" t="s">
        <v>141</v>
      </c>
      <c r="C335" s="37">
        <v>23991</v>
      </c>
      <c r="D335" s="370">
        <v>1</v>
      </c>
      <c r="E335" s="370" t="s">
        <v>130</v>
      </c>
      <c r="F335" s="370">
        <v>500</v>
      </c>
      <c r="G335" s="370">
        <v>400</v>
      </c>
      <c r="H335" s="370" t="s">
        <v>61</v>
      </c>
      <c r="I335" s="370">
        <v>300</v>
      </c>
      <c r="J335" s="370" t="s">
        <v>45</v>
      </c>
      <c r="K335" s="370">
        <v>90</v>
      </c>
      <c r="L335" s="370">
        <v>168</v>
      </c>
      <c r="M335" s="358" t="s">
        <v>14</v>
      </c>
      <c r="N335" s="370" t="s">
        <v>142</v>
      </c>
      <c r="O335" s="370" t="s">
        <v>16</v>
      </c>
      <c r="P335" s="347"/>
      <c r="Q335" s="370" t="s">
        <v>132</v>
      </c>
      <c r="T335" s="200">
        <v>1</v>
      </c>
    </row>
    <row r="336" spans="1:20" ht="15" customHeight="1" x14ac:dyDescent="0.3">
      <c r="A336" s="371"/>
      <c r="B336" s="371"/>
      <c r="C336" s="38">
        <v>-4447</v>
      </c>
      <c r="D336" s="371"/>
      <c r="E336" s="371"/>
      <c r="F336" s="371"/>
      <c r="G336" s="371"/>
      <c r="H336" s="371"/>
      <c r="I336" s="371"/>
      <c r="J336" s="371"/>
      <c r="K336" s="371"/>
      <c r="L336" s="371"/>
      <c r="M336" s="359"/>
      <c r="N336" s="371"/>
      <c r="O336" s="371"/>
      <c r="P336" s="224">
        <v>44118</v>
      </c>
      <c r="Q336" s="371"/>
    </row>
    <row r="337" spans="1:20" ht="15" customHeight="1" thickBot="1" x14ac:dyDescent="0.35">
      <c r="A337" s="372"/>
      <c r="B337" s="372"/>
      <c r="C337" s="39">
        <v>59450</v>
      </c>
      <c r="D337" s="372"/>
      <c r="E337" s="372"/>
      <c r="F337" s="372"/>
      <c r="G337" s="372"/>
      <c r="H337" s="372"/>
      <c r="I337" s="372"/>
      <c r="J337" s="372"/>
      <c r="K337" s="372"/>
      <c r="L337" s="372"/>
      <c r="M337" s="360"/>
      <c r="N337" s="372"/>
      <c r="O337" s="372"/>
      <c r="P337" s="348"/>
      <c r="Q337" s="372"/>
    </row>
    <row r="338" spans="1:20" ht="15" customHeight="1" x14ac:dyDescent="0.3">
      <c r="A338" s="370">
        <v>104</v>
      </c>
      <c r="B338" s="370" t="s">
        <v>141</v>
      </c>
      <c r="C338" s="37">
        <v>23802</v>
      </c>
      <c r="D338" s="370">
        <v>1</v>
      </c>
      <c r="E338" s="370" t="s">
        <v>133</v>
      </c>
      <c r="F338" s="370">
        <v>500</v>
      </c>
      <c r="G338" s="370">
        <v>400</v>
      </c>
      <c r="H338" s="370" t="s">
        <v>134</v>
      </c>
      <c r="I338" s="370">
        <v>300</v>
      </c>
      <c r="J338" s="370" t="s">
        <v>45</v>
      </c>
      <c r="K338" s="370">
        <v>120</v>
      </c>
      <c r="L338" s="370">
        <v>264.5</v>
      </c>
      <c r="M338" s="358" t="s">
        <v>14</v>
      </c>
      <c r="N338" s="370" t="s">
        <v>142</v>
      </c>
      <c r="O338" s="370" t="s">
        <v>16</v>
      </c>
      <c r="P338" s="347"/>
      <c r="Q338" s="370" t="s">
        <v>135</v>
      </c>
      <c r="T338" s="200">
        <v>1</v>
      </c>
    </row>
    <row r="339" spans="1:20" ht="15" customHeight="1" x14ac:dyDescent="0.3">
      <c r="A339" s="371"/>
      <c r="B339" s="371"/>
      <c r="C339" s="38">
        <v>-6601</v>
      </c>
      <c r="D339" s="371"/>
      <c r="E339" s="371"/>
      <c r="F339" s="371"/>
      <c r="G339" s="371"/>
      <c r="H339" s="371"/>
      <c r="I339" s="371"/>
      <c r="J339" s="371"/>
      <c r="K339" s="371"/>
      <c r="L339" s="371"/>
      <c r="M339" s="359"/>
      <c r="N339" s="371"/>
      <c r="O339" s="371"/>
      <c r="P339" s="224">
        <v>44118</v>
      </c>
      <c r="Q339" s="371"/>
    </row>
    <row r="340" spans="1:20" ht="15" customHeight="1" thickBot="1" x14ac:dyDescent="0.35">
      <c r="A340" s="372"/>
      <c r="B340" s="372"/>
      <c r="C340" s="39">
        <v>59450</v>
      </c>
      <c r="D340" s="372"/>
      <c r="E340" s="372"/>
      <c r="F340" s="372"/>
      <c r="G340" s="372"/>
      <c r="H340" s="372"/>
      <c r="I340" s="372"/>
      <c r="J340" s="372"/>
      <c r="K340" s="372"/>
      <c r="L340" s="372"/>
      <c r="M340" s="360"/>
      <c r="N340" s="372"/>
      <c r="O340" s="372"/>
      <c r="P340" s="348"/>
      <c r="Q340" s="372"/>
    </row>
    <row r="341" spans="1:20" ht="15" customHeight="1" x14ac:dyDescent="0.3">
      <c r="A341" s="370">
        <v>105</v>
      </c>
      <c r="B341" s="370" t="s">
        <v>141</v>
      </c>
      <c r="C341" s="37">
        <v>22855</v>
      </c>
      <c r="D341" s="370">
        <v>1</v>
      </c>
      <c r="E341" s="370" t="s">
        <v>130</v>
      </c>
      <c r="F341" s="370">
        <v>500</v>
      </c>
      <c r="G341" s="370">
        <v>400</v>
      </c>
      <c r="H341" s="370" t="s">
        <v>61</v>
      </c>
      <c r="I341" s="370">
        <v>300</v>
      </c>
      <c r="J341" s="370" t="s">
        <v>45</v>
      </c>
      <c r="K341" s="370">
        <v>90</v>
      </c>
      <c r="L341" s="370">
        <v>168</v>
      </c>
      <c r="M341" s="358" t="s">
        <v>14</v>
      </c>
      <c r="N341" s="370" t="s">
        <v>142</v>
      </c>
      <c r="O341" s="370" t="s">
        <v>16</v>
      </c>
      <c r="P341" s="347"/>
      <c r="Q341" s="370" t="s">
        <v>132</v>
      </c>
      <c r="T341" s="200">
        <v>1</v>
      </c>
    </row>
    <row r="342" spans="1:20" ht="15" customHeight="1" x14ac:dyDescent="0.3">
      <c r="A342" s="371"/>
      <c r="B342" s="371"/>
      <c r="C342" s="38">
        <v>-8545</v>
      </c>
      <c r="D342" s="371"/>
      <c r="E342" s="371"/>
      <c r="F342" s="371"/>
      <c r="G342" s="371"/>
      <c r="H342" s="371"/>
      <c r="I342" s="371"/>
      <c r="J342" s="371"/>
      <c r="K342" s="371"/>
      <c r="L342" s="371"/>
      <c r="M342" s="359"/>
      <c r="N342" s="371"/>
      <c r="O342" s="371"/>
      <c r="P342" s="224">
        <v>44118</v>
      </c>
      <c r="Q342" s="371"/>
    </row>
    <row r="343" spans="1:20" ht="15" customHeight="1" thickBot="1" x14ac:dyDescent="0.35">
      <c r="A343" s="372"/>
      <c r="B343" s="372"/>
      <c r="C343" s="39">
        <v>59450</v>
      </c>
      <c r="D343" s="372"/>
      <c r="E343" s="372"/>
      <c r="F343" s="372"/>
      <c r="G343" s="372"/>
      <c r="H343" s="372"/>
      <c r="I343" s="372"/>
      <c r="J343" s="372"/>
      <c r="K343" s="372"/>
      <c r="L343" s="372"/>
      <c r="M343" s="360"/>
      <c r="N343" s="372"/>
      <c r="O343" s="372"/>
      <c r="P343" s="348"/>
      <c r="Q343" s="372"/>
    </row>
    <row r="344" spans="1:20" ht="15" customHeight="1" x14ac:dyDescent="0.3">
      <c r="A344" s="370">
        <v>106</v>
      </c>
      <c r="B344" s="370" t="s">
        <v>141</v>
      </c>
      <c r="C344" s="37">
        <v>21024</v>
      </c>
      <c r="D344" s="370">
        <v>1</v>
      </c>
      <c r="E344" s="370" t="s">
        <v>130</v>
      </c>
      <c r="F344" s="370">
        <v>500</v>
      </c>
      <c r="G344" s="370">
        <v>400</v>
      </c>
      <c r="H344" s="370" t="s">
        <v>61</v>
      </c>
      <c r="I344" s="370">
        <v>300</v>
      </c>
      <c r="J344" s="370" t="s">
        <v>45</v>
      </c>
      <c r="K344" s="370">
        <v>90</v>
      </c>
      <c r="L344" s="370">
        <v>168</v>
      </c>
      <c r="M344" s="358" t="s">
        <v>14</v>
      </c>
      <c r="N344" s="370" t="s">
        <v>142</v>
      </c>
      <c r="O344" s="370" t="s">
        <v>16</v>
      </c>
      <c r="P344" s="347"/>
      <c r="Q344" s="370" t="s">
        <v>132</v>
      </c>
      <c r="T344" s="200">
        <v>1</v>
      </c>
    </row>
    <row r="345" spans="1:20" ht="15" customHeight="1" x14ac:dyDescent="0.3">
      <c r="A345" s="371"/>
      <c r="B345" s="371"/>
      <c r="C345" s="38">
        <v>-12384</v>
      </c>
      <c r="D345" s="371"/>
      <c r="E345" s="371"/>
      <c r="F345" s="371"/>
      <c r="G345" s="371"/>
      <c r="H345" s="371"/>
      <c r="I345" s="371"/>
      <c r="J345" s="371"/>
      <c r="K345" s="371"/>
      <c r="L345" s="371"/>
      <c r="M345" s="359"/>
      <c r="N345" s="371"/>
      <c r="O345" s="371"/>
      <c r="P345" s="224">
        <v>44118</v>
      </c>
      <c r="Q345" s="371"/>
    </row>
    <row r="346" spans="1:20" ht="15" customHeight="1" thickBot="1" x14ac:dyDescent="0.35">
      <c r="A346" s="372"/>
      <c r="B346" s="372"/>
      <c r="C346" s="39">
        <v>59450</v>
      </c>
      <c r="D346" s="372"/>
      <c r="E346" s="372"/>
      <c r="F346" s="372"/>
      <c r="G346" s="372"/>
      <c r="H346" s="372"/>
      <c r="I346" s="372"/>
      <c r="J346" s="372"/>
      <c r="K346" s="372"/>
      <c r="L346" s="372"/>
      <c r="M346" s="360"/>
      <c r="N346" s="372"/>
      <c r="O346" s="372"/>
      <c r="P346" s="348"/>
      <c r="Q346" s="372"/>
    </row>
    <row r="347" spans="1:20" ht="15" customHeight="1" x14ac:dyDescent="0.3">
      <c r="A347" s="370">
        <v>107</v>
      </c>
      <c r="B347" s="370" t="s">
        <v>141</v>
      </c>
      <c r="C347" s="37">
        <v>18554</v>
      </c>
      <c r="D347" s="370">
        <v>1</v>
      </c>
      <c r="E347" s="370" t="s">
        <v>130</v>
      </c>
      <c r="F347" s="370">
        <v>500</v>
      </c>
      <c r="G347" s="370">
        <v>400</v>
      </c>
      <c r="H347" s="370" t="s">
        <v>61</v>
      </c>
      <c r="I347" s="370">
        <v>300</v>
      </c>
      <c r="J347" s="370" t="s">
        <v>45</v>
      </c>
      <c r="K347" s="370">
        <v>90</v>
      </c>
      <c r="L347" s="370">
        <v>168</v>
      </c>
      <c r="M347" s="358" t="s">
        <v>14</v>
      </c>
      <c r="N347" s="370" t="s">
        <v>142</v>
      </c>
      <c r="O347" s="370" t="s">
        <v>16</v>
      </c>
      <c r="P347" s="347"/>
      <c r="Q347" s="370" t="s">
        <v>132</v>
      </c>
      <c r="T347" s="200">
        <v>1</v>
      </c>
    </row>
    <row r="348" spans="1:20" ht="15" customHeight="1" x14ac:dyDescent="0.3">
      <c r="A348" s="371"/>
      <c r="B348" s="371"/>
      <c r="C348" s="38">
        <v>-15847</v>
      </c>
      <c r="D348" s="371"/>
      <c r="E348" s="371"/>
      <c r="F348" s="371"/>
      <c r="G348" s="371"/>
      <c r="H348" s="371"/>
      <c r="I348" s="371"/>
      <c r="J348" s="371"/>
      <c r="K348" s="371"/>
      <c r="L348" s="371"/>
      <c r="M348" s="359"/>
      <c r="N348" s="371"/>
      <c r="O348" s="371"/>
      <c r="P348" s="224">
        <v>44118</v>
      </c>
      <c r="Q348" s="371"/>
    </row>
    <row r="349" spans="1:20" ht="15" customHeight="1" thickBot="1" x14ac:dyDescent="0.35">
      <c r="A349" s="372"/>
      <c r="B349" s="372"/>
      <c r="C349" s="39">
        <v>59450</v>
      </c>
      <c r="D349" s="372"/>
      <c r="E349" s="372"/>
      <c r="F349" s="372"/>
      <c r="G349" s="372"/>
      <c r="H349" s="372"/>
      <c r="I349" s="372"/>
      <c r="J349" s="372"/>
      <c r="K349" s="372"/>
      <c r="L349" s="372"/>
      <c r="M349" s="360"/>
      <c r="N349" s="372"/>
      <c r="O349" s="372"/>
      <c r="P349" s="348"/>
      <c r="Q349" s="372"/>
    </row>
    <row r="350" spans="1:20" ht="15" customHeight="1" x14ac:dyDescent="0.3">
      <c r="A350" s="370">
        <v>108</v>
      </c>
      <c r="B350" s="370" t="s">
        <v>141</v>
      </c>
      <c r="C350" s="37">
        <v>15520</v>
      </c>
      <c r="D350" s="370">
        <v>1</v>
      </c>
      <c r="E350" s="370" t="s">
        <v>130</v>
      </c>
      <c r="F350" s="370">
        <v>500</v>
      </c>
      <c r="G350" s="370">
        <v>400</v>
      </c>
      <c r="H350" s="370" t="s">
        <v>61</v>
      </c>
      <c r="I350" s="370">
        <v>300</v>
      </c>
      <c r="J350" s="370" t="s">
        <v>45</v>
      </c>
      <c r="K350" s="370">
        <v>90</v>
      </c>
      <c r="L350" s="370">
        <v>168</v>
      </c>
      <c r="M350" s="358" t="s">
        <v>14</v>
      </c>
      <c r="N350" s="370" t="s">
        <v>142</v>
      </c>
      <c r="O350" s="370" t="s">
        <v>16</v>
      </c>
      <c r="P350" s="347"/>
      <c r="Q350" s="370" t="s">
        <v>132</v>
      </c>
      <c r="T350" s="200">
        <v>1</v>
      </c>
    </row>
    <row r="351" spans="1:20" ht="15" customHeight="1" x14ac:dyDescent="0.3">
      <c r="A351" s="371"/>
      <c r="B351" s="371"/>
      <c r="C351" s="38">
        <v>-18828</v>
      </c>
      <c r="D351" s="371"/>
      <c r="E351" s="371"/>
      <c r="F351" s="371"/>
      <c r="G351" s="371"/>
      <c r="H351" s="371"/>
      <c r="I351" s="371"/>
      <c r="J351" s="371"/>
      <c r="K351" s="371"/>
      <c r="L351" s="371"/>
      <c r="M351" s="359"/>
      <c r="N351" s="371"/>
      <c r="O351" s="371"/>
      <c r="P351" s="224">
        <v>44118</v>
      </c>
      <c r="Q351" s="371"/>
    </row>
    <row r="352" spans="1:20" ht="15" customHeight="1" thickBot="1" x14ac:dyDescent="0.35">
      <c r="A352" s="372"/>
      <c r="B352" s="372"/>
      <c r="C352" s="39">
        <v>59450</v>
      </c>
      <c r="D352" s="372"/>
      <c r="E352" s="372"/>
      <c r="F352" s="372"/>
      <c r="G352" s="372"/>
      <c r="H352" s="372"/>
      <c r="I352" s="372"/>
      <c r="J352" s="372"/>
      <c r="K352" s="372"/>
      <c r="L352" s="372"/>
      <c r="M352" s="360"/>
      <c r="N352" s="372"/>
      <c r="O352" s="372"/>
      <c r="P352" s="348"/>
      <c r="Q352" s="372"/>
    </row>
    <row r="353" spans="1:20" ht="15" customHeight="1" x14ac:dyDescent="0.3">
      <c r="A353" s="370">
        <v>109</v>
      </c>
      <c r="B353" s="370" t="s">
        <v>143</v>
      </c>
      <c r="C353" s="37">
        <v>11577</v>
      </c>
      <c r="D353" s="370">
        <v>1</v>
      </c>
      <c r="E353" s="370" t="s">
        <v>24</v>
      </c>
      <c r="F353" s="370">
        <v>500</v>
      </c>
      <c r="G353" s="370">
        <v>400</v>
      </c>
      <c r="H353" s="370" t="s">
        <v>44</v>
      </c>
      <c r="I353" s="370">
        <v>115</v>
      </c>
      <c r="J353" s="370" t="s">
        <v>45</v>
      </c>
      <c r="K353" s="370">
        <v>0</v>
      </c>
      <c r="L353" s="370">
        <v>110</v>
      </c>
      <c r="M353" s="358" t="s">
        <v>14</v>
      </c>
      <c r="N353" s="370" t="s">
        <v>144</v>
      </c>
      <c r="O353" s="370" t="s">
        <v>16</v>
      </c>
      <c r="P353" s="333"/>
      <c r="Q353" s="370" t="s">
        <v>138</v>
      </c>
      <c r="T353" s="200">
        <v>1</v>
      </c>
    </row>
    <row r="354" spans="1:20" ht="15" customHeight="1" x14ac:dyDescent="0.3">
      <c r="A354" s="371"/>
      <c r="B354" s="371"/>
      <c r="C354" s="38">
        <v>-21478</v>
      </c>
      <c r="D354" s="371"/>
      <c r="E354" s="371"/>
      <c r="F354" s="371"/>
      <c r="G354" s="371"/>
      <c r="H354" s="371"/>
      <c r="I354" s="371"/>
      <c r="J354" s="371"/>
      <c r="K354" s="371"/>
      <c r="L354" s="371"/>
      <c r="M354" s="359"/>
      <c r="N354" s="371"/>
      <c r="O354" s="371"/>
      <c r="P354" s="224">
        <v>44110</v>
      </c>
      <c r="Q354" s="371"/>
    </row>
    <row r="355" spans="1:20" ht="15" customHeight="1" thickBot="1" x14ac:dyDescent="0.35">
      <c r="A355" s="372"/>
      <c r="B355" s="372"/>
      <c r="C355" s="39">
        <v>59450</v>
      </c>
      <c r="D355" s="372"/>
      <c r="E355" s="372"/>
      <c r="F355" s="372"/>
      <c r="G355" s="372"/>
      <c r="H355" s="372"/>
      <c r="I355" s="372"/>
      <c r="J355" s="372"/>
      <c r="K355" s="372"/>
      <c r="L355" s="372"/>
      <c r="M355" s="360"/>
      <c r="N355" s="372"/>
      <c r="O355" s="372"/>
      <c r="P355" s="334"/>
      <c r="Q355" s="372"/>
    </row>
    <row r="356" spans="1:20" ht="15" customHeight="1" x14ac:dyDescent="0.3">
      <c r="A356" s="370">
        <v>110</v>
      </c>
      <c r="B356" s="370" t="s">
        <v>145</v>
      </c>
      <c r="C356" s="37">
        <v>8145</v>
      </c>
      <c r="D356" s="370">
        <v>1</v>
      </c>
      <c r="E356" s="370" t="s">
        <v>130</v>
      </c>
      <c r="F356" s="370">
        <v>500</v>
      </c>
      <c r="G356" s="370">
        <v>400</v>
      </c>
      <c r="H356" s="370" t="s">
        <v>61</v>
      </c>
      <c r="I356" s="370">
        <v>300</v>
      </c>
      <c r="J356" s="370" t="s">
        <v>45</v>
      </c>
      <c r="K356" s="370">
        <v>90</v>
      </c>
      <c r="L356" s="370">
        <v>168</v>
      </c>
      <c r="M356" s="358" t="s">
        <v>14</v>
      </c>
      <c r="N356" s="370" t="s">
        <v>146</v>
      </c>
      <c r="O356" s="370" t="s">
        <v>16</v>
      </c>
      <c r="P356" s="328"/>
      <c r="Q356" s="370" t="s">
        <v>132</v>
      </c>
      <c r="R356" s="186">
        <v>44069</v>
      </c>
      <c r="T356" s="200">
        <v>1</v>
      </c>
    </row>
    <row r="357" spans="1:20" ht="15" customHeight="1" x14ac:dyDescent="0.3">
      <c r="A357" s="371"/>
      <c r="B357" s="371"/>
      <c r="C357" s="38">
        <v>-23000</v>
      </c>
      <c r="D357" s="371"/>
      <c r="E357" s="371"/>
      <c r="F357" s="371"/>
      <c r="G357" s="371"/>
      <c r="H357" s="371"/>
      <c r="I357" s="371"/>
      <c r="J357" s="371"/>
      <c r="K357" s="371"/>
      <c r="L357" s="371"/>
      <c r="M357" s="359"/>
      <c r="N357" s="371"/>
      <c r="O357" s="371"/>
      <c r="P357" s="224">
        <v>44069</v>
      </c>
      <c r="Q357" s="371"/>
    </row>
    <row r="358" spans="1:20" ht="15" customHeight="1" thickBot="1" x14ac:dyDescent="0.35">
      <c r="A358" s="372"/>
      <c r="B358" s="372"/>
      <c r="C358" s="39">
        <v>59450</v>
      </c>
      <c r="D358" s="372"/>
      <c r="E358" s="372"/>
      <c r="F358" s="372"/>
      <c r="G358" s="372"/>
      <c r="H358" s="372"/>
      <c r="I358" s="372"/>
      <c r="J358" s="372"/>
      <c r="K358" s="372"/>
      <c r="L358" s="372"/>
      <c r="M358" s="360"/>
      <c r="N358" s="372"/>
      <c r="O358" s="372"/>
      <c r="P358" s="329"/>
      <c r="Q358" s="372"/>
    </row>
    <row r="359" spans="1:20" ht="15" customHeight="1" x14ac:dyDescent="0.3">
      <c r="A359" s="370">
        <v>111</v>
      </c>
      <c r="B359" s="370" t="s">
        <v>145</v>
      </c>
      <c r="C359" s="37">
        <v>4027</v>
      </c>
      <c r="D359" s="370">
        <v>1</v>
      </c>
      <c r="E359" s="370" t="s">
        <v>130</v>
      </c>
      <c r="F359" s="370">
        <v>500</v>
      </c>
      <c r="G359" s="370">
        <v>400</v>
      </c>
      <c r="H359" s="370" t="s">
        <v>61</v>
      </c>
      <c r="I359" s="370">
        <v>300</v>
      </c>
      <c r="J359" s="370" t="s">
        <v>45</v>
      </c>
      <c r="K359" s="370">
        <v>90</v>
      </c>
      <c r="L359" s="370">
        <v>168</v>
      </c>
      <c r="M359" s="358" t="s">
        <v>14</v>
      </c>
      <c r="N359" s="370" t="s">
        <v>146</v>
      </c>
      <c r="O359" s="370" t="s">
        <v>16</v>
      </c>
      <c r="P359" s="345"/>
      <c r="Q359" s="370" t="s">
        <v>132</v>
      </c>
      <c r="T359" s="200">
        <v>1</v>
      </c>
    </row>
    <row r="360" spans="1:20" ht="15" customHeight="1" x14ac:dyDescent="0.3">
      <c r="A360" s="371"/>
      <c r="B360" s="371"/>
      <c r="C360" s="38">
        <v>-24065</v>
      </c>
      <c r="D360" s="371"/>
      <c r="E360" s="371"/>
      <c r="F360" s="371"/>
      <c r="G360" s="371"/>
      <c r="H360" s="371"/>
      <c r="I360" s="371"/>
      <c r="J360" s="371"/>
      <c r="K360" s="371"/>
      <c r="L360" s="371"/>
      <c r="M360" s="359"/>
      <c r="N360" s="371"/>
      <c r="O360" s="371"/>
      <c r="P360" s="224">
        <v>44117</v>
      </c>
      <c r="Q360" s="371"/>
    </row>
    <row r="361" spans="1:20" ht="15" customHeight="1" thickBot="1" x14ac:dyDescent="0.35">
      <c r="A361" s="372"/>
      <c r="B361" s="372"/>
      <c r="C361" s="39">
        <v>59450</v>
      </c>
      <c r="D361" s="372"/>
      <c r="E361" s="372"/>
      <c r="F361" s="372"/>
      <c r="G361" s="372"/>
      <c r="H361" s="372"/>
      <c r="I361" s="372"/>
      <c r="J361" s="372"/>
      <c r="K361" s="372"/>
      <c r="L361" s="372"/>
      <c r="M361" s="360"/>
      <c r="N361" s="372"/>
      <c r="O361" s="372"/>
      <c r="P361" s="346"/>
      <c r="Q361" s="372"/>
    </row>
    <row r="362" spans="1:20" ht="15" customHeight="1" x14ac:dyDescent="0.3">
      <c r="A362" s="370">
        <v>112</v>
      </c>
      <c r="B362" s="370" t="s">
        <v>145</v>
      </c>
      <c r="C362" s="37">
        <v>-213</v>
      </c>
      <c r="D362" s="370">
        <v>1</v>
      </c>
      <c r="E362" s="370" t="s">
        <v>130</v>
      </c>
      <c r="F362" s="370">
        <v>500</v>
      </c>
      <c r="G362" s="370">
        <v>400</v>
      </c>
      <c r="H362" s="370" t="s">
        <v>61</v>
      </c>
      <c r="I362" s="370">
        <v>300</v>
      </c>
      <c r="J362" s="370" t="s">
        <v>45</v>
      </c>
      <c r="K362" s="370">
        <v>90</v>
      </c>
      <c r="L362" s="370">
        <v>168</v>
      </c>
      <c r="M362" s="358" t="s">
        <v>14</v>
      </c>
      <c r="N362" s="370" t="s">
        <v>146</v>
      </c>
      <c r="O362" s="370" t="s">
        <v>16</v>
      </c>
      <c r="P362" s="345"/>
      <c r="Q362" s="370" t="s">
        <v>132</v>
      </c>
      <c r="T362" s="200">
        <v>1</v>
      </c>
    </row>
    <row r="363" spans="1:20" ht="15" customHeight="1" x14ac:dyDescent="0.3">
      <c r="A363" s="371"/>
      <c r="B363" s="371"/>
      <c r="C363" s="38">
        <v>-24399</v>
      </c>
      <c r="D363" s="371"/>
      <c r="E363" s="371"/>
      <c r="F363" s="371"/>
      <c r="G363" s="371"/>
      <c r="H363" s="371"/>
      <c r="I363" s="371"/>
      <c r="J363" s="371"/>
      <c r="K363" s="371"/>
      <c r="L363" s="371"/>
      <c r="M363" s="359"/>
      <c r="N363" s="371"/>
      <c r="O363" s="371"/>
      <c r="P363" s="224">
        <v>44117</v>
      </c>
      <c r="Q363" s="371"/>
    </row>
    <row r="364" spans="1:20" ht="15" customHeight="1" thickBot="1" x14ac:dyDescent="0.35">
      <c r="A364" s="372"/>
      <c r="B364" s="372"/>
      <c r="C364" s="39">
        <v>59450</v>
      </c>
      <c r="D364" s="372"/>
      <c r="E364" s="372"/>
      <c r="F364" s="372"/>
      <c r="G364" s="372"/>
      <c r="H364" s="372"/>
      <c r="I364" s="372"/>
      <c r="J364" s="372"/>
      <c r="K364" s="372"/>
      <c r="L364" s="372"/>
      <c r="M364" s="360"/>
      <c r="N364" s="372"/>
      <c r="O364" s="372"/>
      <c r="P364" s="346"/>
      <c r="Q364" s="372"/>
    </row>
    <row r="365" spans="1:20" ht="15" customHeight="1" x14ac:dyDescent="0.3">
      <c r="A365" s="370">
        <v>113</v>
      </c>
      <c r="B365" s="370" t="s">
        <v>145</v>
      </c>
      <c r="C365" s="37">
        <v>-4447</v>
      </c>
      <c r="D365" s="370">
        <v>1</v>
      </c>
      <c r="E365" s="370" t="s">
        <v>130</v>
      </c>
      <c r="F365" s="370">
        <v>500</v>
      </c>
      <c r="G365" s="370">
        <v>400</v>
      </c>
      <c r="H365" s="370" t="s">
        <v>61</v>
      </c>
      <c r="I365" s="370">
        <v>300</v>
      </c>
      <c r="J365" s="370" t="s">
        <v>45</v>
      </c>
      <c r="K365" s="370">
        <v>90</v>
      </c>
      <c r="L365" s="370">
        <v>168</v>
      </c>
      <c r="M365" s="358" t="s">
        <v>14</v>
      </c>
      <c r="N365" s="370" t="s">
        <v>146</v>
      </c>
      <c r="O365" s="370" t="s">
        <v>16</v>
      </c>
      <c r="P365" s="345"/>
      <c r="Q365" s="370" t="s">
        <v>132</v>
      </c>
      <c r="T365" s="200">
        <v>1</v>
      </c>
    </row>
    <row r="366" spans="1:20" ht="15" customHeight="1" x14ac:dyDescent="0.3">
      <c r="A366" s="371"/>
      <c r="B366" s="371"/>
      <c r="C366" s="38">
        <v>-23991</v>
      </c>
      <c r="D366" s="371"/>
      <c r="E366" s="371"/>
      <c r="F366" s="371"/>
      <c r="G366" s="371"/>
      <c r="H366" s="371"/>
      <c r="I366" s="371"/>
      <c r="J366" s="371"/>
      <c r="K366" s="371"/>
      <c r="L366" s="371"/>
      <c r="M366" s="359"/>
      <c r="N366" s="371"/>
      <c r="O366" s="371"/>
      <c r="P366" s="224">
        <v>44117</v>
      </c>
      <c r="Q366" s="371"/>
    </row>
    <row r="367" spans="1:20" ht="15" customHeight="1" thickBot="1" x14ac:dyDescent="0.35">
      <c r="A367" s="372"/>
      <c r="B367" s="372"/>
      <c r="C367" s="39">
        <v>59450</v>
      </c>
      <c r="D367" s="372"/>
      <c r="E367" s="372"/>
      <c r="F367" s="372"/>
      <c r="G367" s="372"/>
      <c r="H367" s="372"/>
      <c r="I367" s="372"/>
      <c r="J367" s="372"/>
      <c r="K367" s="372"/>
      <c r="L367" s="372"/>
      <c r="M367" s="360"/>
      <c r="N367" s="372"/>
      <c r="O367" s="372"/>
      <c r="P367" s="346"/>
      <c r="Q367" s="372"/>
    </row>
    <row r="368" spans="1:20" ht="15" customHeight="1" x14ac:dyDescent="0.3">
      <c r="A368" s="370">
        <v>114</v>
      </c>
      <c r="B368" s="370" t="s">
        <v>145</v>
      </c>
      <c r="C368" s="37">
        <v>-6467</v>
      </c>
      <c r="D368" s="370">
        <v>1</v>
      </c>
      <c r="E368" s="370" t="s">
        <v>133</v>
      </c>
      <c r="F368" s="370">
        <v>500</v>
      </c>
      <c r="G368" s="370">
        <v>400</v>
      </c>
      <c r="H368" s="370" t="s">
        <v>134</v>
      </c>
      <c r="I368" s="370">
        <v>300</v>
      </c>
      <c r="J368" s="370" t="s">
        <v>45</v>
      </c>
      <c r="K368" s="370">
        <v>120</v>
      </c>
      <c r="L368" s="370">
        <v>264.5</v>
      </c>
      <c r="M368" s="358" t="s">
        <v>14</v>
      </c>
      <c r="N368" s="370" t="s">
        <v>146</v>
      </c>
      <c r="O368" s="370" t="s">
        <v>16</v>
      </c>
      <c r="P368" s="345"/>
      <c r="Q368" s="370" t="s">
        <v>135</v>
      </c>
      <c r="T368" s="200">
        <v>1</v>
      </c>
    </row>
    <row r="369" spans="1:20" ht="15" customHeight="1" x14ac:dyDescent="0.3">
      <c r="A369" s="371"/>
      <c r="B369" s="371"/>
      <c r="C369" s="38">
        <v>-23320</v>
      </c>
      <c r="D369" s="371"/>
      <c r="E369" s="371"/>
      <c r="F369" s="371"/>
      <c r="G369" s="371"/>
      <c r="H369" s="371"/>
      <c r="I369" s="371"/>
      <c r="J369" s="371"/>
      <c r="K369" s="371"/>
      <c r="L369" s="371"/>
      <c r="M369" s="359"/>
      <c r="N369" s="371"/>
      <c r="O369" s="371"/>
      <c r="P369" s="224">
        <v>44117</v>
      </c>
      <c r="Q369" s="371"/>
    </row>
    <row r="370" spans="1:20" ht="15" customHeight="1" thickBot="1" x14ac:dyDescent="0.35">
      <c r="A370" s="372"/>
      <c r="B370" s="372"/>
      <c r="C370" s="39">
        <v>59450</v>
      </c>
      <c r="D370" s="372"/>
      <c r="E370" s="372"/>
      <c r="F370" s="372"/>
      <c r="G370" s="372"/>
      <c r="H370" s="372"/>
      <c r="I370" s="372"/>
      <c r="J370" s="372"/>
      <c r="K370" s="372"/>
      <c r="L370" s="372"/>
      <c r="M370" s="360"/>
      <c r="N370" s="372"/>
      <c r="O370" s="372"/>
      <c r="P370" s="346"/>
      <c r="Q370" s="372"/>
    </row>
    <row r="371" spans="1:20" ht="15" customHeight="1" x14ac:dyDescent="0.3">
      <c r="A371" s="370">
        <v>115</v>
      </c>
      <c r="B371" s="370" t="s">
        <v>145</v>
      </c>
      <c r="C371" s="37">
        <v>-8545</v>
      </c>
      <c r="D371" s="370">
        <v>1</v>
      </c>
      <c r="E371" s="370" t="s">
        <v>130</v>
      </c>
      <c r="F371" s="370">
        <v>500</v>
      </c>
      <c r="G371" s="370">
        <v>400</v>
      </c>
      <c r="H371" s="370" t="s">
        <v>61</v>
      </c>
      <c r="I371" s="370">
        <v>300</v>
      </c>
      <c r="J371" s="370" t="s">
        <v>45</v>
      </c>
      <c r="K371" s="370">
        <v>90</v>
      </c>
      <c r="L371" s="370">
        <v>168</v>
      </c>
      <c r="M371" s="358" t="s">
        <v>14</v>
      </c>
      <c r="N371" s="370" t="s">
        <v>146</v>
      </c>
      <c r="O371" s="370" t="s">
        <v>16</v>
      </c>
      <c r="P371" s="345"/>
      <c r="Q371" s="370" t="s">
        <v>132</v>
      </c>
      <c r="T371" s="200">
        <v>1</v>
      </c>
    </row>
    <row r="372" spans="1:20" ht="15" customHeight="1" x14ac:dyDescent="0.3">
      <c r="A372" s="371"/>
      <c r="B372" s="371"/>
      <c r="C372" s="38">
        <v>-22855</v>
      </c>
      <c r="D372" s="371"/>
      <c r="E372" s="371"/>
      <c r="F372" s="371"/>
      <c r="G372" s="371"/>
      <c r="H372" s="371"/>
      <c r="I372" s="371"/>
      <c r="J372" s="371"/>
      <c r="K372" s="371"/>
      <c r="L372" s="371"/>
      <c r="M372" s="359"/>
      <c r="N372" s="371"/>
      <c r="O372" s="371"/>
      <c r="P372" s="224">
        <v>44117</v>
      </c>
      <c r="Q372" s="371"/>
    </row>
    <row r="373" spans="1:20" ht="15" customHeight="1" thickBot="1" x14ac:dyDescent="0.35">
      <c r="A373" s="372"/>
      <c r="B373" s="372"/>
      <c r="C373" s="39">
        <v>59450</v>
      </c>
      <c r="D373" s="372"/>
      <c r="E373" s="372"/>
      <c r="F373" s="372"/>
      <c r="G373" s="372"/>
      <c r="H373" s="372"/>
      <c r="I373" s="372"/>
      <c r="J373" s="372"/>
      <c r="K373" s="372"/>
      <c r="L373" s="372"/>
      <c r="M373" s="360"/>
      <c r="N373" s="372"/>
      <c r="O373" s="372"/>
      <c r="P373" s="346"/>
      <c r="Q373" s="372"/>
    </row>
    <row r="374" spans="1:20" ht="15" customHeight="1" x14ac:dyDescent="0.3">
      <c r="A374" s="370">
        <v>116</v>
      </c>
      <c r="B374" s="370" t="s">
        <v>145</v>
      </c>
      <c r="C374" s="37">
        <v>-12384</v>
      </c>
      <c r="D374" s="370">
        <v>1</v>
      </c>
      <c r="E374" s="370" t="s">
        <v>130</v>
      </c>
      <c r="F374" s="370">
        <v>500</v>
      </c>
      <c r="G374" s="370">
        <v>400</v>
      </c>
      <c r="H374" s="370" t="s">
        <v>61</v>
      </c>
      <c r="I374" s="370">
        <v>300</v>
      </c>
      <c r="J374" s="370" t="s">
        <v>45</v>
      </c>
      <c r="K374" s="370">
        <v>90</v>
      </c>
      <c r="L374" s="370">
        <v>168</v>
      </c>
      <c r="M374" s="358" t="s">
        <v>14</v>
      </c>
      <c r="N374" s="370" t="s">
        <v>146</v>
      </c>
      <c r="O374" s="370" t="s">
        <v>16</v>
      </c>
      <c r="P374" s="345"/>
      <c r="Q374" s="370" t="s">
        <v>132</v>
      </c>
      <c r="T374" s="200">
        <v>1</v>
      </c>
    </row>
    <row r="375" spans="1:20" ht="15" customHeight="1" x14ac:dyDescent="0.3">
      <c r="A375" s="371"/>
      <c r="B375" s="371"/>
      <c r="C375" s="38">
        <v>-21024</v>
      </c>
      <c r="D375" s="371"/>
      <c r="E375" s="371"/>
      <c r="F375" s="371"/>
      <c r="G375" s="371"/>
      <c r="H375" s="371"/>
      <c r="I375" s="371"/>
      <c r="J375" s="371"/>
      <c r="K375" s="371"/>
      <c r="L375" s="371"/>
      <c r="M375" s="359"/>
      <c r="N375" s="371"/>
      <c r="O375" s="371"/>
      <c r="P375" s="224">
        <v>44117</v>
      </c>
      <c r="Q375" s="371"/>
    </row>
    <row r="376" spans="1:20" ht="15" customHeight="1" thickBot="1" x14ac:dyDescent="0.35">
      <c r="A376" s="372"/>
      <c r="B376" s="372"/>
      <c r="C376" s="39">
        <v>59450</v>
      </c>
      <c r="D376" s="372"/>
      <c r="E376" s="372"/>
      <c r="F376" s="372"/>
      <c r="G376" s="372"/>
      <c r="H376" s="372"/>
      <c r="I376" s="372"/>
      <c r="J376" s="372"/>
      <c r="K376" s="372"/>
      <c r="L376" s="372"/>
      <c r="M376" s="360"/>
      <c r="N376" s="372"/>
      <c r="O376" s="372"/>
      <c r="P376" s="346"/>
      <c r="Q376" s="372"/>
    </row>
    <row r="377" spans="1:20" ht="15" customHeight="1" x14ac:dyDescent="0.3">
      <c r="A377" s="370">
        <v>117</v>
      </c>
      <c r="B377" s="370" t="s">
        <v>145</v>
      </c>
      <c r="C377" s="37">
        <v>-15847</v>
      </c>
      <c r="D377" s="370">
        <v>1</v>
      </c>
      <c r="E377" s="370" t="s">
        <v>130</v>
      </c>
      <c r="F377" s="370">
        <v>500</v>
      </c>
      <c r="G377" s="370">
        <v>400</v>
      </c>
      <c r="H377" s="370" t="s">
        <v>61</v>
      </c>
      <c r="I377" s="370">
        <v>300</v>
      </c>
      <c r="J377" s="370" t="s">
        <v>45</v>
      </c>
      <c r="K377" s="370">
        <v>90</v>
      </c>
      <c r="L377" s="370">
        <v>168</v>
      </c>
      <c r="M377" s="358" t="s">
        <v>14</v>
      </c>
      <c r="N377" s="370" t="s">
        <v>146</v>
      </c>
      <c r="O377" s="370" t="s">
        <v>16</v>
      </c>
      <c r="P377" s="345"/>
      <c r="Q377" s="370" t="s">
        <v>132</v>
      </c>
      <c r="T377" s="200">
        <v>1</v>
      </c>
    </row>
    <row r="378" spans="1:20" ht="15" customHeight="1" x14ac:dyDescent="0.3">
      <c r="A378" s="371"/>
      <c r="B378" s="371"/>
      <c r="C378" s="38">
        <v>-18554</v>
      </c>
      <c r="D378" s="371"/>
      <c r="E378" s="371"/>
      <c r="F378" s="371"/>
      <c r="G378" s="371"/>
      <c r="H378" s="371"/>
      <c r="I378" s="371"/>
      <c r="J378" s="371"/>
      <c r="K378" s="371"/>
      <c r="L378" s="371"/>
      <c r="M378" s="359"/>
      <c r="N378" s="371"/>
      <c r="O378" s="371"/>
      <c r="P378" s="224">
        <v>44117</v>
      </c>
      <c r="Q378" s="371"/>
    </row>
    <row r="379" spans="1:20" ht="15" customHeight="1" thickBot="1" x14ac:dyDescent="0.35">
      <c r="A379" s="372"/>
      <c r="B379" s="372"/>
      <c r="C379" s="39">
        <v>59450</v>
      </c>
      <c r="D379" s="372"/>
      <c r="E379" s="372"/>
      <c r="F379" s="372"/>
      <c r="G379" s="372"/>
      <c r="H379" s="372"/>
      <c r="I379" s="372"/>
      <c r="J379" s="372"/>
      <c r="K379" s="372"/>
      <c r="L379" s="372"/>
      <c r="M379" s="360"/>
      <c r="N379" s="372"/>
      <c r="O379" s="372"/>
      <c r="P379" s="346"/>
      <c r="Q379" s="372"/>
    </row>
    <row r="380" spans="1:20" ht="15" customHeight="1" x14ac:dyDescent="0.3">
      <c r="A380" s="370">
        <v>118</v>
      </c>
      <c r="B380" s="370" t="s">
        <v>145</v>
      </c>
      <c r="C380" s="37">
        <v>-18828</v>
      </c>
      <c r="D380" s="370">
        <v>1</v>
      </c>
      <c r="E380" s="370" t="s">
        <v>130</v>
      </c>
      <c r="F380" s="370">
        <v>500</v>
      </c>
      <c r="G380" s="370">
        <v>400</v>
      </c>
      <c r="H380" s="370" t="s">
        <v>61</v>
      </c>
      <c r="I380" s="370">
        <v>300</v>
      </c>
      <c r="J380" s="370" t="s">
        <v>45</v>
      </c>
      <c r="K380" s="370">
        <v>90</v>
      </c>
      <c r="L380" s="370">
        <v>168</v>
      </c>
      <c r="M380" s="358" t="s">
        <v>14</v>
      </c>
      <c r="N380" s="370" t="s">
        <v>146</v>
      </c>
      <c r="O380" s="370" t="s">
        <v>16</v>
      </c>
      <c r="P380" s="345"/>
      <c r="Q380" s="370" t="s">
        <v>132</v>
      </c>
      <c r="T380" s="200">
        <v>1</v>
      </c>
    </row>
    <row r="381" spans="1:20" ht="15" customHeight="1" x14ac:dyDescent="0.3">
      <c r="A381" s="371"/>
      <c r="B381" s="371"/>
      <c r="C381" s="38">
        <v>-15520</v>
      </c>
      <c r="D381" s="371"/>
      <c r="E381" s="371"/>
      <c r="F381" s="371"/>
      <c r="G381" s="371"/>
      <c r="H381" s="371"/>
      <c r="I381" s="371"/>
      <c r="J381" s="371"/>
      <c r="K381" s="371"/>
      <c r="L381" s="371"/>
      <c r="M381" s="359"/>
      <c r="N381" s="371"/>
      <c r="O381" s="371"/>
      <c r="P381" s="224">
        <v>44117</v>
      </c>
      <c r="Q381" s="371"/>
    </row>
    <row r="382" spans="1:20" ht="15" customHeight="1" thickBot="1" x14ac:dyDescent="0.35">
      <c r="A382" s="372"/>
      <c r="B382" s="372"/>
      <c r="C382" s="39">
        <v>59450</v>
      </c>
      <c r="D382" s="372"/>
      <c r="E382" s="372"/>
      <c r="F382" s="372"/>
      <c r="G382" s="372"/>
      <c r="H382" s="372"/>
      <c r="I382" s="372"/>
      <c r="J382" s="372"/>
      <c r="K382" s="372"/>
      <c r="L382" s="372"/>
      <c r="M382" s="360"/>
      <c r="N382" s="372"/>
      <c r="O382" s="372"/>
      <c r="P382" s="346"/>
      <c r="Q382" s="372"/>
    </row>
    <row r="383" spans="1:20" ht="15" customHeight="1" thickBot="1" x14ac:dyDescent="0.35">
      <c r="A383" s="352" t="s">
        <v>147</v>
      </c>
      <c r="B383" s="353"/>
      <c r="C383" s="353"/>
      <c r="D383" s="353"/>
      <c r="E383" s="353"/>
      <c r="F383" s="353"/>
      <c r="G383" s="353"/>
      <c r="H383" s="353"/>
      <c r="I383" s="353"/>
      <c r="J383" s="353"/>
      <c r="K383" s="353"/>
      <c r="L383" s="353"/>
      <c r="M383" s="353"/>
      <c r="N383" s="353"/>
      <c r="O383" s="353"/>
      <c r="P383" s="353"/>
      <c r="Q383" s="354"/>
    </row>
    <row r="384" spans="1:20" ht="15" customHeight="1" x14ac:dyDescent="0.3">
      <c r="A384" s="370">
        <v>119</v>
      </c>
      <c r="B384" s="370" t="s">
        <v>148</v>
      </c>
      <c r="C384" s="37">
        <v>-13175</v>
      </c>
      <c r="D384" s="370">
        <v>1</v>
      </c>
      <c r="E384" s="370" t="s">
        <v>25</v>
      </c>
      <c r="F384" s="370">
        <v>400</v>
      </c>
      <c r="G384" s="370">
        <v>400</v>
      </c>
      <c r="H384" s="370" t="s">
        <v>44</v>
      </c>
      <c r="I384" s="370">
        <v>115</v>
      </c>
      <c r="J384" s="370" t="s">
        <v>45</v>
      </c>
      <c r="K384" s="370">
        <v>0</v>
      </c>
      <c r="L384" s="370">
        <v>35.200000000000003</v>
      </c>
      <c r="M384" s="358" t="s">
        <v>14</v>
      </c>
      <c r="N384" s="370" t="s">
        <v>149</v>
      </c>
      <c r="O384" s="370" t="s">
        <v>16</v>
      </c>
      <c r="P384" s="326"/>
      <c r="Q384" s="370" t="s">
        <v>120</v>
      </c>
      <c r="T384" s="200">
        <v>1</v>
      </c>
    </row>
    <row r="385" spans="1:20" ht="15" customHeight="1" x14ac:dyDescent="0.3">
      <c r="A385" s="371"/>
      <c r="B385" s="371"/>
      <c r="C385" s="38">
        <v>20078</v>
      </c>
      <c r="D385" s="371"/>
      <c r="E385" s="371"/>
      <c r="F385" s="371"/>
      <c r="G385" s="371"/>
      <c r="H385" s="371"/>
      <c r="I385" s="371"/>
      <c r="J385" s="371"/>
      <c r="K385" s="371"/>
      <c r="L385" s="371"/>
      <c r="M385" s="359"/>
      <c r="N385" s="371"/>
      <c r="O385" s="371"/>
      <c r="P385" s="224">
        <v>44099</v>
      </c>
      <c r="Q385" s="371"/>
    </row>
    <row r="386" spans="1:20" ht="15" customHeight="1" thickBot="1" x14ac:dyDescent="0.35">
      <c r="A386" s="372"/>
      <c r="B386" s="372"/>
      <c r="C386" s="39">
        <v>62265</v>
      </c>
      <c r="D386" s="372"/>
      <c r="E386" s="372"/>
      <c r="F386" s="372"/>
      <c r="G386" s="372"/>
      <c r="H386" s="372"/>
      <c r="I386" s="372"/>
      <c r="J386" s="372"/>
      <c r="K386" s="372"/>
      <c r="L386" s="372"/>
      <c r="M386" s="360"/>
      <c r="N386" s="372"/>
      <c r="O386" s="372"/>
      <c r="P386" s="327"/>
      <c r="Q386" s="372"/>
    </row>
    <row r="387" spans="1:20" ht="15" customHeight="1" x14ac:dyDescent="0.3">
      <c r="A387" s="370">
        <v>120</v>
      </c>
      <c r="B387" s="370" t="s">
        <v>148</v>
      </c>
      <c r="C387" s="37">
        <v>-10425</v>
      </c>
      <c r="D387" s="370">
        <v>1</v>
      </c>
      <c r="E387" s="370" t="s">
        <v>25</v>
      </c>
      <c r="F387" s="370">
        <v>400</v>
      </c>
      <c r="G387" s="370">
        <v>400</v>
      </c>
      <c r="H387" s="370" t="s">
        <v>44</v>
      </c>
      <c r="I387" s="370">
        <v>115</v>
      </c>
      <c r="J387" s="370" t="s">
        <v>45</v>
      </c>
      <c r="K387" s="370">
        <v>0</v>
      </c>
      <c r="L387" s="370">
        <v>34.9</v>
      </c>
      <c r="M387" s="358" t="s">
        <v>14</v>
      </c>
      <c r="N387" s="370" t="s">
        <v>150</v>
      </c>
      <c r="O387" s="370" t="s">
        <v>16</v>
      </c>
      <c r="P387" s="326"/>
      <c r="Q387" s="370" t="s">
        <v>120</v>
      </c>
      <c r="T387" s="200">
        <v>1</v>
      </c>
    </row>
    <row r="388" spans="1:20" ht="15" customHeight="1" x14ac:dyDescent="0.3">
      <c r="A388" s="371"/>
      <c r="B388" s="371"/>
      <c r="C388" s="38">
        <v>21634</v>
      </c>
      <c r="D388" s="371"/>
      <c r="E388" s="371"/>
      <c r="F388" s="371"/>
      <c r="G388" s="371"/>
      <c r="H388" s="371"/>
      <c r="I388" s="371"/>
      <c r="J388" s="371"/>
      <c r="K388" s="371"/>
      <c r="L388" s="371"/>
      <c r="M388" s="359"/>
      <c r="N388" s="371"/>
      <c r="O388" s="371"/>
      <c r="P388" s="224">
        <v>44099</v>
      </c>
      <c r="Q388" s="371"/>
    </row>
    <row r="389" spans="1:20" ht="15" customHeight="1" thickBot="1" x14ac:dyDescent="0.35">
      <c r="A389" s="372"/>
      <c r="B389" s="372"/>
      <c r="C389" s="39">
        <v>62280</v>
      </c>
      <c r="D389" s="372"/>
      <c r="E389" s="372"/>
      <c r="F389" s="372"/>
      <c r="G389" s="372"/>
      <c r="H389" s="372"/>
      <c r="I389" s="372"/>
      <c r="J389" s="372"/>
      <c r="K389" s="372"/>
      <c r="L389" s="372"/>
      <c r="M389" s="360"/>
      <c r="N389" s="372"/>
      <c r="O389" s="372"/>
      <c r="P389" s="327"/>
      <c r="Q389" s="372"/>
    </row>
    <row r="390" spans="1:20" ht="15" customHeight="1" x14ac:dyDescent="0.3">
      <c r="A390" s="370">
        <v>121</v>
      </c>
      <c r="B390" s="370" t="s">
        <v>148</v>
      </c>
      <c r="C390" s="37">
        <v>20078</v>
      </c>
      <c r="D390" s="370">
        <v>1</v>
      </c>
      <c r="E390" s="370" t="s">
        <v>25</v>
      </c>
      <c r="F390" s="370">
        <v>400</v>
      </c>
      <c r="G390" s="370">
        <v>400</v>
      </c>
      <c r="H390" s="370" t="s">
        <v>44</v>
      </c>
      <c r="I390" s="370">
        <v>115</v>
      </c>
      <c r="J390" s="370" t="s">
        <v>45</v>
      </c>
      <c r="K390" s="370">
        <v>0</v>
      </c>
      <c r="L390" s="370">
        <v>61.3</v>
      </c>
      <c r="M390" s="358" t="s">
        <v>14</v>
      </c>
      <c r="N390" s="367" t="s">
        <v>151</v>
      </c>
      <c r="O390" s="370" t="s">
        <v>16</v>
      </c>
      <c r="P390" s="223">
        <v>44069</v>
      </c>
      <c r="Q390" s="370" t="s">
        <v>120</v>
      </c>
      <c r="R390" s="186">
        <v>44069</v>
      </c>
      <c r="T390" s="200">
        <v>1</v>
      </c>
    </row>
    <row r="391" spans="1:20" ht="15" customHeight="1" x14ac:dyDescent="0.3">
      <c r="A391" s="371"/>
      <c r="B391" s="371"/>
      <c r="C391" s="38">
        <v>13175</v>
      </c>
      <c r="D391" s="371"/>
      <c r="E391" s="371"/>
      <c r="F391" s="371"/>
      <c r="G391" s="371"/>
      <c r="H391" s="371"/>
      <c r="I391" s="371"/>
      <c r="J391" s="371"/>
      <c r="K391" s="371"/>
      <c r="L391" s="371"/>
      <c r="M391" s="359"/>
      <c r="N391" s="368"/>
      <c r="O391" s="371"/>
      <c r="P391" s="191"/>
      <c r="Q391" s="371"/>
    </row>
    <row r="392" spans="1:20" ht="15" customHeight="1" thickBot="1" x14ac:dyDescent="0.35">
      <c r="A392" s="372"/>
      <c r="B392" s="372"/>
      <c r="C392" s="39">
        <v>62425</v>
      </c>
      <c r="D392" s="372"/>
      <c r="E392" s="372"/>
      <c r="F392" s="372"/>
      <c r="G392" s="372"/>
      <c r="H392" s="372"/>
      <c r="I392" s="372"/>
      <c r="J392" s="372"/>
      <c r="K392" s="372"/>
      <c r="L392" s="372"/>
      <c r="M392" s="360"/>
      <c r="N392" s="369"/>
      <c r="O392" s="372"/>
      <c r="P392" s="192"/>
      <c r="Q392" s="372"/>
    </row>
    <row r="393" spans="1:20" ht="15" customHeight="1" x14ac:dyDescent="0.3">
      <c r="A393" s="370">
        <v>122</v>
      </c>
      <c r="B393" s="370" t="s">
        <v>148</v>
      </c>
      <c r="C393" s="37">
        <v>21634</v>
      </c>
      <c r="D393" s="370">
        <v>1</v>
      </c>
      <c r="E393" s="370" t="s">
        <v>25</v>
      </c>
      <c r="F393" s="370">
        <v>400</v>
      </c>
      <c r="G393" s="370">
        <v>400</v>
      </c>
      <c r="H393" s="370" t="s">
        <v>44</v>
      </c>
      <c r="I393" s="370">
        <v>115</v>
      </c>
      <c r="J393" s="370" t="s">
        <v>45</v>
      </c>
      <c r="K393" s="370">
        <v>0</v>
      </c>
      <c r="L393" s="370">
        <v>57.6</v>
      </c>
      <c r="M393" s="358" t="s">
        <v>14</v>
      </c>
      <c r="N393" s="370" t="s">
        <v>152</v>
      </c>
      <c r="O393" s="370" t="s">
        <v>16</v>
      </c>
      <c r="P393" s="326"/>
      <c r="Q393" s="370" t="s">
        <v>120</v>
      </c>
      <c r="T393" s="200">
        <v>1</v>
      </c>
    </row>
    <row r="394" spans="1:20" ht="15" customHeight="1" x14ac:dyDescent="0.3">
      <c r="A394" s="371"/>
      <c r="B394" s="371"/>
      <c r="C394" s="38">
        <v>10425</v>
      </c>
      <c r="D394" s="371"/>
      <c r="E394" s="371"/>
      <c r="F394" s="371"/>
      <c r="G394" s="371"/>
      <c r="H394" s="371"/>
      <c r="I394" s="371"/>
      <c r="J394" s="371"/>
      <c r="K394" s="371"/>
      <c r="L394" s="371"/>
      <c r="M394" s="359"/>
      <c r="N394" s="371"/>
      <c r="O394" s="371"/>
      <c r="P394" s="224">
        <v>44102</v>
      </c>
      <c r="Q394" s="371"/>
    </row>
    <row r="395" spans="1:20" ht="15" customHeight="1" thickBot="1" x14ac:dyDescent="0.35">
      <c r="A395" s="372"/>
      <c r="B395" s="372"/>
      <c r="C395" s="39">
        <v>62440</v>
      </c>
      <c r="D395" s="372"/>
      <c r="E395" s="372"/>
      <c r="F395" s="372"/>
      <c r="G395" s="372"/>
      <c r="H395" s="372"/>
      <c r="I395" s="372"/>
      <c r="J395" s="372"/>
      <c r="K395" s="372"/>
      <c r="L395" s="372"/>
      <c r="M395" s="360"/>
      <c r="N395" s="372"/>
      <c r="O395" s="372"/>
      <c r="P395" s="327"/>
      <c r="Q395" s="372"/>
    </row>
    <row r="396" spans="1:20" ht="15" customHeight="1" x14ac:dyDescent="0.3">
      <c r="A396" s="370">
        <v>123</v>
      </c>
      <c r="B396" s="370" t="s">
        <v>153</v>
      </c>
      <c r="C396" s="37">
        <v>-20078</v>
      </c>
      <c r="D396" s="370">
        <v>1</v>
      </c>
      <c r="E396" s="370" t="s">
        <v>25</v>
      </c>
      <c r="F396" s="370">
        <v>400</v>
      </c>
      <c r="G396" s="370">
        <v>400</v>
      </c>
      <c r="H396" s="370" t="s">
        <v>44</v>
      </c>
      <c r="I396" s="370">
        <v>115</v>
      </c>
      <c r="J396" s="370" t="s">
        <v>45</v>
      </c>
      <c r="K396" s="370">
        <v>0</v>
      </c>
      <c r="L396" s="370">
        <v>62.6</v>
      </c>
      <c r="M396" s="358" t="s">
        <v>14</v>
      </c>
      <c r="N396" s="370" t="s">
        <v>154</v>
      </c>
      <c r="O396" s="370" t="s">
        <v>16</v>
      </c>
      <c r="P396" s="326"/>
      <c r="Q396" s="370" t="s">
        <v>120</v>
      </c>
      <c r="T396" s="200">
        <v>1</v>
      </c>
    </row>
    <row r="397" spans="1:20" ht="15" customHeight="1" x14ac:dyDescent="0.3">
      <c r="A397" s="371"/>
      <c r="B397" s="371"/>
      <c r="C397" s="38">
        <v>-13175</v>
      </c>
      <c r="D397" s="371"/>
      <c r="E397" s="371"/>
      <c r="F397" s="371"/>
      <c r="G397" s="371"/>
      <c r="H397" s="371"/>
      <c r="I397" s="371"/>
      <c r="J397" s="371"/>
      <c r="K397" s="371"/>
      <c r="L397" s="371"/>
      <c r="M397" s="359"/>
      <c r="N397" s="371"/>
      <c r="O397" s="371"/>
      <c r="P397" s="224">
        <v>44102</v>
      </c>
      <c r="Q397" s="371"/>
    </row>
    <row r="398" spans="1:20" ht="15" customHeight="1" thickBot="1" x14ac:dyDescent="0.35">
      <c r="A398" s="372"/>
      <c r="B398" s="372"/>
      <c r="C398" s="39">
        <v>62335</v>
      </c>
      <c r="D398" s="372"/>
      <c r="E398" s="372"/>
      <c r="F398" s="372"/>
      <c r="G398" s="372"/>
      <c r="H398" s="372"/>
      <c r="I398" s="372"/>
      <c r="J398" s="372"/>
      <c r="K398" s="372"/>
      <c r="L398" s="372"/>
      <c r="M398" s="360"/>
      <c r="N398" s="372"/>
      <c r="O398" s="372"/>
      <c r="P398" s="327"/>
      <c r="Q398" s="372"/>
    </row>
    <row r="399" spans="1:20" ht="15" customHeight="1" x14ac:dyDescent="0.3">
      <c r="A399" s="370">
        <v>124</v>
      </c>
      <c r="B399" s="370" t="s">
        <v>153</v>
      </c>
      <c r="C399" s="37">
        <v>-21634</v>
      </c>
      <c r="D399" s="370">
        <v>1</v>
      </c>
      <c r="E399" s="370" t="s">
        <v>25</v>
      </c>
      <c r="F399" s="370">
        <v>400</v>
      </c>
      <c r="G399" s="370">
        <v>400</v>
      </c>
      <c r="H399" s="370" t="s">
        <v>44</v>
      </c>
      <c r="I399" s="370">
        <v>115</v>
      </c>
      <c r="J399" s="370" t="s">
        <v>45</v>
      </c>
      <c r="K399" s="370">
        <v>0</v>
      </c>
      <c r="L399" s="370">
        <v>62.8</v>
      </c>
      <c r="M399" s="358" t="s">
        <v>14</v>
      </c>
      <c r="N399" s="370" t="s">
        <v>155</v>
      </c>
      <c r="O399" s="370" t="s">
        <v>16</v>
      </c>
      <c r="P399" s="326"/>
      <c r="Q399" s="370" t="s">
        <v>120</v>
      </c>
      <c r="T399" s="200">
        <v>1</v>
      </c>
    </row>
    <row r="400" spans="1:20" ht="15" customHeight="1" x14ac:dyDescent="0.3">
      <c r="A400" s="371"/>
      <c r="B400" s="371"/>
      <c r="C400" s="38">
        <v>-10425</v>
      </c>
      <c r="D400" s="371"/>
      <c r="E400" s="371"/>
      <c r="F400" s="371"/>
      <c r="G400" s="371"/>
      <c r="H400" s="371"/>
      <c r="I400" s="371"/>
      <c r="J400" s="371"/>
      <c r="K400" s="371"/>
      <c r="L400" s="371"/>
      <c r="M400" s="359"/>
      <c r="N400" s="371"/>
      <c r="O400" s="371"/>
      <c r="P400" s="224">
        <v>44102</v>
      </c>
      <c r="Q400" s="371"/>
    </row>
    <row r="401" spans="1:20" ht="15" customHeight="1" thickBot="1" x14ac:dyDescent="0.35">
      <c r="A401" s="372"/>
      <c r="B401" s="372"/>
      <c r="C401" s="39">
        <v>62320</v>
      </c>
      <c r="D401" s="372"/>
      <c r="E401" s="372"/>
      <c r="F401" s="372"/>
      <c r="G401" s="372"/>
      <c r="H401" s="372"/>
      <c r="I401" s="372"/>
      <c r="J401" s="372"/>
      <c r="K401" s="372"/>
      <c r="L401" s="372"/>
      <c r="M401" s="360"/>
      <c r="N401" s="372"/>
      <c r="O401" s="372"/>
      <c r="P401" s="327"/>
      <c r="Q401" s="372"/>
    </row>
    <row r="402" spans="1:20" ht="15" customHeight="1" thickBot="1" x14ac:dyDescent="0.35">
      <c r="A402" s="352" t="s">
        <v>156</v>
      </c>
      <c r="B402" s="353"/>
      <c r="C402" s="353"/>
      <c r="D402" s="353"/>
      <c r="E402" s="353"/>
      <c r="F402" s="353"/>
      <c r="G402" s="353"/>
      <c r="H402" s="353"/>
      <c r="I402" s="353"/>
      <c r="J402" s="353"/>
      <c r="K402" s="353"/>
      <c r="L402" s="353"/>
      <c r="M402" s="353"/>
      <c r="N402" s="353"/>
      <c r="O402" s="353"/>
      <c r="P402" s="353"/>
      <c r="Q402" s="354"/>
    </row>
    <row r="403" spans="1:20" ht="15" customHeight="1" x14ac:dyDescent="0.3">
      <c r="A403" s="376">
        <v>125</v>
      </c>
      <c r="B403" s="376" t="s">
        <v>43</v>
      </c>
      <c r="C403" s="58">
        <v>-23095</v>
      </c>
      <c r="D403" s="376">
        <v>1</v>
      </c>
      <c r="E403" s="376" t="s">
        <v>25</v>
      </c>
      <c r="F403" s="376">
        <v>600</v>
      </c>
      <c r="G403" s="376">
        <v>600</v>
      </c>
      <c r="H403" s="376" t="s">
        <v>44</v>
      </c>
      <c r="I403" s="376">
        <v>90</v>
      </c>
      <c r="J403" s="376" t="s">
        <v>45</v>
      </c>
      <c r="K403" s="376">
        <v>0</v>
      </c>
      <c r="L403" s="376">
        <v>75</v>
      </c>
      <c r="M403" s="379" t="s">
        <v>14</v>
      </c>
      <c r="N403" s="376" t="s">
        <v>157</v>
      </c>
      <c r="O403" s="376" t="s">
        <v>111</v>
      </c>
      <c r="P403" s="339"/>
      <c r="Q403" s="376" t="s">
        <v>46</v>
      </c>
      <c r="T403" s="288">
        <v>1</v>
      </c>
    </row>
    <row r="404" spans="1:20" ht="15" customHeight="1" x14ac:dyDescent="0.3">
      <c r="A404" s="377"/>
      <c r="B404" s="377"/>
      <c r="C404" s="59">
        <v>-2224</v>
      </c>
      <c r="D404" s="377"/>
      <c r="E404" s="391"/>
      <c r="F404" s="377"/>
      <c r="G404" s="377"/>
      <c r="H404" s="377"/>
      <c r="I404" s="377"/>
      <c r="J404" s="377"/>
      <c r="K404" s="377"/>
      <c r="L404" s="377"/>
      <c r="M404" s="380"/>
      <c r="N404" s="377"/>
      <c r="O404" s="377"/>
      <c r="P404" s="332">
        <v>44111</v>
      </c>
      <c r="Q404" s="377"/>
    </row>
    <row r="405" spans="1:20" ht="15" customHeight="1" thickBot="1" x14ac:dyDescent="0.35">
      <c r="A405" s="378"/>
      <c r="B405" s="378"/>
      <c r="C405" s="57">
        <v>55419</v>
      </c>
      <c r="D405" s="378"/>
      <c r="E405" s="392"/>
      <c r="F405" s="378"/>
      <c r="G405" s="378"/>
      <c r="H405" s="378"/>
      <c r="I405" s="378"/>
      <c r="J405" s="378"/>
      <c r="K405" s="378"/>
      <c r="L405" s="378"/>
      <c r="M405" s="381"/>
      <c r="N405" s="378"/>
      <c r="O405" s="378"/>
      <c r="P405" s="340"/>
      <c r="Q405" s="378"/>
    </row>
    <row r="406" spans="1:20" ht="15" customHeight="1" thickBot="1" x14ac:dyDescent="0.35">
      <c r="A406" s="352" t="s">
        <v>171</v>
      </c>
      <c r="B406" s="353"/>
      <c r="C406" s="353"/>
      <c r="D406" s="353"/>
      <c r="E406" s="353"/>
      <c r="F406" s="353"/>
      <c r="G406" s="353"/>
      <c r="H406" s="353"/>
      <c r="I406" s="353"/>
      <c r="J406" s="353"/>
      <c r="K406" s="353"/>
      <c r="L406" s="353"/>
      <c r="M406" s="353"/>
      <c r="N406" s="353"/>
      <c r="O406" s="353"/>
      <c r="P406" s="353"/>
      <c r="Q406" s="354"/>
    </row>
    <row r="407" spans="1:20" ht="15" customHeight="1" thickBot="1" x14ac:dyDescent="0.35">
      <c r="A407" s="352" t="s">
        <v>9</v>
      </c>
      <c r="B407" s="353"/>
      <c r="C407" s="353"/>
      <c r="D407" s="353"/>
      <c r="E407" s="353"/>
      <c r="F407" s="353"/>
      <c r="G407" s="353"/>
      <c r="H407" s="353"/>
      <c r="I407" s="353"/>
      <c r="J407" s="353"/>
      <c r="K407" s="353"/>
      <c r="L407" s="353"/>
      <c r="M407" s="353"/>
      <c r="N407" s="353"/>
      <c r="O407" s="353"/>
      <c r="P407" s="353"/>
      <c r="Q407" s="354"/>
    </row>
    <row r="408" spans="1:20" ht="15" customHeight="1" thickBot="1" x14ac:dyDescent="0.35">
      <c r="A408" s="382" t="s">
        <v>158</v>
      </c>
      <c r="B408" s="383"/>
      <c r="C408" s="383"/>
      <c r="D408" s="383"/>
      <c r="E408" s="383"/>
      <c r="F408" s="383"/>
      <c r="G408" s="383"/>
      <c r="H408" s="383"/>
      <c r="I408" s="383"/>
      <c r="J408" s="383"/>
      <c r="K408" s="383"/>
      <c r="L408" s="383"/>
      <c r="M408" s="383"/>
      <c r="N408" s="383"/>
      <c r="O408" s="383"/>
      <c r="P408" s="383"/>
      <c r="Q408" s="384"/>
    </row>
    <row r="409" spans="1:20" ht="15" customHeight="1" thickBot="1" x14ac:dyDescent="0.35">
      <c r="A409" s="352" t="s">
        <v>159</v>
      </c>
      <c r="B409" s="353"/>
      <c r="C409" s="353"/>
      <c r="D409" s="353"/>
      <c r="E409" s="353"/>
      <c r="F409" s="353"/>
      <c r="G409" s="353"/>
      <c r="H409" s="353"/>
      <c r="I409" s="353"/>
      <c r="J409" s="353"/>
      <c r="K409" s="353"/>
      <c r="L409" s="353"/>
      <c r="M409" s="353"/>
      <c r="N409" s="353"/>
      <c r="O409" s="353"/>
      <c r="P409" s="353"/>
      <c r="Q409" s="354"/>
    </row>
    <row r="410" spans="1:20" ht="15" customHeight="1" x14ac:dyDescent="0.3">
      <c r="A410" s="367">
        <v>1</v>
      </c>
      <c r="B410" s="367" t="s">
        <v>160</v>
      </c>
      <c r="C410" s="40">
        <v>-10595</v>
      </c>
      <c r="D410" s="367">
        <v>1</v>
      </c>
      <c r="E410" s="367" t="s">
        <v>161</v>
      </c>
      <c r="F410" s="367">
        <v>600</v>
      </c>
      <c r="G410" s="367">
        <v>200</v>
      </c>
      <c r="H410" s="367" t="s">
        <v>19</v>
      </c>
      <c r="I410" s="367">
        <v>100</v>
      </c>
      <c r="J410" s="370" t="s">
        <v>45</v>
      </c>
      <c r="K410" s="367">
        <v>30</v>
      </c>
      <c r="L410" s="367">
        <v>56.5</v>
      </c>
      <c r="M410" s="358" t="s">
        <v>14</v>
      </c>
      <c r="N410" s="367" t="s">
        <v>162</v>
      </c>
      <c r="O410" s="367" t="s">
        <v>27</v>
      </c>
      <c r="P410" s="261"/>
      <c r="Q410" s="367" t="s">
        <v>163</v>
      </c>
      <c r="T410" s="200">
        <v>1</v>
      </c>
    </row>
    <row r="411" spans="1:20" ht="15" customHeight="1" x14ac:dyDescent="0.3">
      <c r="A411" s="368"/>
      <c r="B411" s="368"/>
      <c r="C411" s="41">
        <v>-22484</v>
      </c>
      <c r="D411" s="368"/>
      <c r="E411" s="368"/>
      <c r="F411" s="368"/>
      <c r="G411" s="368"/>
      <c r="H411" s="368"/>
      <c r="I411" s="368"/>
      <c r="J411" s="371"/>
      <c r="K411" s="368"/>
      <c r="L411" s="368"/>
      <c r="M411" s="359"/>
      <c r="N411" s="368"/>
      <c r="O411" s="368"/>
      <c r="P411" s="226">
        <v>44090</v>
      </c>
      <c r="Q411" s="368"/>
    </row>
    <row r="412" spans="1:20" ht="15" customHeight="1" thickBot="1" x14ac:dyDescent="0.35">
      <c r="A412" s="369"/>
      <c r="B412" s="369"/>
      <c r="C412" s="42">
        <v>2602</v>
      </c>
      <c r="D412" s="369"/>
      <c r="E412" s="369"/>
      <c r="F412" s="369"/>
      <c r="G412" s="369"/>
      <c r="H412" s="369"/>
      <c r="I412" s="369"/>
      <c r="J412" s="372"/>
      <c r="K412" s="369"/>
      <c r="L412" s="369"/>
      <c r="M412" s="360"/>
      <c r="N412" s="369"/>
      <c r="O412" s="369"/>
      <c r="P412" s="262"/>
      <c r="Q412" s="369"/>
    </row>
    <row r="413" spans="1:20" ht="15" customHeight="1" x14ac:dyDescent="0.3">
      <c r="A413" s="367">
        <v>2</v>
      </c>
      <c r="B413" s="367" t="s">
        <v>160</v>
      </c>
      <c r="C413" s="40">
        <v>17905</v>
      </c>
      <c r="D413" s="367">
        <v>1</v>
      </c>
      <c r="E413" s="367" t="s">
        <v>161</v>
      </c>
      <c r="F413" s="367">
        <v>600</v>
      </c>
      <c r="G413" s="367">
        <v>200</v>
      </c>
      <c r="H413" s="367" t="s">
        <v>19</v>
      </c>
      <c r="I413" s="367">
        <v>100</v>
      </c>
      <c r="J413" s="370" t="s">
        <v>45</v>
      </c>
      <c r="K413" s="367">
        <v>30</v>
      </c>
      <c r="L413" s="367">
        <v>56.5</v>
      </c>
      <c r="M413" s="358" t="s">
        <v>14</v>
      </c>
      <c r="N413" s="367" t="s">
        <v>164</v>
      </c>
      <c r="O413" s="367" t="s">
        <v>27</v>
      </c>
      <c r="P413" s="261"/>
      <c r="Q413" s="367" t="s">
        <v>163</v>
      </c>
      <c r="T413" s="200">
        <v>1</v>
      </c>
    </row>
    <row r="414" spans="1:20" ht="15" customHeight="1" x14ac:dyDescent="0.3">
      <c r="A414" s="368"/>
      <c r="B414" s="368"/>
      <c r="C414" s="41">
        <v>-17150</v>
      </c>
      <c r="D414" s="368"/>
      <c r="E414" s="368"/>
      <c r="F414" s="368"/>
      <c r="G414" s="368"/>
      <c r="H414" s="368"/>
      <c r="I414" s="368"/>
      <c r="J414" s="371"/>
      <c r="K414" s="368"/>
      <c r="L414" s="368"/>
      <c r="M414" s="359"/>
      <c r="N414" s="368"/>
      <c r="O414" s="368"/>
      <c r="P414" s="226">
        <v>44090</v>
      </c>
      <c r="Q414" s="368"/>
    </row>
    <row r="415" spans="1:20" ht="15" customHeight="1" thickBot="1" x14ac:dyDescent="0.35">
      <c r="A415" s="369"/>
      <c r="B415" s="369"/>
      <c r="C415" s="42">
        <v>2602</v>
      </c>
      <c r="D415" s="369"/>
      <c r="E415" s="369"/>
      <c r="F415" s="369"/>
      <c r="G415" s="369"/>
      <c r="H415" s="369"/>
      <c r="I415" s="369"/>
      <c r="J415" s="372"/>
      <c r="K415" s="369"/>
      <c r="L415" s="369"/>
      <c r="M415" s="360"/>
      <c r="N415" s="369"/>
      <c r="O415" s="369"/>
      <c r="P415" s="262"/>
      <c r="Q415" s="369"/>
    </row>
    <row r="416" spans="1:20" ht="15" customHeight="1" x14ac:dyDescent="0.3">
      <c r="A416" s="367">
        <v>3</v>
      </c>
      <c r="B416" s="367" t="s">
        <v>160</v>
      </c>
      <c r="C416" s="40">
        <v>9560</v>
      </c>
      <c r="D416" s="367">
        <v>1</v>
      </c>
      <c r="E416" s="367" t="s">
        <v>161</v>
      </c>
      <c r="F416" s="367">
        <v>600</v>
      </c>
      <c r="G416" s="367">
        <v>200</v>
      </c>
      <c r="H416" s="367" t="s">
        <v>19</v>
      </c>
      <c r="I416" s="367">
        <v>100</v>
      </c>
      <c r="J416" s="370" t="s">
        <v>45</v>
      </c>
      <c r="K416" s="367">
        <v>30</v>
      </c>
      <c r="L416" s="367">
        <v>56.5</v>
      </c>
      <c r="M416" s="358" t="s">
        <v>14</v>
      </c>
      <c r="N416" s="367" t="s">
        <v>165</v>
      </c>
      <c r="O416" s="367" t="s">
        <v>27</v>
      </c>
      <c r="P416" s="261"/>
      <c r="Q416" s="367" t="s">
        <v>163</v>
      </c>
      <c r="T416" s="200">
        <v>1</v>
      </c>
    </row>
    <row r="417" spans="1:20" ht="15" customHeight="1" x14ac:dyDescent="0.3">
      <c r="A417" s="368"/>
      <c r="B417" s="368"/>
      <c r="C417" s="41">
        <v>22970</v>
      </c>
      <c r="D417" s="368"/>
      <c r="E417" s="368"/>
      <c r="F417" s="368"/>
      <c r="G417" s="368"/>
      <c r="H417" s="368"/>
      <c r="I417" s="368"/>
      <c r="J417" s="371"/>
      <c r="K417" s="368"/>
      <c r="L417" s="368"/>
      <c r="M417" s="359"/>
      <c r="N417" s="368"/>
      <c r="O417" s="368"/>
      <c r="P417" s="226">
        <v>44090</v>
      </c>
      <c r="Q417" s="368"/>
    </row>
    <row r="418" spans="1:20" ht="15" customHeight="1" thickBot="1" x14ac:dyDescent="0.35">
      <c r="A418" s="369"/>
      <c r="B418" s="369"/>
      <c r="C418" s="42">
        <v>2602</v>
      </c>
      <c r="D418" s="369"/>
      <c r="E418" s="369"/>
      <c r="F418" s="369"/>
      <c r="G418" s="369"/>
      <c r="H418" s="369"/>
      <c r="I418" s="369"/>
      <c r="J418" s="372"/>
      <c r="K418" s="369"/>
      <c r="L418" s="369"/>
      <c r="M418" s="360"/>
      <c r="N418" s="369"/>
      <c r="O418" s="369"/>
      <c r="P418" s="262"/>
      <c r="Q418" s="369"/>
    </row>
    <row r="419" spans="1:20" ht="15" customHeight="1" x14ac:dyDescent="0.3">
      <c r="A419" s="367">
        <v>4</v>
      </c>
      <c r="B419" s="367" t="s">
        <v>160</v>
      </c>
      <c r="C419" s="40">
        <v>-9720</v>
      </c>
      <c r="D419" s="367">
        <v>1</v>
      </c>
      <c r="E419" s="367" t="s">
        <v>161</v>
      </c>
      <c r="F419" s="367">
        <v>600</v>
      </c>
      <c r="G419" s="367">
        <v>200</v>
      </c>
      <c r="H419" s="367" t="s">
        <v>19</v>
      </c>
      <c r="I419" s="367">
        <v>100</v>
      </c>
      <c r="J419" s="370" t="s">
        <v>45</v>
      </c>
      <c r="K419" s="367">
        <v>30</v>
      </c>
      <c r="L419" s="367">
        <v>56.5</v>
      </c>
      <c r="M419" s="358" t="s">
        <v>14</v>
      </c>
      <c r="N419" s="367" t="s">
        <v>166</v>
      </c>
      <c r="O419" s="367" t="s">
        <v>27</v>
      </c>
      <c r="P419" s="261"/>
      <c r="Q419" s="367" t="s">
        <v>163</v>
      </c>
      <c r="T419" s="200">
        <v>1</v>
      </c>
    </row>
    <row r="420" spans="1:20" ht="15" customHeight="1" x14ac:dyDescent="0.3">
      <c r="A420" s="368"/>
      <c r="B420" s="368"/>
      <c r="C420" s="41">
        <v>22895</v>
      </c>
      <c r="D420" s="368"/>
      <c r="E420" s="368"/>
      <c r="F420" s="368"/>
      <c r="G420" s="368"/>
      <c r="H420" s="368"/>
      <c r="I420" s="368"/>
      <c r="J420" s="371"/>
      <c r="K420" s="368"/>
      <c r="L420" s="368"/>
      <c r="M420" s="359"/>
      <c r="N420" s="368"/>
      <c r="O420" s="368"/>
      <c r="P420" s="226">
        <v>44090</v>
      </c>
      <c r="Q420" s="368"/>
    </row>
    <row r="421" spans="1:20" ht="15" customHeight="1" thickBot="1" x14ac:dyDescent="0.35">
      <c r="A421" s="369"/>
      <c r="B421" s="369"/>
      <c r="C421" s="42">
        <v>2602</v>
      </c>
      <c r="D421" s="369"/>
      <c r="E421" s="369"/>
      <c r="F421" s="369"/>
      <c r="G421" s="369"/>
      <c r="H421" s="369"/>
      <c r="I421" s="369"/>
      <c r="J421" s="372"/>
      <c r="K421" s="369"/>
      <c r="L421" s="369"/>
      <c r="M421" s="360"/>
      <c r="N421" s="369"/>
      <c r="O421" s="369"/>
      <c r="P421" s="262"/>
      <c r="Q421" s="369"/>
    </row>
    <row r="422" spans="1:20" ht="15" customHeight="1" x14ac:dyDescent="0.3">
      <c r="A422" s="367">
        <v>5</v>
      </c>
      <c r="B422" s="367" t="s">
        <v>167</v>
      </c>
      <c r="C422" s="40">
        <v>16494</v>
      </c>
      <c r="D422" s="367">
        <v>1</v>
      </c>
      <c r="E422" s="367" t="s">
        <v>168</v>
      </c>
      <c r="F422" s="367">
        <v>350</v>
      </c>
      <c r="G422" s="370">
        <v>200</v>
      </c>
      <c r="H422" s="367" t="s">
        <v>50</v>
      </c>
      <c r="I422" s="367">
        <v>120</v>
      </c>
      <c r="J422" s="370" t="s">
        <v>45</v>
      </c>
      <c r="K422" s="367">
        <v>30</v>
      </c>
      <c r="L422" s="367">
        <v>12</v>
      </c>
      <c r="M422" s="358" t="s">
        <v>14</v>
      </c>
      <c r="N422" s="367" t="s">
        <v>164</v>
      </c>
      <c r="O422" s="367" t="s">
        <v>27</v>
      </c>
      <c r="P422" s="261"/>
      <c r="Q422" s="370" t="s">
        <v>169</v>
      </c>
      <c r="T422" s="200">
        <v>1</v>
      </c>
    </row>
    <row r="423" spans="1:20" ht="15" customHeight="1" x14ac:dyDescent="0.3">
      <c r="A423" s="368"/>
      <c r="B423" s="368"/>
      <c r="C423" s="41">
        <v>-18319</v>
      </c>
      <c r="D423" s="368"/>
      <c r="E423" s="368"/>
      <c r="F423" s="368"/>
      <c r="G423" s="371"/>
      <c r="H423" s="368"/>
      <c r="I423" s="368"/>
      <c r="J423" s="371"/>
      <c r="K423" s="368"/>
      <c r="L423" s="368"/>
      <c r="M423" s="359"/>
      <c r="N423" s="368"/>
      <c r="O423" s="368"/>
      <c r="P423" s="226">
        <v>44090</v>
      </c>
      <c r="Q423" s="371"/>
    </row>
    <row r="424" spans="1:20" ht="15" customHeight="1" thickBot="1" x14ac:dyDescent="0.35">
      <c r="A424" s="369"/>
      <c r="B424" s="369"/>
      <c r="C424" s="42">
        <v>2475</v>
      </c>
      <c r="D424" s="369"/>
      <c r="E424" s="369"/>
      <c r="F424" s="369"/>
      <c r="G424" s="372"/>
      <c r="H424" s="369"/>
      <c r="I424" s="369"/>
      <c r="J424" s="372"/>
      <c r="K424" s="369"/>
      <c r="L424" s="369"/>
      <c r="M424" s="360"/>
      <c r="N424" s="369"/>
      <c r="O424" s="369"/>
      <c r="P424" s="262"/>
      <c r="Q424" s="372"/>
    </row>
    <row r="425" spans="1:20" ht="15" customHeight="1" x14ac:dyDescent="0.3">
      <c r="A425" s="367">
        <v>6</v>
      </c>
      <c r="B425" s="367" t="s">
        <v>167</v>
      </c>
      <c r="C425" s="40">
        <v>-14835</v>
      </c>
      <c r="D425" s="367">
        <v>1</v>
      </c>
      <c r="E425" s="367" t="s">
        <v>168</v>
      </c>
      <c r="F425" s="367">
        <v>350</v>
      </c>
      <c r="G425" s="370">
        <v>200</v>
      </c>
      <c r="H425" s="367" t="s">
        <v>50</v>
      </c>
      <c r="I425" s="367">
        <v>120</v>
      </c>
      <c r="J425" s="370" t="s">
        <v>45</v>
      </c>
      <c r="K425" s="367">
        <v>30</v>
      </c>
      <c r="L425" s="367">
        <v>12</v>
      </c>
      <c r="M425" s="358" t="s">
        <v>14</v>
      </c>
      <c r="N425" s="367" t="s">
        <v>170</v>
      </c>
      <c r="O425" s="367" t="s">
        <v>27</v>
      </c>
      <c r="P425" s="261"/>
      <c r="Q425" s="370" t="s">
        <v>169</v>
      </c>
      <c r="T425" s="200">
        <v>1</v>
      </c>
    </row>
    <row r="426" spans="1:20" ht="15" customHeight="1" x14ac:dyDescent="0.3">
      <c r="A426" s="368"/>
      <c r="B426" s="368"/>
      <c r="C426" s="41">
        <v>-19686</v>
      </c>
      <c r="D426" s="368"/>
      <c r="E426" s="368"/>
      <c r="F426" s="368"/>
      <c r="G426" s="371"/>
      <c r="H426" s="368"/>
      <c r="I426" s="368"/>
      <c r="J426" s="371"/>
      <c r="K426" s="368"/>
      <c r="L426" s="368"/>
      <c r="M426" s="359"/>
      <c r="N426" s="368"/>
      <c r="O426" s="368"/>
      <c r="P426" s="226">
        <v>44090</v>
      </c>
      <c r="Q426" s="371"/>
    </row>
    <row r="427" spans="1:20" ht="15" customHeight="1" thickBot="1" x14ac:dyDescent="0.35">
      <c r="A427" s="369"/>
      <c r="B427" s="369"/>
      <c r="C427" s="42">
        <v>2475</v>
      </c>
      <c r="D427" s="369"/>
      <c r="E427" s="369"/>
      <c r="F427" s="369"/>
      <c r="G427" s="372"/>
      <c r="H427" s="369"/>
      <c r="I427" s="369"/>
      <c r="J427" s="372"/>
      <c r="K427" s="369"/>
      <c r="L427" s="369"/>
      <c r="M427" s="360"/>
      <c r="N427" s="369"/>
      <c r="O427" s="369"/>
      <c r="P427" s="262"/>
      <c r="Q427" s="372"/>
    </row>
    <row r="428" spans="1:20" ht="15" customHeight="1" x14ac:dyDescent="0.3">
      <c r="A428" s="367">
        <v>7</v>
      </c>
      <c r="B428" s="367" t="s">
        <v>167</v>
      </c>
      <c r="C428" s="37">
        <v>-16811</v>
      </c>
      <c r="D428" s="367">
        <v>1</v>
      </c>
      <c r="E428" s="370" t="s">
        <v>168</v>
      </c>
      <c r="F428" s="370">
        <v>350</v>
      </c>
      <c r="G428" s="370">
        <v>200</v>
      </c>
      <c r="H428" s="367" t="s">
        <v>50</v>
      </c>
      <c r="I428" s="370">
        <v>120</v>
      </c>
      <c r="J428" s="370" t="s">
        <v>45</v>
      </c>
      <c r="K428" s="370">
        <v>30</v>
      </c>
      <c r="L428" s="367">
        <v>12</v>
      </c>
      <c r="M428" s="358" t="s">
        <v>14</v>
      </c>
      <c r="N428" s="367" t="s">
        <v>166</v>
      </c>
      <c r="O428" s="367" t="s">
        <v>27</v>
      </c>
      <c r="P428" s="261"/>
      <c r="Q428" s="370" t="s">
        <v>169</v>
      </c>
      <c r="T428" s="200">
        <v>1</v>
      </c>
    </row>
    <row r="429" spans="1:20" ht="15" customHeight="1" x14ac:dyDescent="0.3">
      <c r="A429" s="368"/>
      <c r="B429" s="368"/>
      <c r="C429" s="38">
        <v>18028</v>
      </c>
      <c r="D429" s="368"/>
      <c r="E429" s="371"/>
      <c r="F429" s="371"/>
      <c r="G429" s="371"/>
      <c r="H429" s="368"/>
      <c r="I429" s="371"/>
      <c r="J429" s="371"/>
      <c r="K429" s="371"/>
      <c r="L429" s="368"/>
      <c r="M429" s="359"/>
      <c r="N429" s="368"/>
      <c r="O429" s="368"/>
      <c r="P429" s="226">
        <v>44090</v>
      </c>
      <c r="Q429" s="371"/>
    </row>
    <row r="430" spans="1:20" ht="15" customHeight="1" thickBot="1" x14ac:dyDescent="0.35">
      <c r="A430" s="369"/>
      <c r="B430" s="369"/>
      <c r="C430" s="39">
        <v>2475</v>
      </c>
      <c r="D430" s="369"/>
      <c r="E430" s="372"/>
      <c r="F430" s="372"/>
      <c r="G430" s="372"/>
      <c r="H430" s="369"/>
      <c r="I430" s="372"/>
      <c r="J430" s="372"/>
      <c r="K430" s="372"/>
      <c r="L430" s="369"/>
      <c r="M430" s="360"/>
      <c r="N430" s="369"/>
      <c r="O430" s="369"/>
      <c r="P430" s="262"/>
      <c r="Q430" s="372"/>
    </row>
    <row r="431" spans="1:20" ht="15" customHeight="1" x14ac:dyDescent="0.3">
      <c r="A431" s="367">
        <v>8</v>
      </c>
      <c r="B431" s="367" t="s">
        <v>167</v>
      </c>
      <c r="C431" s="40">
        <v>16811</v>
      </c>
      <c r="D431" s="367">
        <v>1</v>
      </c>
      <c r="E431" s="367" t="s">
        <v>168</v>
      </c>
      <c r="F431" s="367">
        <v>350</v>
      </c>
      <c r="G431" s="370">
        <v>200</v>
      </c>
      <c r="H431" s="367" t="s">
        <v>50</v>
      </c>
      <c r="I431" s="367">
        <v>120</v>
      </c>
      <c r="J431" s="370" t="s">
        <v>45</v>
      </c>
      <c r="K431" s="367">
        <v>30</v>
      </c>
      <c r="L431" s="367">
        <v>12</v>
      </c>
      <c r="M431" s="358" t="s">
        <v>14</v>
      </c>
      <c r="N431" s="367" t="s">
        <v>165</v>
      </c>
      <c r="O431" s="367" t="s">
        <v>27</v>
      </c>
      <c r="P431" s="261"/>
      <c r="Q431" s="370" t="s">
        <v>169</v>
      </c>
      <c r="T431" s="200">
        <v>1</v>
      </c>
    </row>
    <row r="432" spans="1:20" ht="15" customHeight="1" x14ac:dyDescent="0.3">
      <c r="A432" s="368"/>
      <c r="B432" s="368"/>
      <c r="C432" s="41">
        <v>18028</v>
      </c>
      <c r="D432" s="368"/>
      <c r="E432" s="368"/>
      <c r="F432" s="368"/>
      <c r="G432" s="371"/>
      <c r="H432" s="368"/>
      <c r="I432" s="368"/>
      <c r="J432" s="371"/>
      <c r="K432" s="368"/>
      <c r="L432" s="368"/>
      <c r="M432" s="359"/>
      <c r="N432" s="368"/>
      <c r="O432" s="368"/>
      <c r="P432" s="226">
        <v>44090</v>
      </c>
      <c r="Q432" s="371"/>
    </row>
    <row r="433" spans="1:20" ht="15" customHeight="1" thickBot="1" x14ac:dyDescent="0.35">
      <c r="A433" s="369"/>
      <c r="B433" s="369"/>
      <c r="C433" s="42">
        <v>2475</v>
      </c>
      <c r="D433" s="369"/>
      <c r="E433" s="369"/>
      <c r="F433" s="369"/>
      <c r="G433" s="372"/>
      <c r="H433" s="369"/>
      <c r="I433" s="369"/>
      <c r="J433" s="372"/>
      <c r="K433" s="369"/>
      <c r="L433" s="369"/>
      <c r="M433" s="360"/>
      <c r="N433" s="369"/>
      <c r="O433" s="369"/>
      <c r="P433" s="262"/>
      <c r="Q433" s="372"/>
    </row>
    <row r="434" spans="1:20" ht="15" customHeight="1" thickBot="1" x14ac:dyDescent="0.35">
      <c r="A434" s="352" t="s">
        <v>29</v>
      </c>
      <c r="B434" s="353"/>
      <c r="C434" s="353"/>
      <c r="D434" s="353"/>
      <c r="E434" s="353"/>
      <c r="F434" s="353"/>
      <c r="G434" s="353"/>
      <c r="H434" s="353"/>
      <c r="I434" s="353"/>
      <c r="J434" s="353"/>
      <c r="K434" s="353"/>
      <c r="L434" s="353"/>
      <c r="M434" s="353"/>
      <c r="N434" s="353"/>
      <c r="O434" s="353"/>
      <c r="P434" s="353"/>
      <c r="Q434" s="354"/>
    </row>
    <row r="435" spans="1:20" ht="15" customHeight="1" x14ac:dyDescent="0.3">
      <c r="A435" s="367">
        <v>9</v>
      </c>
      <c r="B435" s="367" t="s">
        <v>160</v>
      </c>
      <c r="C435" s="37">
        <v>-9720</v>
      </c>
      <c r="D435" s="370">
        <v>1</v>
      </c>
      <c r="E435" s="370" t="s">
        <v>161</v>
      </c>
      <c r="F435" s="370">
        <v>330</v>
      </c>
      <c r="G435" s="370">
        <v>200</v>
      </c>
      <c r="H435" s="370" t="s">
        <v>19</v>
      </c>
      <c r="I435" s="370">
        <v>100</v>
      </c>
      <c r="J435" s="370" t="s">
        <v>45</v>
      </c>
      <c r="K435" s="370">
        <v>30</v>
      </c>
      <c r="L435" s="367">
        <v>56.5</v>
      </c>
      <c r="M435" s="358" t="s">
        <v>14</v>
      </c>
      <c r="N435" s="367" t="s">
        <v>172</v>
      </c>
      <c r="O435" s="367" t="s">
        <v>27</v>
      </c>
      <c r="P435" s="261"/>
      <c r="Q435" s="367" t="s">
        <v>163</v>
      </c>
      <c r="T435" s="200">
        <v>1</v>
      </c>
    </row>
    <row r="436" spans="1:20" ht="15" customHeight="1" x14ac:dyDescent="0.3">
      <c r="A436" s="368"/>
      <c r="B436" s="368"/>
      <c r="C436" s="38">
        <v>22895</v>
      </c>
      <c r="D436" s="371"/>
      <c r="E436" s="371"/>
      <c r="F436" s="371"/>
      <c r="G436" s="371"/>
      <c r="H436" s="371"/>
      <c r="I436" s="371"/>
      <c r="J436" s="371"/>
      <c r="K436" s="371"/>
      <c r="L436" s="368"/>
      <c r="M436" s="359"/>
      <c r="N436" s="368"/>
      <c r="O436" s="368"/>
      <c r="P436" s="226">
        <v>44090</v>
      </c>
      <c r="Q436" s="368"/>
    </row>
    <row r="437" spans="1:20" ht="15" customHeight="1" thickBot="1" x14ac:dyDescent="0.35">
      <c r="A437" s="369"/>
      <c r="B437" s="369"/>
      <c r="C437" s="39">
        <v>7967</v>
      </c>
      <c r="D437" s="372"/>
      <c r="E437" s="372"/>
      <c r="F437" s="372"/>
      <c r="G437" s="372"/>
      <c r="H437" s="372"/>
      <c r="I437" s="372"/>
      <c r="J437" s="372"/>
      <c r="K437" s="372"/>
      <c r="L437" s="369"/>
      <c r="M437" s="360"/>
      <c r="N437" s="369"/>
      <c r="O437" s="369"/>
      <c r="P437" s="262"/>
      <c r="Q437" s="369"/>
    </row>
    <row r="438" spans="1:20" ht="15" customHeight="1" x14ac:dyDescent="0.3">
      <c r="A438" s="367">
        <v>10</v>
      </c>
      <c r="B438" s="367" t="s">
        <v>160</v>
      </c>
      <c r="C438" s="40">
        <v>9560</v>
      </c>
      <c r="D438" s="367">
        <v>1</v>
      </c>
      <c r="E438" s="367" t="s">
        <v>161</v>
      </c>
      <c r="F438" s="367">
        <v>400</v>
      </c>
      <c r="G438" s="370">
        <v>200</v>
      </c>
      <c r="H438" s="367" t="s">
        <v>19</v>
      </c>
      <c r="I438" s="367">
        <v>100</v>
      </c>
      <c r="J438" s="370" t="s">
        <v>45</v>
      </c>
      <c r="K438" s="367">
        <v>30</v>
      </c>
      <c r="L438" s="367">
        <v>56.5</v>
      </c>
      <c r="M438" s="358" t="s">
        <v>14</v>
      </c>
      <c r="N438" s="367" t="s">
        <v>42</v>
      </c>
      <c r="O438" s="367" t="s">
        <v>27</v>
      </c>
      <c r="P438" s="261"/>
      <c r="Q438" s="367" t="s">
        <v>163</v>
      </c>
      <c r="T438" s="200">
        <v>1</v>
      </c>
    </row>
    <row r="439" spans="1:20" ht="15" customHeight="1" x14ac:dyDescent="0.3">
      <c r="A439" s="368"/>
      <c r="B439" s="368"/>
      <c r="C439" s="41">
        <v>22970</v>
      </c>
      <c r="D439" s="368"/>
      <c r="E439" s="368"/>
      <c r="F439" s="368"/>
      <c r="G439" s="371"/>
      <c r="H439" s="368"/>
      <c r="I439" s="368"/>
      <c r="J439" s="371"/>
      <c r="K439" s="368"/>
      <c r="L439" s="368"/>
      <c r="M439" s="359"/>
      <c r="N439" s="368"/>
      <c r="O439" s="368"/>
      <c r="P439" s="226">
        <v>44090</v>
      </c>
      <c r="Q439" s="368"/>
    </row>
    <row r="440" spans="1:20" ht="15" customHeight="1" thickBot="1" x14ac:dyDescent="0.35">
      <c r="A440" s="369"/>
      <c r="B440" s="369"/>
      <c r="C440" s="42">
        <v>8002</v>
      </c>
      <c r="D440" s="369"/>
      <c r="E440" s="369"/>
      <c r="F440" s="369"/>
      <c r="G440" s="372"/>
      <c r="H440" s="369"/>
      <c r="I440" s="369"/>
      <c r="J440" s="372"/>
      <c r="K440" s="369"/>
      <c r="L440" s="369"/>
      <c r="M440" s="360"/>
      <c r="N440" s="369"/>
      <c r="O440" s="369"/>
      <c r="P440" s="262"/>
      <c r="Q440" s="369"/>
    </row>
    <row r="441" spans="1:20" ht="15" customHeight="1" x14ac:dyDescent="0.3">
      <c r="A441" s="367">
        <v>11</v>
      </c>
      <c r="B441" s="367" t="s">
        <v>160</v>
      </c>
      <c r="C441" s="37">
        <v>17905</v>
      </c>
      <c r="D441" s="370">
        <v>1</v>
      </c>
      <c r="E441" s="370" t="s">
        <v>161</v>
      </c>
      <c r="F441" s="370">
        <v>450</v>
      </c>
      <c r="G441" s="370">
        <v>200</v>
      </c>
      <c r="H441" s="370" t="s">
        <v>19</v>
      </c>
      <c r="I441" s="370">
        <v>100</v>
      </c>
      <c r="J441" s="370" t="s">
        <v>45</v>
      </c>
      <c r="K441" s="370">
        <v>30</v>
      </c>
      <c r="L441" s="367">
        <v>56.5</v>
      </c>
      <c r="M441" s="358" t="s">
        <v>14</v>
      </c>
      <c r="N441" s="367" t="s">
        <v>173</v>
      </c>
      <c r="O441" s="367" t="s">
        <v>27</v>
      </c>
      <c r="P441" s="261"/>
      <c r="Q441" s="367" t="s">
        <v>163</v>
      </c>
      <c r="T441" s="200">
        <v>1</v>
      </c>
    </row>
    <row r="442" spans="1:20" ht="15" customHeight="1" x14ac:dyDescent="0.3">
      <c r="A442" s="368"/>
      <c r="B442" s="368"/>
      <c r="C442" s="38">
        <v>-17150</v>
      </c>
      <c r="D442" s="371"/>
      <c r="E442" s="371"/>
      <c r="F442" s="371"/>
      <c r="G442" s="371"/>
      <c r="H442" s="371"/>
      <c r="I442" s="371"/>
      <c r="J442" s="371"/>
      <c r="K442" s="371"/>
      <c r="L442" s="368"/>
      <c r="M442" s="359"/>
      <c r="N442" s="368"/>
      <c r="O442" s="368"/>
      <c r="P442" s="226">
        <v>44090</v>
      </c>
      <c r="Q442" s="368"/>
    </row>
    <row r="443" spans="1:20" ht="15" customHeight="1" thickBot="1" x14ac:dyDescent="0.35">
      <c r="A443" s="369"/>
      <c r="B443" s="369"/>
      <c r="C443" s="39">
        <v>8024</v>
      </c>
      <c r="D443" s="372"/>
      <c r="E443" s="372"/>
      <c r="F443" s="372"/>
      <c r="G443" s="372"/>
      <c r="H443" s="372"/>
      <c r="I443" s="372"/>
      <c r="J443" s="372"/>
      <c r="K443" s="372"/>
      <c r="L443" s="369"/>
      <c r="M443" s="360"/>
      <c r="N443" s="369"/>
      <c r="O443" s="369"/>
      <c r="P443" s="262"/>
      <c r="Q443" s="369"/>
    </row>
    <row r="444" spans="1:20" ht="15" customHeight="1" x14ac:dyDescent="0.3">
      <c r="A444" s="367">
        <v>12</v>
      </c>
      <c r="B444" s="367" t="s">
        <v>160</v>
      </c>
      <c r="C444" s="40">
        <v>-10595</v>
      </c>
      <c r="D444" s="367">
        <v>1</v>
      </c>
      <c r="E444" s="367" t="s">
        <v>161</v>
      </c>
      <c r="F444" s="367">
        <v>600</v>
      </c>
      <c r="G444" s="370">
        <v>200</v>
      </c>
      <c r="H444" s="367" t="s">
        <v>19</v>
      </c>
      <c r="I444" s="367">
        <v>100</v>
      </c>
      <c r="J444" s="370" t="s">
        <v>45</v>
      </c>
      <c r="K444" s="367">
        <v>30</v>
      </c>
      <c r="L444" s="367">
        <v>56.5</v>
      </c>
      <c r="M444" s="358" t="s">
        <v>14</v>
      </c>
      <c r="N444" s="367" t="s">
        <v>31</v>
      </c>
      <c r="O444" s="367" t="s">
        <v>27</v>
      </c>
      <c r="P444" s="261"/>
      <c r="Q444" s="367" t="s">
        <v>163</v>
      </c>
      <c r="T444" s="200">
        <v>1</v>
      </c>
    </row>
    <row r="445" spans="1:20" ht="15" customHeight="1" x14ac:dyDescent="0.3">
      <c r="A445" s="368"/>
      <c r="B445" s="368"/>
      <c r="C445" s="41">
        <v>-22485</v>
      </c>
      <c r="D445" s="368"/>
      <c r="E445" s="368"/>
      <c r="F445" s="368"/>
      <c r="G445" s="371"/>
      <c r="H445" s="368"/>
      <c r="I445" s="368"/>
      <c r="J445" s="371"/>
      <c r="K445" s="368"/>
      <c r="L445" s="368"/>
      <c r="M445" s="359"/>
      <c r="N445" s="368"/>
      <c r="O445" s="368"/>
      <c r="P445" s="226">
        <v>44090</v>
      </c>
      <c r="Q445" s="368"/>
    </row>
    <row r="446" spans="1:20" ht="15" customHeight="1" thickBot="1" x14ac:dyDescent="0.35">
      <c r="A446" s="369"/>
      <c r="B446" s="369"/>
      <c r="C446" s="42">
        <v>8099</v>
      </c>
      <c r="D446" s="369"/>
      <c r="E446" s="369"/>
      <c r="F446" s="369"/>
      <c r="G446" s="372"/>
      <c r="H446" s="369"/>
      <c r="I446" s="369"/>
      <c r="J446" s="372"/>
      <c r="K446" s="369"/>
      <c r="L446" s="369"/>
      <c r="M446" s="360"/>
      <c r="N446" s="369"/>
      <c r="O446" s="369"/>
      <c r="P446" s="262"/>
      <c r="Q446" s="369"/>
    </row>
    <row r="447" spans="1:20" ht="15" customHeight="1" x14ac:dyDescent="0.3">
      <c r="A447" s="367">
        <v>13</v>
      </c>
      <c r="B447" s="367" t="s">
        <v>174</v>
      </c>
      <c r="C447" s="40">
        <v>24820</v>
      </c>
      <c r="D447" s="370">
        <v>0</v>
      </c>
      <c r="E447" s="367" t="s">
        <v>13</v>
      </c>
      <c r="F447" s="367">
        <v>600</v>
      </c>
      <c r="G447" s="370">
        <v>200</v>
      </c>
      <c r="H447" s="367" t="s">
        <v>175</v>
      </c>
      <c r="I447" s="367" t="s">
        <v>13</v>
      </c>
      <c r="J447" s="367" t="s">
        <v>13</v>
      </c>
      <c r="K447" s="367" t="s">
        <v>13</v>
      </c>
      <c r="L447" s="367" t="s">
        <v>13</v>
      </c>
      <c r="M447" s="358" t="s">
        <v>14</v>
      </c>
      <c r="N447" s="367" t="s">
        <v>42</v>
      </c>
      <c r="O447" s="367" t="s">
        <v>27</v>
      </c>
      <c r="P447" s="261"/>
      <c r="Q447" s="367" t="s">
        <v>176</v>
      </c>
      <c r="T447" s="200">
        <v>1</v>
      </c>
    </row>
    <row r="448" spans="1:20" ht="15" customHeight="1" x14ac:dyDescent="0.3">
      <c r="A448" s="368"/>
      <c r="B448" s="368"/>
      <c r="C448" s="41">
        <v>2060</v>
      </c>
      <c r="D448" s="371"/>
      <c r="E448" s="368"/>
      <c r="F448" s="368"/>
      <c r="G448" s="371"/>
      <c r="H448" s="368"/>
      <c r="I448" s="368"/>
      <c r="J448" s="368"/>
      <c r="K448" s="368"/>
      <c r="L448" s="368"/>
      <c r="M448" s="359"/>
      <c r="N448" s="368"/>
      <c r="O448" s="368"/>
      <c r="P448" s="226">
        <v>44090</v>
      </c>
      <c r="Q448" s="368"/>
    </row>
    <row r="449" spans="1:20" ht="15" customHeight="1" thickBot="1" x14ac:dyDescent="0.35">
      <c r="A449" s="369"/>
      <c r="B449" s="369"/>
      <c r="C449" s="42">
        <v>8100</v>
      </c>
      <c r="D449" s="372"/>
      <c r="E449" s="369"/>
      <c r="F449" s="369"/>
      <c r="G449" s="372"/>
      <c r="H449" s="369"/>
      <c r="I449" s="369"/>
      <c r="J449" s="369"/>
      <c r="K449" s="369"/>
      <c r="L449" s="369"/>
      <c r="M449" s="360"/>
      <c r="N449" s="369"/>
      <c r="O449" s="369"/>
      <c r="P449" s="262"/>
      <c r="Q449" s="369"/>
    </row>
    <row r="450" spans="1:20" ht="15" customHeight="1" x14ac:dyDescent="0.3">
      <c r="A450" s="367">
        <v>14</v>
      </c>
      <c r="B450" s="367" t="s">
        <v>167</v>
      </c>
      <c r="C450" s="40">
        <v>16811</v>
      </c>
      <c r="D450" s="367">
        <v>1</v>
      </c>
      <c r="E450" s="367" t="s">
        <v>168</v>
      </c>
      <c r="F450" s="367">
        <v>350</v>
      </c>
      <c r="G450" s="370">
        <v>200</v>
      </c>
      <c r="H450" s="367" t="s">
        <v>50</v>
      </c>
      <c r="I450" s="367">
        <v>120</v>
      </c>
      <c r="J450" s="370" t="s">
        <v>45</v>
      </c>
      <c r="K450" s="367">
        <v>30</v>
      </c>
      <c r="L450" s="367">
        <v>12</v>
      </c>
      <c r="M450" s="358" t="s">
        <v>14</v>
      </c>
      <c r="N450" s="367" t="s">
        <v>41</v>
      </c>
      <c r="O450" s="367" t="s">
        <v>27</v>
      </c>
      <c r="P450" s="261"/>
      <c r="Q450" s="370" t="s">
        <v>169</v>
      </c>
      <c r="T450" s="200">
        <v>1</v>
      </c>
    </row>
    <row r="451" spans="1:20" ht="15" customHeight="1" x14ac:dyDescent="0.3">
      <c r="A451" s="368"/>
      <c r="B451" s="368"/>
      <c r="C451" s="41">
        <v>18028</v>
      </c>
      <c r="D451" s="368"/>
      <c r="E451" s="368"/>
      <c r="F451" s="368"/>
      <c r="G451" s="371"/>
      <c r="H451" s="368"/>
      <c r="I451" s="368"/>
      <c r="J451" s="371"/>
      <c r="K451" s="368"/>
      <c r="L451" s="368"/>
      <c r="M451" s="359"/>
      <c r="N451" s="368"/>
      <c r="O451" s="368"/>
      <c r="P451" s="226">
        <v>44090</v>
      </c>
      <c r="Q451" s="371"/>
    </row>
    <row r="452" spans="1:20" ht="15" customHeight="1" thickBot="1" x14ac:dyDescent="0.35">
      <c r="A452" s="369"/>
      <c r="B452" s="369"/>
      <c r="C452" s="42">
        <v>7975</v>
      </c>
      <c r="D452" s="369"/>
      <c r="E452" s="369"/>
      <c r="F452" s="369"/>
      <c r="G452" s="372"/>
      <c r="H452" s="369"/>
      <c r="I452" s="369"/>
      <c r="J452" s="372"/>
      <c r="K452" s="369"/>
      <c r="L452" s="369"/>
      <c r="M452" s="360"/>
      <c r="N452" s="369"/>
      <c r="O452" s="369"/>
      <c r="P452" s="262"/>
      <c r="Q452" s="372"/>
    </row>
    <row r="453" spans="1:20" ht="15" customHeight="1" x14ac:dyDescent="0.3">
      <c r="A453" s="367">
        <v>15</v>
      </c>
      <c r="B453" s="367" t="s">
        <v>167</v>
      </c>
      <c r="C453" s="40">
        <v>-16811</v>
      </c>
      <c r="D453" s="367">
        <v>1</v>
      </c>
      <c r="E453" s="367" t="s">
        <v>168</v>
      </c>
      <c r="F453" s="367">
        <v>350</v>
      </c>
      <c r="G453" s="370">
        <v>200</v>
      </c>
      <c r="H453" s="367" t="s">
        <v>50</v>
      </c>
      <c r="I453" s="367">
        <v>120</v>
      </c>
      <c r="J453" s="370" t="s">
        <v>45</v>
      </c>
      <c r="K453" s="367">
        <v>30</v>
      </c>
      <c r="L453" s="367">
        <v>12</v>
      </c>
      <c r="M453" s="358" t="s">
        <v>14</v>
      </c>
      <c r="N453" s="367" t="s">
        <v>177</v>
      </c>
      <c r="O453" s="367" t="s">
        <v>27</v>
      </c>
      <c r="P453" s="261"/>
      <c r="Q453" s="370" t="s">
        <v>169</v>
      </c>
      <c r="T453" s="200">
        <v>1</v>
      </c>
    </row>
    <row r="454" spans="1:20" ht="15" customHeight="1" x14ac:dyDescent="0.3">
      <c r="A454" s="368"/>
      <c r="B454" s="368"/>
      <c r="C454" s="41">
        <v>18028</v>
      </c>
      <c r="D454" s="368"/>
      <c r="E454" s="368"/>
      <c r="F454" s="368"/>
      <c r="G454" s="371"/>
      <c r="H454" s="368"/>
      <c r="I454" s="368"/>
      <c r="J454" s="371"/>
      <c r="K454" s="368"/>
      <c r="L454" s="368"/>
      <c r="M454" s="359"/>
      <c r="N454" s="368"/>
      <c r="O454" s="368"/>
      <c r="P454" s="226">
        <v>44090</v>
      </c>
      <c r="Q454" s="371"/>
    </row>
    <row r="455" spans="1:20" ht="15" customHeight="1" thickBot="1" x14ac:dyDescent="0.35">
      <c r="A455" s="369"/>
      <c r="B455" s="369"/>
      <c r="C455" s="42">
        <v>7975</v>
      </c>
      <c r="D455" s="369"/>
      <c r="E455" s="369"/>
      <c r="F455" s="369"/>
      <c r="G455" s="372"/>
      <c r="H455" s="369"/>
      <c r="I455" s="369"/>
      <c r="J455" s="372"/>
      <c r="K455" s="369"/>
      <c r="L455" s="369"/>
      <c r="M455" s="360"/>
      <c r="N455" s="369"/>
      <c r="O455" s="369"/>
      <c r="P455" s="262"/>
      <c r="Q455" s="372"/>
    </row>
    <row r="456" spans="1:20" ht="15" customHeight="1" x14ac:dyDescent="0.3">
      <c r="A456" s="367">
        <v>16</v>
      </c>
      <c r="B456" s="367" t="s">
        <v>167</v>
      </c>
      <c r="C456" s="40">
        <v>-14835</v>
      </c>
      <c r="D456" s="367">
        <v>1</v>
      </c>
      <c r="E456" s="367" t="s">
        <v>168</v>
      </c>
      <c r="F456" s="367">
        <v>350</v>
      </c>
      <c r="G456" s="370">
        <v>200</v>
      </c>
      <c r="H456" s="367" t="s">
        <v>50</v>
      </c>
      <c r="I456" s="367">
        <v>120</v>
      </c>
      <c r="J456" s="370" t="s">
        <v>45</v>
      </c>
      <c r="K456" s="367">
        <v>30</v>
      </c>
      <c r="L456" s="367">
        <v>12</v>
      </c>
      <c r="M456" s="358" t="s">
        <v>14</v>
      </c>
      <c r="N456" s="367" t="s">
        <v>178</v>
      </c>
      <c r="O456" s="367" t="s">
        <v>27</v>
      </c>
      <c r="P456" s="261"/>
      <c r="Q456" s="370" t="s">
        <v>169</v>
      </c>
      <c r="T456" s="200">
        <v>1</v>
      </c>
    </row>
    <row r="457" spans="1:20" ht="15" customHeight="1" x14ac:dyDescent="0.3">
      <c r="A457" s="368"/>
      <c r="B457" s="368"/>
      <c r="C457" s="41">
        <v>-19686</v>
      </c>
      <c r="D457" s="368"/>
      <c r="E457" s="368"/>
      <c r="F457" s="368"/>
      <c r="G457" s="371"/>
      <c r="H457" s="368"/>
      <c r="I457" s="368"/>
      <c r="J457" s="371"/>
      <c r="K457" s="368"/>
      <c r="L457" s="368"/>
      <c r="M457" s="359"/>
      <c r="N457" s="368"/>
      <c r="O457" s="368"/>
      <c r="P457" s="226">
        <v>44090</v>
      </c>
      <c r="Q457" s="371"/>
    </row>
    <row r="458" spans="1:20" ht="15" customHeight="1" thickBot="1" x14ac:dyDescent="0.35">
      <c r="A458" s="369"/>
      <c r="B458" s="369"/>
      <c r="C458" s="42">
        <v>7975</v>
      </c>
      <c r="D458" s="369"/>
      <c r="E458" s="369"/>
      <c r="F458" s="369"/>
      <c r="G458" s="372"/>
      <c r="H458" s="369"/>
      <c r="I458" s="369"/>
      <c r="J458" s="372"/>
      <c r="K458" s="369"/>
      <c r="L458" s="369"/>
      <c r="M458" s="360"/>
      <c r="N458" s="369"/>
      <c r="O458" s="369"/>
      <c r="P458" s="262"/>
      <c r="Q458" s="372"/>
    </row>
    <row r="459" spans="1:20" ht="15" customHeight="1" thickBot="1" x14ac:dyDescent="0.35">
      <c r="A459" s="352" t="s">
        <v>47</v>
      </c>
      <c r="B459" s="353"/>
      <c r="C459" s="353"/>
      <c r="D459" s="353"/>
      <c r="E459" s="353"/>
      <c r="F459" s="353"/>
      <c r="G459" s="353"/>
      <c r="H459" s="353"/>
      <c r="I459" s="353"/>
      <c r="J459" s="353"/>
      <c r="K459" s="353"/>
      <c r="L459" s="353"/>
      <c r="M459" s="353"/>
      <c r="N459" s="353"/>
      <c r="O459" s="353"/>
      <c r="P459" s="353"/>
      <c r="Q459" s="354"/>
    </row>
    <row r="460" spans="1:20" ht="15" customHeight="1" thickBot="1" x14ac:dyDescent="0.35">
      <c r="A460" s="393" t="s">
        <v>158</v>
      </c>
      <c r="B460" s="394"/>
      <c r="C460" s="394"/>
      <c r="D460" s="394"/>
      <c r="E460" s="394"/>
      <c r="F460" s="394"/>
      <c r="G460" s="394"/>
      <c r="H460" s="394"/>
      <c r="I460" s="394"/>
      <c r="J460" s="394"/>
      <c r="K460" s="394"/>
      <c r="L460" s="394"/>
      <c r="M460" s="394"/>
      <c r="N460" s="394"/>
      <c r="O460" s="394"/>
      <c r="P460" s="394"/>
      <c r="Q460" s="395"/>
    </row>
    <row r="461" spans="1:20" ht="15" customHeight="1" thickBot="1" x14ac:dyDescent="0.35">
      <c r="A461" s="352" t="s">
        <v>68</v>
      </c>
      <c r="B461" s="353"/>
      <c r="C461" s="353"/>
      <c r="D461" s="353"/>
      <c r="E461" s="353"/>
      <c r="F461" s="353"/>
      <c r="G461" s="353"/>
      <c r="H461" s="353"/>
      <c r="I461" s="353"/>
      <c r="J461" s="353"/>
      <c r="K461" s="353"/>
      <c r="L461" s="353"/>
      <c r="M461" s="353"/>
      <c r="N461" s="353"/>
      <c r="O461" s="353"/>
      <c r="P461" s="353"/>
      <c r="Q461" s="354"/>
    </row>
    <row r="462" spans="1:20" ht="15" hidden="1" customHeight="1" x14ac:dyDescent="0.3">
      <c r="A462" s="367">
        <v>17</v>
      </c>
      <c r="B462" s="367" t="s">
        <v>179</v>
      </c>
      <c r="C462" s="40">
        <v>-18200</v>
      </c>
      <c r="D462" s="367">
        <v>1</v>
      </c>
      <c r="E462" s="367" t="s">
        <v>24</v>
      </c>
      <c r="F462" s="367">
        <v>200</v>
      </c>
      <c r="G462" s="367">
        <v>200</v>
      </c>
      <c r="H462" s="367" t="s">
        <v>50</v>
      </c>
      <c r="I462" s="367">
        <v>60</v>
      </c>
      <c r="J462" s="367">
        <f>-0.66/1.11</f>
        <v>-0.59459459459459452</v>
      </c>
      <c r="K462" s="367">
        <v>30</v>
      </c>
      <c r="L462" s="367">
        <v>-25.5</v>
      </c>
      <c r="M462" s="358" t="s">
        <v>14</v>
      </c>
      <c r="N462" s="367" t="s">
        <v>180</v>
      </c>
      <c r="O462" s="367" t="s">
        <v>27</v>
      </c>
      <c r="P462" s="261"/>
      <c r="Q462" s="367" t="s">
        <v>181</v>
      </c>
      <c r="T462" s="200">
        <v>1</v>
      </c>
    </row>
    <row r="463" spans="1:20" ht="15" customHeight="1" x14ac:dyDescent="0.3">
      <c r="A463" s="368"/>
      <c r="B463" s="368"/>
      <c r="C463" s="41">
        <v>2400</v>
      </c>
      <c r="D463" s="368"/>
      <c r="E463" s="368"/>
      <c r="F463" s="368"/>
      <c r="G463" s="368"/>
      <c r="H463" s="368"/>
      <c r="I463" s="368"/>
      <c r="J463" s="368"/>
      <c r="K463" s="368"/>
      <c r="L463" s="368"/>
      <c r="M463" s="359"/>
      <c r="N463" s="368"/>
      <c r="O463" s="368"/>
      <c r="P463" s="226">
        <v>44090</v>
      </c>
      <c r="Q463" s="368"/>
    </row>
    <row r="464" spans="1:20" ht="15" customHeight="1" thickBot="1" x14ac:dyDescent="0.35">
      <c r="A464" s="369"/>
      <c r="B464" s="369"/>
      <c r="C464" s="42">
        <v>150</v>
      </c>
      <c r="D464" s="369"/>
      <c r="E464" s="369"/>
      <c r="F464" s="369"/>
      <c r="G464" s="369"/>
      <c r="H464" s="369"/>
      <c r="I464" s="369"/>
      <c r="J464" s="369"/>
      <c r="K464" s="369"/>
      <c r="L464" s="369"/>
      <c r="M464" s="360"/>
      <c r="N464" s="369"/>
      <c r="O464" s="369"/>
      <c r="P464" s="262"/>
      <c r="Q464" s="369"/>
    </row>
    <row r="465" spans="1:20" ht="15" customHeight="1" thickBot="1" x14ac:dyDescent="0.35">
      <c r="A465" s="382" t="s">
        <v>182</v>
      </c>
      <c r="B465" s="383"/>
      <c r="C465" s="383"/>
      <c r="D465" s="383"/>
      <c r="E465" s="383"/>
      <c r="F465" s="383"/>
      <c r="G465" s="383"/>
      <c r="H465" s="383"/>
      <c r="I465" s="383"/>
      <c r="J465" s="383"/>
      <c r="K465" s="383"/>
      <c r="L465" s="383"/>
      <c r="M465" s="383"/>
      <c r="N465" s="383"/>
      <c r="O465" s="383"/>
      <c r="P465" s="383"/>
      <c r="Q465" s="384"/>
    </row>
    <row r="466" spans="1:20" ht="15" customHeight="1" thickBot="1" x14ac:dyDescent="0.35">
      <c r="A466" s="352" t="s">
        <v>70</v>
      </c>
      <c r="B466" s="353"/>
      <c r="C466" s="353"/>
      <c r="D466" s="353"/>
      <c r="E466" s="353"/>
      <c r="F466" s="353"/>
      <c r="G466" s="353"/>
      <c r="H466" s="353"/>
      <c r="I466" s="353"/>
      <c r="J466" s="353"/>
      <c r="K466" s="353"/>
      <c r="L466" s="353"/>
      <c r="M466" s="353"/>
      <c r="N466" s="353"/>
      <c r="O466" s="353"/>
      <c r="P466" s="353"/>
      <c r="Q466" s="354"/>
    </row>
    <row r="467" spans="1:20" ht="15" hidden="1" customHeight="1" x14ac:dyDescent="0.3">
      <c r="A467" s="367">
        <v>18</v>
      </c>
      <c r="B467" s="367" t="s">
        <v>174</v>
      </c>
      <c r="C467" s="40">
        <v>-10945</v>
      </c>
      <c r="D467" s="370">
        <v>0</v>
      </c>
      <c r="E467" s="367" t="s">
        <v>13</v>
      </c>
      <c r="F467" s="367">
        <v>1200</v>
      </c>
      <c r="G467" s="367">
        <v>1200</v>
      </c>
      <c r="H467" s="367" t="s">
        <v>19</v>
      </c>
      <c r="I467" s="367" t="s">
        <v>13</v>
      </c>
      <c r="J467" s="367" t="s">
        <v>13</v>
      </c>
      <c r="K467" s="367" t="s">
        <v>13</v>
      </c>
      <c r="L467" s="367">
        <v>102.5</v>
      </c>
      <c r="M467" s="358" t="s">
        <v>14</v>
      </c>
      <c r="N467" s="396" t="s">
        <v>183</v>
      </c>
      <c r="O467" s="367" t="s">
        <v>27</v>
      </c>
      <c r="P467" s="65"/>
      <c r="Q467" s="367" t="s">
        <v>184</v>
      </c>
      <c r="T467" s="200">
        <v>1</v>
      </c>
    </row>
    <row r="468" spans="1:20" ht="15" customHeight="1" x14ac:dyDescent="0.3">
      <c r="A468" s="368"/>
      <c r="B468" s="368"/>
      <c r="C468" s="41">
        <v>-2900</v>
      </c>
      <c r="D468" s="371"/>
      <c r="E468" s="368"/>
      <c r="F468" s="368"/>
      <c r="G468" s="368"/>
      <c r="H468" s="368"/>
      <c r="I468" s="368"/>
      <c r="J468" s="368"/>
      <c r="K468" s="368"/>
      <c r="L468" s="368"/>
      <c r="M468" s="359"/>
      <c r="N468" s="397"/>
      <c r="O468" s="368"/>
      <c r="P468" s="226">
        <v>44066</v>
      </c>
      <c r="Q468" s="368"/>
    </row>
    <row r="469" spans="1:20" ht="15" customHeight="1" thickBot="1" x14ac:dyDescent="0.35">
      <c r="A469" s="369"/>
      <c r="B469" s="369"/>
      <c r="C469" s="42">
        <v>1500</v>
      </c>
      <c r="D469" s="372"/>
      <c r="E469" s="369"/>
      <c r="F469" s="369"/>
      <c r="G469" s="369"/>
      <c r="H469" s="369"/>
      <c r="I469" s="369"/>
      <c r="J469" s="369"/>
      <c r="K469" s="369"/>
      <c r="L469" s="369"/>
      <c r="M469" s="360"/>
      <c r="N469" s="398"/>
      <c r="O469" s="369"/>
      <c r="P469" s="67"/>
      <c r="Q469" s="369"/>
    </row>
    <row r="470" spans="1:20" ht="15" hidden="1" customHeight="1" x14ac:dyDescent="0.3">
      <c r="A470" s="367">
        <v>19</v>
      </c>
      <c r="B470" s="367" t="s">
        <v>48</v>
      </c>
      <c r="C470" s="40">
        <v>-10945</v>
      </c>
      <c r="D470" s="367">
        <v>1</v>
      </c>
      <c r="E470" s="367" t="s">
        <v>25</v>
      </c>
      <c r="F470" s="367">
        <v>1200</v>
      </c>
      <c r="G470" s="367">
        <v>1200</v>
      </c>
      <c r="H470" s="367" t="s">
        <v>55</v>
      </c>
      <c r="I470" s="367">
        <v>150</v>
      </c>
      <c r="J470" s="370" t="s">
        <v>45</v>
      </c>
      <c r="K470" s="367">
        <v>50</v>
      </c>
      <c r="L470" s="367">
        <v>0</v>
      </c>
      <c r="M470" s="358" t="s">
        <v>14</v>
      </c>
      <c r="N470" s="396" t="s">
        <v>183</v>
      </c>
      <c r="O470" s="367" t="s">
        <v>27</v>
      </c>
      <c r="P470" s="218"/>
      <c r="Q470" s="367" t="s">
        <v>185</v>
      </c>
      <c r="T470" s="200">
        <v>1</v>
      </c>
    </row>
    <row r="471" spans="1:20" ht="15" customHeight="1" x14ac:dyDescent="0.3">
      <c r="A471" s="368"/>
      <c r="B471" s="368"/>
      <c r="C471" s="41">
        <v>-2900</v>
      </c>
      <c r="D471" s="368"/>
      <c r="E471" s="368"/>
      <c r="F471" s="368"/>
      <c r="G471" s="368"/>
      <c r="H471" s="368"/>
      <c r="I471" s="368"/>
      <c r="J471" s="371"/>
      <c r="K471" s="368"/>
      <c r="L471" s="368"/>
      <c r="M471" s="359"/>
      <c r="N471" s="397"/>
      <c r="O471" s="368"/>
      <c r="P471" s="226">
        <v>44072</v>
      </c>
      <c r="Q471" s="368"/>
      <c r="R471" s="186">
        <v>44072</v>
      </c>
    </row>
    <row r="472" spans="1:20" ht="15" customHeight="1" thickBot="1" x14ac:dyDescent="0.35">
      <c r="A472" s="369"/>
      <c r="B472" s="369"/>
      <c r="C472" s="42">
        <v>2700</v>
      </c>
      <c r="D472" s="369"/>
      <c r="E472" s="369"/>
      <c r="F472" s="369"/>
      <c r="G472" s="369"/>
      <c r="H472" s="369"/>
      <c r="I472" s="369"/>
      <c r="J472" s="372"/>
      <c r="K472" s="369"/>
      <c r="L472" s="369"/>
      <c r="M472" s="360"/>
      <c r="N472" s="398"/>
      <c r="O472" s="369"/>
      <c r="P472" s="220"/>
      <c r="Q472" s="369"/>
    </row>
    <row r="473" spans="1:20" ht="15" hidden="1" customHeight="1" x14ac:dyDescent="0.3">
      <c r="A473" s="367">
        <v>20</v>
      </c>
      <c r="B473" s="367" t="s">
        <v>48</v>
      </c>
      <c r="C473" s="40">
        <v>-8015</v>
      </c>
      <c r="D473" s="367">
        <v>1</v>
      </c>
      <c r="E473" s="367" t="s">
        <v>25</v>
      </c>
      <c r="F473" s="367">
        <v>1200</v>
      </c>
      <c r="G473" s="367">
        <v>1200</v>
      </c>
      <c r="H473" s="367" t="s">
        <v>55</v>
      </c>
      <c r="I473" s="367">
        <v>150</v>
      </c>
      <c r="J473" s="370" t="s">
        <v>45</v>
      </c>
      <c r="K473" s="367">
        <v>50</v>
      </c>
      <c r="L473" s="367">
        <v>0</v>
      </c>
      <c r="M473" s="358" t="s">
        <v>14</v>
      </c>
      <c r="N473" s="396" t="s">
        <v>186</v>
      </c>
      <c r="O473" s="367" t="s">
        <v>27</v>
      </c>
      <c r="P473" s="228">
        <v>44072</v>
      </c>
      <c r="Q473" s="367" t="s">
        <v>185</v>
      </c>
      <c r="T473" s="200">
        <v>1</v>
      </c>
    </row>
    <row r="474" spans="1:20" ht="15" customHeight="1" x14ac:dyDescent="0.3">
      <c r="A474" s="368"/>
      <c r="B474" s="368"/>
      <c r="C474" s="41">
        <v>-2900</v>
      </c>
      <c r="D474" s="368"/>
      <c r="E474" s="368"/>
      <c r="F474" s="368"/>
      <c r="G474" s="368"/>
      <c r="H474" s="368"/>
      <c r="I474" s="368"/>
      <c r="J474" s="371"/>
      <c r="K474" s="368"/>
      <c r="L474" s="368"/>
      <c r="M474" s="359"/>
      <c r="N474" s="397"/>
      <c r="O474" s="368"/>
      <c r="P474" s="219"/>
      <c r="Q474" s="368"/>
      <c r="R474" s="186">
        <v>44072</v>
      </c>
    </row>
    <row r="475" spans="1:20" ht="15" customHeight="1" thickBot="1" x14ac:dyDescent="0.35">
      <c r="A475" s="369"/>
      <c r="B475" s="369"/>
      <c r="C475" s="42">
        <v>2700</v>
      </c>
      <c r="D475" s="369"/>
      <c r="E475" s="369"/>
      <c r="F475" s="369"/>
      <c r="G475" s="369"/>
      <c r="H475" s="369"/>
      <c r="I475" s="369"/>
      <c r="J475" s="372"/>
      <c r="K475" s="369"/>
      <c r="L475" s="369"/>
      <c r="M475" s="360"/>
      <c r="N475" s="398"/>
      <c r="O475" s="369"/>
      <c r="P475" s="220"/>
      <c r="Q475" s="369"/>
    </row>
    <row r="476" spans="1:20" ht="15" hidden="1" customHeight="1" x14ac:dyDescent="0.3">
      <c r="A476" s="367">
        <v>21</v>
      </c>
      <c r="B476" s="367" t="s">
        <v>174</v>
      </c>
      <c r="C476" s="40">
        <v>-6300</v>
      </c>
      <c r="D476" s="370">
        <v>0</v>
      </c>
      <c r="E476" s="367" t="s">
        <v>13</v>
      </c>
      <c r="F476" s="367">
        <v>1200</v>
      </c>
      <c r="G476" s="367">
        <v>1200</v>
      </c>
      <c r="H476" s="370" t="s">
        <v>187</v>
      </c>
      <c r="I476" s="367" t="s">
        <v>13</v>
      </c>
      <c r="J476" s="367" t="s">
        <v>13</v>
      </c>
      <c r="K476" s="367" t="s">
        <v>13</v>
      </c>
      <c r="L476" s="367">
        <v>154.5</v>
      </c>
      <c r="M476" s="358" t="s">
        <v>14</v>
      </c>
      <c r="N476" s="396" t="s">
        <v>186</v>
      </c>
      <c r="O476" s="367" t="s">
        <v>27</v>
      </c>
      <c r="P476" s="201"/>
      <c r="Q476" s="367" t="s">
        <v>188</v>
      </c>
      <c r="R476" s="186">
        <v>44066</v>
      </c>
      <c r="T476" s="200">
        <v>1</v>
      </c>
    </row>
    <row r="477" spans="1:20" ht="15" customHeight="1" x14ac:dyDescent="0.3">
      <c r="A477" s="368"/>
      <c r="B477" s="368"/>
      <c r="C477" s="41">
        <v>-2900</v>
      </c>
      <c r="D477" s="371"/>
      <c r="E477" s="368"/>
      <c r="F477" s="368"/>
      <c r="G477" s="368"/>
      <c r="H477" s="371"/>
      <c r="I477" s="368"/>
      <c r="J477" s="368"/>
      <c r="K477" s="368"/>
      <c r="L477" s="368"/>
      <c r="M477" s="359"/>
      <c r="N477" s="397"/>
      <c r="O477" s="368"/>
      <c r="P477" s="226">
        <v>44066</v>
      </c>
      <c r="Q477" s="368"/>
    </row>
    <row r="478" spans="1:20" ht="15" customHeight="1" thickBot="1" x14ac:dyDescent="0.35">
      <c r="A478" s="369"/>
      <c r="B478" s="369"/>
      <c r="C478" s="42">
        <v>2970</v>
      </c>
      <c r="D478" s="372"/>
      <c r="E478" s="369"/>
      <c r="F478" s="369"/>
      <c r="G478" s="369"/>
      <c r="H478" s="372"/>
      <c r="I478" s="369"/>
      <c r="J478" s="369"/>
      <c r="K478" s="369"/>
      <c r="L478" s="369"/>
      <c r="M478" s="360"/>
      <c r="N478" s="398"/>
      <c r="O478" s="369"/>
      <c r="P478" s="203"/>
      <c r="Q478" s="369"/>
    </row>
    <row r="479" spans="1:20" ht="15" hidden="1" customHeight="1" x14ac:dyDescent="0.3">
      <c r="A479" s="367">
        <v>22</v>
      </c>
      <c r="B479" s="367" t="s">
        <v>174</v>
      </c>
      <c r="C479" s="40">
        <v>-13000</v>
      </c>
      <c r="D479" s="370">
        <v>0</v>
      </c>
      <c r="E479" s="367" t="s">
        <v>13</v>
      </c>
      <c r="F479" s="367">
        <v>1200</v>
      </c>
      <c r="G479" s="367">
        <v>1200</v>
      </c>
      <c r="H479" s="367" t="s">
        <v>55</v>
      </c>
      <c r="I479" s="367" t="s">
        <v>13</v>
      </c>
      <c r="J479" s="367" t="s">
        <v>13</v>
      </c>
      <c r="K479" s="367" t="s">
        <v>13</v>
      </c>
      <c r="L479" s="367">
        <v>129.5</v>
      </c>
      <c r="M479" s="358" t="s">
        <v>14</v>
      </c>
      <c r="N479" s="396" t="s">
        <v>189</v>
      </c>
      <c r="O479" s="367" t="s">
        <v>27</v>
      </c>
      <c r="P479" s="201"/>
      <c r="Q479" s="367" t="s">
        <v>184</v>
      </c>
      <c r="R479" s="186">
        <v>44066</v>
      </c>
      <c r="T479" s="200">
        <v>1</v>
      </c>
    </row>
    <row r="480" spans="1:20" ht="15" customHeight="1" x14ac:dyDescent="0.3">
      <c r="A480" s="368"/>
      <c r="B480" s="368"/>
      <c r="C480" s="41">
        <v>2900</v>
      </c>
      <c r="D480" s="371"/>
      <c r="E480" s="368"/>
      <c r="F480" s="368"/>
      <c r="G480" s="368"/>
      <c r="H480" s="368"/>
      <c r="I480" s="368"/>
      <c r="J480" s="368"/>
      <c r="K480" s="368"/>
      <c r="L480" s="368"/>
      <c r="M480" s="359"/>
      <c r="N480" s="397"/>
      <c r="O480" s="368"/>
      <c r="P480" s="226">
        <v>44066</v>
      </c>
      <c r="Q480" s="368"/>
    </row>
    <row r="481" spans="1:20" ht="15" customHeight="1" thickBot="1" x14ac:dyDescent="0.35">
      <c r="A481" s="369"/>
      <c r="B481" s="369"/>
      <c r="C481" s="42">
        <v>2700</v>
      </c>
      <c r="D481" s="372"/>
      <c r="E481" s="369"/>
      <c r="F481" s="369"/>
      <c r="G481" s="369"/>
      <c r="H481" s="369"/>
      <c r="I481" s="369"/>
      <c r="J481" s="369"/>
      <c r="K481" s="369"/>
      <c r="L481" s="369"/>
      <c r="M481" s="360"/>
      <c r="N481" s="398"/>
      <c r="O481" s="369"/>
      <c r="P481" s="203"/>
      <c r="Q481" s="369"/>
    </row>
    <row r="482" spans="1:20" ht="15" hidden="1" customHeight="1" x14ac:dyDescent="0.3">
      <c r="A482" s="367">
        <v>23</v>
      </c>
      <c r="B482" s="367" t="s">
        <v>174</v>
      </c>
      <c r="C482" s="40">
        <v>-13000</v>
      </c>
      <c r="D482" s="370">
        <v>0</v>
      </c>
      <c r="E482" s="367" t="s">
        <v>13</v>
      </c>
      <c r="F482" s="367">
        <v>1200</v>
      </c>
      <c r="G482" s="367">
        <v>1200</v>
      </c>
      <c r="H482" s="367" t="s">
        <v>55</v>
      </c>
      <c r="I482" s="367" t="s">
        <v>13</v>
      </c>
      <c r="J482" s="367" t="s">
        <v>13</v>
      </c>
      <c r="K482" s="367" t="s">
        <v>13</v>
      </c>
      <c r="L482" s="367">
        <v>129.5</v>
      </c>
      <c r="M482" s="358" t="s">
        <v>14</v>
      </c>
      <c r="N482" s="396" t="s">
        <v>189</v>
      </c>
      <c r="O482" s="367" t="s">
        <v>27</v>
      </c>
      <c r="P482" s="201"/>
      <c r="Q482" s="367" t="s">
        <v>184</v>
      </c>
      <c r="R482" s="186">
        <v>44066</v>
      </c>
      <c r="T482" s="200">
        <v>1</v>
      </c>
    </row>
    <row r="483" spans="1:20" ht="15" customHeight="1" x14ac:dyDescent="0.3">
      <c r="A483" s="368"/>
      <c r="B483" s="368"/>
      <c r="C483" s="41">
        <v>2900</v>
      </c>
      <c r="D483" s="371"/>
      <c r="E483" s="368"/>
      <c r="F483" s="368"/>
      <c r="G483" s="368"/>
      <c r="H483" s="368"/>
      <c r="I483" s="368"/>
      <c r="J483" s="368"/>
      <c r="K483" s="368"/>
      <c r="L483" s="368"/>
      <c r="M483" s="359"/>
      <c r="N483" s="397"/>
      <c r="O483" s="368"/>
      <c r="P483" s="226">
        <v>44066</v>
      </c>
      <c r="Q483" s="368"/>
    </row>
    <row r="484" spans="1:20" ht="15" customHeight="1" thickBot="1" x14ac:dyDescent="0.35">
      <c r="A484" s="369"/>
      <c r="B484" s="369"/>
      <c r="C484" s="42">
        <v>2200</v>
      </c>
      <c r="D484" s="372"/>
      <c r="E484" s="369"/>
      <c r="F484" s="369"/>
      <c r="G484" s="369"/>
      <c r="H484" s="369"/>
      <c r="I484" s="369"/>
      <c r="J484" s="369"/>
      <c r="K484" s="369"/>
      <c r="L484" s="369"/>
      <c r="M484" s="360"/>
      <c r="N484" s="398"/>
      <c r="O484" s="369"/>
      <c r="P484" s="203"/>
      <c r="Q484" s="369"/>
    </row>
    <row r="485" spans="1:20" ht="15" hidden="1" customHeight="1" x14ac:dyDescent="0.3">
      <c r="A485" s="367">
        <v>24</v>
      </c>
      <c r="B485" s="367" t="s">
        <v>174</v>
      </c>
      <c r="C485" s="40">
        <v>-13000</v>
      </c>
      <c r="D485" s="370">
        <v>0</v>
      </c>
      <c r="E485" s="367" t="s">
        <v>13</v>
      </c>
      <c r="F485" s="367">
        <v>1200</v>
      </c>
      <c r="G485" s="367">
        <v>1200</v>
      </c>
      <c r="H485" s="367" t="s">
        <v>19</v>
      </c>
      <c r="I485" s="367" t="s">
        <v>13</v>
      </c>
      <c r="J485" s="367" t="s">
        <v>13</v>
      </c>
      <c r="K485" s="367" t="s">
        <v>13</v>
      </c>
      <c r="L485" s="367">
        <v>102.5</v>
      </c>
      <c r="M485" s="358" t="s">
        <v>14</v>
      </c>
      <c r="N485" s="396" t="s">
        <v>189</v>
      </c>
      <c r="O485" s="367" t="s">
        <v>27</v>
      </c>
      <c r="P485" s="201"/>
      <c r="Q485" s="367" t="s">
        <v>184</v>
      </c>
      <c r="R485" s="186">
        <v>44066</v>
      </c>
      <c r="T485" s="200">
        <v>1</v>
      </c>
    </row>
    <row r="486" spans="1:20" ht="15" customHeight="1" x14ac:dyDescent="0.3">
      <c r="A486" s="368"/>
      <c r="B486" s="368"/>
      <c r="C486" s="41">
        <v>2900</v>
      </c>
      <c r="D486" s="371"/>
      <c r="E486" s="368"/>
      <c r="F486" s="368"/>
      <c r="G486" s="368"/>
      <c r="H486" s="368"/>
      <c r="I486" s="368"/>
      <c r="J486" s="368"/>
      <c r="K486" s="368"/>
      <c r="L486" s="368"/>
      <c r="M486" s="359"/>
      <c r="N486" s="397"/>
      <c r="O486" s="368"/>
      <c r="P486" s="226">
        <v>44066</v>
      </c>
      <c r="Q486" s="368"/>
    </row>
    <row r="487" spans="1:20" ht="15" customHeight="1" thickBot="1" x14ac:dyDescent="0.35">
      <c r="A487" s="369"/>
      <c r="B487" s="369"/>
      <c r="C487" s="42">
        <v>1500</v>
      </c>
      <c r="D487" s="372"/>
      <c r="E487" s="369"/>
      <c r="F487" s="369"/>
      <c r="G487" s="369"/>
      <c r="H487" s="369"/>
      <c r="I487" s="369"/>
      <c r="J487" s="369"/>
      <c r="K487" s="369"/>
      <c r="L487" s="369"/>
      <c r="M487" s="360"/>
      <c r="N487" s="398"/>
      <c r="O487" s="369"/>
      <c r="P487" s="203"/>
      <c r="Q487" s="369"/>
    </row>
    <row r="488" spans="1:20" ht="15" hidden="1" customHeight="1" x14ac:dyDescent="0.3">
      <c r="A488" s="367">
        <v>25</v>
      </c>
      <c r="B488" s="367" t="s">
        <v>174</v>
      </c>
      <c r="C488" s="40">
        <v>-8900</v>
      </c>
      <c r="D488" s="370">
        <v>0</v>
      </c>
      <c r="E488" s="367" t="s">
        <v>13</v>
      </c>
      <c r="F488" s="367">
        <v>800</v>
      </c>
      <c r="G488" s="367">
        <v>800</v>
      </c>
      <c r="H488" s="367" t="s">
        <v>55</v>
      </c>
      <c r="I488" s="367" t="s">
        <v>13</v>
      </c>
      <c r="J488" s="367" t="s">
        <v>13</v>
      </c>
      <c r="K488" s="367" t="s">
        <v>13</v>
      </c>
      <c r="L488" s="367">
        <v>129.5</v>
      </c>
      <c r="M488" s="358" t="s">
        <v>14</v>
      </c>
      <c r="N488" s="396" t="s">
        <v>190</v>
      </c>
      <c r="O488" s="367" t="s">
        <v>27</v>
      </c>
      <c r="P488" s="201"/>
      <c r="Q488" s="367" t="s">
        <v>184</v>
      </c>
      <c r="R488" s="186">
        <v>44066</v>
      </c>
      <c r="T488" s="200">
        <v>1</v>
      </c>
    </row>
    <row r="489" spans="1:20" ht="15" customHeight="1" x14ac:dyDescent="0.3">
      <c r="A489" s="368"/>
      <c r="B489" s="368"/>
      <c r="C489" s="41">
        <v>-1500</v>
      </c>
      <c r="D489" s="371"/>
      <c r="E489" s="368"/>
      <c r="F489" s="368"/>
      <c r="G489" s="368"/>
      <c r="H489" s="368"/>
      <c r="I489" s="368"/>
      <c r="J489" s="368"/>
      <c r="K489" s="368"/>
      <c r="L489" s="368"/>
      <c r="M489" s="359"/>
      <c r="N489" s="397"/>
      <c r="O489" s="368"/>
      <c r="P489" s="226">
        <v>44066</v>
      </c>
      <c r="Q489" s="368"/>
    </row>
    <row r="490" spans="1:20" ht="15" customHeight="1" thickBot="1" x14ac:dyDescent="0.35">
      <c r="A490" s="369"/>
      <c r="B490" s="369"/>
      <c r="C490" s="42">
        <v>2700</v>
      </c>
      <c r="D490" s="372"/>
      <c r="E490" s="369"/>
      <c r="F490" s="369"/>
      <c r="G490" s="369"/>
      <c r="H490" s="369"/>
      <c r="I490" s="369"/>
      <c r="J490" s="369"/>
      <c r="K490" s="369"/>
      <c r="L490" s="369"/>
      <c r="M490" s="360"/>
      <c r="N490" s="398"/>
      <c r="O490" s="369"/>
      <c r="P490" s="203"/>
      <c r="Q490" s="369"/>
    </row>
    <row r="491" spans="1:20" ht="15" hidden="1" customHeight="1" x14ac:dyDescent="0.3">
      <c r="A491" s="367">
        <v>26</v>
      </c>
      <c r="B491" s="367" t="s">
        <v>174</v>
      </c>
      <c r="C491" s="40">
        <v>-8900</v>
      </c>
      <c r="D491" s="367">
        <v>0</v>
      </c>
      <c r="E491" s="367" t="s">
        <v>13</v>
      </c>
      <c r="F491" s="367">
        <v>800</v>
      </c>
      <c r="G491" s="367">
        <v>800</v>
      </c>
      <c r="H491" s="367" t="s">
        <v>55</v>
      </c>
      <c r="I491" s="367" t="s">
        <v>13</v>
      </c>
      <c r="J491" s="367" t="s">
        <v>13</v>
      </c>
      <c r="K491" s="367" t="s">
        <v>13</v>
      </c>
      <c r="L491" s="367">
        <v>129.5</v>
      </c>
      <c r="M491" s="358" t="s">
        <v>14</v>
      </c>
      <c r="N491" s="396" t="s">
        <v>190</v>
      </c>
      <c r="O491" s="367" t="s">
        <v>27</v>
      </c>
      <c r="P491" s="65"/>
      <c r="Q491" s="367" t="s">
        <v>184</v>
      </c>
      <c r="T491" s="200">
        <v>1</v>
      </c>
    </row>
    <row r="492" spans="1:20" ht="15" customHeight="1" x14ac:dyDescent="0.3">
      <c r="A492" s="368"/>
      <c r="B492" s="368"/>
      <c r="C492" s="41">
        <v>1500</v>
      </c>
      <c r="D492" s="368"/>
      <c r="E492" s="368"/>
      <c r="F492" s="368"/>
      <c r="G492" s="368"/>
      <c r="H492" s="368"/>
      <c r="I492" s="368"/>
      <c r="J492" s="368"/>
      <c r="K492" s="368"/>
      <c r="L492" s="368"/>
      <c r="M492" s="359"/>
      <c r="N492" s="397"/>
      <c r="O492" s="368"/>
      <c r="P492" s="226">
        <v>44066</v>
      </c>
      <c r="Q492" s="368"/>
    </row>
    <row r="493" spans="1:20" ht="15" customHeight="1" thickBot="1" x14ac:dyDescent="0.35">
      <c r="A493" s="368"/>
      <c r="B493" s="368"/>
      <c r="C493" s="40">
        <v>2700</v>
      </c>
      <c r="D493" s="368"/>
      <c r="E493" s="368"/>
      <c r="F493" s="368"/>
      <c r="G493" s="368"/>
      <c r="H493" s="368"/>
      <c r="I493" s="368"/>
      <c r="J493" s="368"/>
      <c r="K493" s="368"/>
      <c r="L493" s="368"/>
      <c r="M493" s="359"/>
      <c r="N493" s="398"/>
      <c r="O493" s="368"/>
      <c r="P493" s="66"/>
      <c r="Q493" s="369"/>
    </row>
    <row r="494" spans="1:20" ht="15" customHeight="1" thickBot="1" x14ac:dyDescent="0.35">
      <c r="A494" s="352" t="s">
        <v>71</v>
      </c>
      <c r="B494" s="353"/>
      <c r="C494" s="353"/>
      <c r="D494" s="353"/>
      <c r="E494" s="353"/>
      <c r="F494" s="353"/>
      <c r="G494" s="353"/>
      <c r="H494" s="353"/>
      <c r="I494" s="353"/>
      <c r="J494" s="353"/>
      <c r="K494" s="353"/>
      <c r="L494" s="353"/>
      <c r="M494" s="353"/>
      <c r="N494" s="353"/>
      <c r="O494" s="353"/>
      <c r="P494" s="353"/>
      <c r="Q494" s="354"/>
    </row>
    <row r="495" spans="1:20" ht="30" hidden="1" customHeight="1" x14ac:dyDescent="0.3">
      <c r="A495" s="367">
        <v>27</v>
      </c>
      <c r="B495" s="367" t="s">
        <v>191</v>
      </c>
      <c r="C495" s="40">
        <v>14700</v>
      </c>
      <c r="D495" s="367">
        <v>2</v>
      </c>
      <c r="E495" s="367" t="s">
        <v>66</v>
      </c>
      <c r="F495" s="367">
        <v>600</v>
      </c>
      <c r="G495" s="367">
        <v>600</v>
      </c>
      <c r="H495" s="367" t="s">
        <v>55</v>
      </c>
      <c r="I495" s="370">
        <v>60</v>
      </c>
      <c r="J495" s="370" t="s">
        <v>192</v>
      </c>
      <c r="K495" s="367" t="s">
        <v>193</v>
      </c>
      <c r="L495" s="367" t="s">
        <v>13</v>
      </c>
      <c r="M495" s="358" t="s">
        <v>14</v>
      </c>
      <c r="N495" s="396" t="s">
        <v>194</v>
      </c>
      <c r="O495" s="367" t="s">
        <v>27</v>
      </c>
      <c r="P495" s="65"/>
      <c r="Q495" s="367" t="s">
        <v>195</v>
      </c>
      <c r="T495" s="200">
        <v>1</v>
      </c>
    </row>
    <row r="496" spans="1:20" ht="30" customHeight="1" thickBot="1" x14ac:dyDescent="0.35">
      <c r="A496" s="368"/>
      <c r="B496" s="369"/>
      <c r="C496" s="41">
        <v>3535</v>
      </c>
      <c r="D496" s="368"/>
      <c r="E496" s="369"/>
      <c r="F496" s="368"/>
      <c r="G496" s="368"/>
      <c r="H496" s="368"/>
      <c r="I496" s="372"/>
      <c r="J496" s="372"/>
      <c r="K496" s="368"/>
      <c r="L496" s="368"/>
      <c r="M496" s="359"/>
      <c r="N496" s="397"/>
      <c r="O496" s="368"/>
      <c r="P496" s="226">
        <v>44066</v>
      </c>
      <c r="Q496" s="368"/>
    </row>
    <row r="497" spans="1:20" ht="30" customHeight="1" thickBot="1" x14ac:dyDescent="0.35">
      <c r="A497" s="369"/>
      <c r="B497" s="42" t="s">
        <v>191</v>
      </c>
      <c r="C497" s="42">
        <v>1940</v>
      </c>
      <c r="D497" s="369"/>
      <c r="E497" s="42" t="s">
        <v>66</v>
      </c>
      <c r="F497" s="369"/>
      <c r="G497" s="369"/>
      <c r="H497" s="369"/>
      <c r="I497" s="39">
        <v>60</v>
      </c>
      <c r="J497" s="39" t="s">
        <v>196</v>
      </c>
      <c r="K497" s="369"/>
      <c r="L497" s="369"/>
      <c r="M497" s="360"/>
      <c r="N497" s="398"/>
      <c r="O497" s="369"/>
      <c r="P497" s="67"/>
      <c r="Q497" s="369"/>
    </row>
    <row r="498" spans="1:20" ht="20.100000000000001" hidden="1" customHeight="1" thickBot="1" x14ac:dyDescent="0.35">
      <c r="A498" s="370">
        <v>28</v>
      </c>
      <c r="B498" s="39" t="s">
        <v>191</v>
      </c>
      <c r="C498" s="37">
        <v>14700</v>
      </c>
      <c r="D498" s="370">
        <v>4</v>
      </c>
      <c r="E498" s="39" t="s">
        <v>66</v>
      </c>
      <c r="F498" s="367">
        <v>600</v>
      </c>
      <c r="G498" s="367">
        <v>600</v>
      </c>
      <c r="H498" s="367" t="s">
        <v>55</v>
      </c>
      <c r="I498" s="39">
        <v>60</v>
      </c>
      <c r="J498" s="39" t="s">
        <v>197</v>
      </c>
      <c r="K498" s="367" t="s">
        <v>193</v>
      </c>
      <c r="L498" s="367" t="s">
        <v>13</v>
      </c>
      <c r="M498" s="358" t="s">
        <v>14</v>
      </c>
      <c r="N498" s="396" t="s">
        <v>194</v>
      </c>
      <c r="O498" s="367" t="s">
        <v>27</v>
      </c>
      <c r="P498" s="65"/>
      <c r="Q498" s="370" t="s">
        <v>198</v>
      </c>
      <c r="T498" s="200">
        <v>1</v>
      </c>
    </row>
    <row r="499" spans="1:20" ht="20.100000000000001" customHeight="1" thickBot="1" x14ac:dyDescent="0.35">
      <c r="A499" s="371"/>
      <c r="B499" s="39" t="s">
        <v>191</v>
      </c>
      <c r="C499" s="38">
        <v>3075</v>
      </c>
      <c r="D499" s="371"/>
      <c r="E499" s="42" t="s">
        <v>66</v>
      </c>
      <c r="F499" s="368"/>
      <c r="G499" s="368"/>
      <c r="H499" s="368"/>
      <c r="I499" s="39">
        <v>60</v>
      </c>
      <c r="J499" s="39" t="s">
        <v>199</v>
      </c>
      <c r="K499" s="368"/>
      <c r="L499" s="368"/>
      <c r="M499" s="359"/>
      <c r="N499" s="397"/>
      <c r="O499" s="368"/>
      <c r="P499" s="226">
        <v>44066</v>
      </c>
      <c r="Q499" s="371"/>
    </row>
    <row r="500" spans="1:20" ht="20.100000000000001" customHeight="1" thickBot="1" x14ac:dyDescent="0.35">
      <c r="A500" s="371"/>
      <c r="B500" s="39" t="s">
        <v>191</v>
      </c>
      <c r="C500" s="38">
        <v>1940</v>
      </c>
      <c r="D500" s="371"/>
      <c r="E500" s="42" t="s">
        <v>66</v>
      </c>
      <c r="F500" s="368"/>
      <c r="G500" s="368"/>
      <c r="H500" s="368"/>
      <c r="I500" s="39">
        <v>60</v>
      </c>
      <c r="J500" s="52" t="s">
        <v>560</v>
      </c>
      <c r="K500" s="368"/>
      <c r="L500" s="368"/>
      <c r="M500" s="359"/>
      <c r="N500" s="397"/>
      <c r="O500" s="368"/>
      <c r="P500" s="66"/>
      <c r="Q500" s="371"/>
    </row>
    <row r="501" spans="1:20" ht="20.100000000000001" customHeight="1" thickBot="1" x14ac:dyDescent="0.35">
      <c r="A501" s="372"/>
      <c r="B501" s="39" t="s">
        <v>191</v>
      </c>
      <c r="C501" s="53"/>
      <c r="D501" s="372"/>
      <c r="E501" s="42" t="s">
        <v>66</v>
      </c>
      <c r="F501" s="369"/>
      <c r="G501" s="369"/>
      <c r="H501" s="369"/>
      <c r="I501" s="39">
        <v>60</v>
      </c>
      <c r="J501" s="52" t="s">
        <v>561</v>
      </c>
      <c r="K501" s="369"/>
      <c r="L501" s="369"/>
      <c r="M501" s="360"/>
      <c r="N501" s="398"/>
      <c r="O501" s="369"/>
      <c r="P501" s="67"/>
      <c r="Q501" s="372"/>
    </row>
    <row r="502" spans="1:20" ht="15" hidden="1" customHeight="1" x14ac:dyDescent="0.3">
      <c r="A502" s="370">
        <v>29</v>
      </c>
      <c r="B502" s="370" t="s">
        <v>200</v>
      </c>
      <c r="C502" s="37">
        <v>18200</v>
      </c>
      <c r="D502" s="370">
        <v>1</v>
      </c>
      <c r="E502" s="370" t="s">
        <v>201</v>
      </c>
      <c r="F502" s="370">
        <v>600</v>
      </c>
      <c r="G502" s="370">
        <v>600</v>
      </c>
      <c r="H502" s="370" t="s">
        <v>55</v>
      </c>
      <c r="I502" s="370">
        <v>300</v>
      </c>
      <c r="J502" s="370" t="s">
        <v>45</v>
      </c>
      <c r="K502" s="370">
        <v>90</v>
      </c>
      <c r="L502" s="370">
        <v>-27</v>
      </c>
      <c r="M502" s="358" t="s">
        <v>14</v>
      </c>
      <c r="N502" s="399" t="s">
        <v>180</v>
      </c>
      <c r="O502" s="367" t="s">
        <v>27</v>
      </c>
      <c r="P502" s="201"/>
      <c r="Q502" s="367" t="s">
        <v>202</v>
      </c>
      <c r="R502" s="186">
        <v>44066</v>
      </c>
      <c r="T502" s="200">
        <v>1</v>
      </c>
    </row>
    <row r="503" spans="1:20" ht="15" customHeight="1" x14ac:dyDescent="0.3">
      <c r="A503" s="371"/>
      <c r="B503" s="371"/>
      <c r="C503" s="38">
        <v>2715</v>
      </c>
      <c r="D503" s="371"/>
      <c r="E503" s="371"/>
      <c r="F503" s="371"/>
      <c r="G503" s="371"/>
      <c r="H503" s="371"/>
      <c r="I503" s="371"/>
      <c r="J503" s="371"/>
      <c r="K503" s="371"/>
      <c r="L503" s="371"/>
      <c r="M503" s="359"/>
      <c r="N503" s="400"/>
      <c r="O503" s="368"/>
      <c r="P503" s="202"/>
      <c r="Q503" s="368"/>
    </row>
    <row r="504" spans="1:20" ht="15" customHeight="1" thickBot="1" x14ac:dyDescent="0.35">
      <c r="A504" s="372"/>
      <c r="B504" s="372"/>
      <c r="C504" s="39">
        <v>400</v>
      </c>
      <c r="D504" s="372"/>
      <c r="E504" s="372"/>
      <c r="F504" s="372"/>
      <c r="G504" s="372"/>
      <c r="H504" s="372"/>
      <c r="I504" s="372"/>
      <c r="J504" s="372"/>
      <c r="K504" s="372"/>
      <c r="L504" s="372"/>
      <c r="M504" s="360"/>
      <c r="N504" s="401"/>
      <c r="O504" s="369"/>
      <c r="P504" s="227">
        <v>44066</v>
      </c>
      <c r="Q504" s="369"/>
    </row>
    <row r="505" spans="1:20" ht="15" hidden="1" customHeight="1" x14ac:dyDescent="0.3">
      <c r="A505" s="370">
        <v>30</v>
      </c>
      <c r="B505" s="370" t="s">
        <v>200</v>
      </c>
      <c r="C505" s="37">
        <v>18200</v>
      </c>
      <c r="D505" s="370">
        <v>1</v>
      </c>
      <c r="E505" s="370" t="s">
        <v>201</v>
      </c>
      <c r="F505" s="370">
        <v>600</v>
      </c>
      <c r="G505" s="370">
        <v>600</v>
      </c>
      <c r="H505" s="370" t="s">
        <v>55</v>
      </c>
      <c r="I505" s="370">
        <v>300</v>
      </c>
      <c r="J505" s="370" t="s">
        <v>45</v>
      </c>
      <c r="K505" s="370">
        <v>90</v>
      </c>
      <c r="L505" s="370">
        <v>-27</v>
      </c>
      <c r="M505" s="358" t="s">
        <v>14</v>
      </c>
      <c r="N505" s="399" t="s">
        <v>180</v>
      </c>
      <c r="O505" s="367" t="s">
        <v>27</v>
      </c>
      <c r="P505" s="201"/>
      <c r="Q505" s="367" t="s">
        <v>202</v>
      </c>
      <c r="R505" s="186">
        <v>44066</v>
      </c>
      <c r="T505" s="200">
        <v>1</v>
      </c>
    </row>
    <row r="506" spans="1:20" ht="15" customHeight="1" x14ac:dyDescent="0.3">
      <c r="A506" s="371"/>
      <c r="B506" s="371"/>
      <c r="C506" s="38">
        <v>3275</v>
      </c>
      <c r="D506" s="371"/>
      <c r="E506" s="371"/>
      <c r="F506" s="371"/>
      <c r="G506" s="371"/>
      <c r="H506" s="371"/>
      <c r="I506" s="371"/>
      <c r="J506" s="371"/>
      <c r="K506" s="371"/>
      <c r="L506" s="371"/>
      <c r="M506" s="359"/>
      <c r="N506" s="400"/>
      <c r="O506" s="368"/>
      <c r="P506" s="226">
        <v>44066</v>
      </c>
      <c r="Q506" s="368"/>
    </row>
    <row r="507" spans="1:20" ht="15" customHeight="1" thickBot="1" x14ac:dyDescent="0.35">
      <c r="A507" s="372"/>
      <c r="B507" s="372"/>
      <c r="C507" s="39">
        <v>400</v>
      </c>
      <c r="D507" s="372"/>
      <c r="E507" s="372"/>
      <c r="F507" s="372"/>
      <c r="G507" s="372"/>
      <c r="H507" s="372"/>
      <c r="I507" s="372"/>
      <c r="J507" s="372"/>
      <c r="K507" s="372"/>
      <c r="L507" s="372"/>
      <c r="M507" s="360"/>
      <c r="N507" s="401"/>
      <c r="O507" s="369"/>
      <c r="P507" s="203"/>
      <c r="Q507" s="369"/>
    </row>
    <row r="508" spans="1:20" ht="15" hidden="1" customHeight="1" x14ac:dyDescent="0.3">
      <c r="A508" s="370">
        <v>31</v>
      </c>
      <c r="B508" s="370" t="s">
        <v>203</v>
      </c>
      <c r="C508" s="37">
        <v>16825</v>
      </c>
      <c r="D508" s="370">
        <v>1</v>
      </c>
      <c r="E508" s="370" t="s">
        <v>204</v>
      </c>
      <c r="F508" s="370">
        <v>600</v>
      </c>
      <c r="G508" s="370">
        <v>600</v>
      </c>
      <c r="H508" s="370" t="s">
        <v>25</v>
      </c>
      <c r="I508" s="370">
        <v>30</v>
      </c>
      <c r="J508" s="370">
        <f>-0.36/0.48</f>
        <v>-0.75</v>
      </c>
      <c r="K508" s="370">
        <v>0</v>
      </c>
      <c r="L508" s="370">
        <v>45</v>
      </c>
      <c r="M508" s="358" t="s">
        <v>14</v>
      </c>
      <c r="N508" s="399" t="s">
        <v>180</v>
      </c>
      <c r="O508" s="367" t="s">
        <v>27</v>
      </c>
      <c r="P508" s="201"/>
      <c r="Q508" s="367" t="s">
        <v>205</v>
      </c>
      <c r="R508" s="186">
        <v>44066</v>
      </c>
      <c r="T508" s="200">
        <v>1</v>
      </c>
    </row>
    <row r="509" spans="1:20" ht="15" customHeight="1" x14ac:dyDescent="0.3">
      <c r="A509" s="371"/>
      <c r="B509" s="371"/>
      <c r="C509" s="38">
        <v>8800</v>
      </c>
      <c r="D509" s="371"/>
      <c r="E509" s="371"/>
      <c r="F509" s="371"/>
      <c r="G509" s="371"/>
      <c r="H509" s="371"/>
      <c r="I509" s="371"/>
      <c r="J509" s="371"/>
      <c r="K509" s="371"/>
      <c r="L509" s="371"/>
      <c r="M509" s="359"/>
      <c r="N509" s="400"/>
      <c r="O509" s="368"/>
      <c r="P509" s="226">
        <v>44066</v>
      </c>
      <c r="Q509" s="368"/>
    </row>
    <row r="510" spans="1:20" ht="15" customHeight="1" thickBot="1" x14ac:dyDescent="0.35">
      <c r="A510" s="372"/>
      <c r="B510" s="372"/>
      <c r="C510" s="39">
        <v>225</v>
      </c>
      <c r="D510" s="372"/>
      <c r="E510" s="372"/>
      <c r="F510" s="372"/>
      <c r="G510" s="372"/>
      <c r="H510" s="372"/>
      <c r="I510" s="372"/>
      <c r="J510" s="372"/>
      <c r="K510" s="372"/>
      <c r="L510" s="372"/>
      <c r="M510" s="360"/>
      <c r="N510" s="401"/>
      <c r="O510" s="369"/>
      <c r="P510" s="203"/>
      <c r="Q510" s="369"/>
    </row>
    <row r="511" spans="1:20" ht="15" hidden="1" customHeight="1" x14ac:dyDescent="0.3">
      <c r="A511" s="370">
        <v>32</v>
      </c>
      <c r="B511" s="370" t="s">
        <v>203</v>
      </c>
      <c r="C511" s="37">
        <v>17650</v>
      </c>
      <c r="D511" s="370">
        <v>1</v>
      </c>
      <c r="E511" s="370" t="s">
        <v>204</v>
      </c>
      <c r="F511" s="370">
        <v>550</v>
      </c>
      <c r="G511" s="370">
        <v>400</v>
      </c>
      <c r="H511" s="370" t="s">
        <v>107</v>
      </c>
      <c r="I511" s="370">
        <v>60</v>
      </c>
      <c r="J511" s="370" t="s">
        <v>206</v>
      </c>
      <c r="K511" s="370">
        <v>30</v>
      </c>
      <c r="L511" s="370">
        <v>3</v>
      </c>
      <c r="M511" s="358" t="s">
        <v>14</v>
      </c>
      <c r="N511" s="399" t="s">
        <v>207</v>
      </c>
      <c r="O511" s="367" t="s">
        <v>27</v>
      </c>
      <c r="P511" s="201"/>
      <c r="Q511" s="367" t="s">
        <v>208</v>
      </c>
      <c r="R511" s="186">
        <v>44066</v>
      </c>
      <c r="T511" s="200">
        <v>1</v>
      </c>
    </row>
    <row r="512" spans="1:20" ht="15" customHeight="1" x14ac:dyDescent="0.3">
      <c r="A512" s="371"/>
      <c r="B512" s="371"/>
      <c r="C512" s="38">
        <v>2250</v>
      </c>
      <c r="D512" s="371"/>
      <c r="E512" s="371"/>
      <c r="F512" s="371"/>
      <c r="G512" s="371"/>
      <c r="H512" s="371"/>
      <c r="I512" s="371"/>
      <c r="J512" s="371"/>
      <c r="K512" s="371"/>
      <c r="L512" s="371"/>
      <c r="M512" s="359"/>
      <c r="N512" s="400"/>
      <c r="O512" s="368"/>
      <c r="P512" s="226">
        <v>44066</v>
      </c>
      <c r="Q512" s="368"/>
    </row>
    <row r="513" spans="1:20" ht="15" customHeight="1" thickBot="1" x14ac:dyDescent="0.35">
      <c r="A513" s="372"/>
      <c r="B513" s="372"/>
      <c r="C513" s="39">
        <v>2477</v>
      </c>
      <c r="D513" s="372"/>
      <c r="E513" s="372"/>
      <c r="F513" s="372"/>
      <c r="G513" s="372"/>
      <c r="H513" s="372"/>
      <c r="I513" s="372"/>
      <c r="J513" s="372"/>
      <c r="K513" s="372"/>
      <c r="L513" s="372"/>
      <c r="M513" s="360"/>
      <c r="N513" s="401"/>
      <c r="O513" s="369"/>
      <c r="P513" s="203"/>
      <c r="Q513" s="369"/>
    </row>
    <row r="514" spans="1:20" ht="15" hidden="1" customHeight="1" x14ac:dyDescent="0.3">
      <c r="A514" s="370">
        <v>33</v>
      </c>
      <c r="B514" s="370" t="s">
        <v>203</v>
      </c>
      <c r="C514" s="37">
        <v>17650</v>
      </c>
      <c r="D514" s="370">
        <v>1</v>
      </c>
      <c r="E514" s="370" t="s">
        <v>209</v>
      </c>
      <c r="F514" s="370">
        <v>550</v>
      </c>
      <c r="G514" s="370">
        <v>400</v>
      </c>
      <c r="H514" s="370" t="s">
        <v>107</v>
      </c>
      <c r="I514" s="370">
        <v>60</v>
      </c>
      <c r="J514" s="370" t="s">
        <v>210</v>
      </c>
      <c r="K514" s="370">
        <v>30</v>
      </c>
      <c r="L514" s="370">
        <v>15.5</v>
      </c>
      <c r="M514" s="358" t="s">
        <v>14</v>
      </c>
      <c r="N514" s="399" t="s">
        <v>207</v>
      </c>
      <c r="O514" s="367" t="s">
        <v>27</v>
      </c>
      <c r="P514" s="201"/>
      <c r="Q514" s="367" t="s">
        <v>211</v>
      </c>
      <c r="R514" s="186">
        <v>44066</v>
      </c>
      <c r="T514" s="200">
        <v>1</v>
      </c>
    </row>
    <row r="515" spans="1:20" ht="15" customHeight="1" x14ac:dyDescent="0.3">
      <c r="A515" s="371"/>
      <c r="B515" s="371"/>
      <c r="C515" s="38">
        <v>3450</v>
      </c>
      <c r="D515" s="371"/>
      <c r="E515" s="371"/>
      <c r="F515" s="371"/>
      <c r="G515" s="371"/>
      <c r="H515" s="371"/>
      <c r="I515" s="371"/>
      <c r="J515" s="371"/>
      <c r="K515" s="371"/>
      <c r="L515" s="371"/>
      <c r="M515" s="359"/>
      <c r="N515" s="400"/>
      <c r="O515" s="368"/>
      <c r="P515" s="226">
        <v>44066</v>
      </c>
      <c r="Q515" s="368"/>
    </row>
    <row r="516" spans="1:20" ht="15" customHeight="1" thickBot="1" x14ac:dyDescent="0.35">
      <c r="A516" s="372"/>
      <c r="B516" s="372"/>
      <c r="C516" s="39">
        <v>2477</v>
      </c>
      <c r="D516" s="372"/>
      <c r="E516" s="372"/>
      <c r="F516" s="372"/>
      <c r="G516" s="372"/>
      <c r="H516" s="372"/>
      <c r="I516" s="372"/>
      <c r="J516" s="372"/>
      <c r="K516" s="372"/>
      <c r="L516" s="372"/>
      <c r="M516" s="360"/>
      <c r="N516" s="401"/>
      <c r="O516" s="369"/>
      <c r="P516" s="203"/>
      <c r="Q516" s="369"/>
    </row>
    <row r="517" spans="1:20" ht="15" hidden="1" customHeight="1" x14ac:dyDescent="0.3">
      <c r="A517" s="367">
        <v>34</v>
      </c>
      <c r="B517" s="367" t="s">
        <v>174</v>
      </c>
      <c r="C517" s="40">
        <v>16335</v>
      </c>
      <c r="D517" s="367">
        <v>0</v>
      </c>
      <c r="E517" s="367" t="s">
        <v>13</v>
      </c>
      <c r="F517" s="367">
        <v>550</v>
      </c>
      <c r="G517" s="370">
        <v>400</v>
      </c>
      <c r="H517" s="367" t="s">
        <v>107</v>
      </c>
      <c r="I517" s="367" t="s">
        <v>13</v>
      </c>
      <c r="J517" s="367" t="s">
        <v>13</v>
      </c>
      <c r="K517" s="367" t="s">
        <v>13</v>
      </c>
      <c r="L517" s="367" t="s">
        <v>13</v>
      </c>
      <c r="M517" s="358" t="s">
        <v>14</v>
      </c>
      <c r="N517" s="396" t="s">
        <v>207</v>
      </c>
      <c r="O517" s="367" t="s">
        <v>27</v>
      </c>
      <c r="P517" s="201"/>
      <c r="Q517" s="367" t="s">
        <v>176</v>
      </c>
      <c r="R517" s="186">
        <v>44066</v>
      </c>
      <c r="T517" s="200">
        <v>1</v>
      </c>
    </row>
    <row r="518" spans="1:20" ht="15" customHeight="1" x14ac:dyDescent="0.3">
      <c r="A518" s="368"/>
      <c r="B518" s="368"/>
      <c r="C518" s="41">
        <v>5150</v>
      </c>
      <c r="D518" s="368"/>
      <c r="E518" s="368"/>
      <c r="F518" s="368"/>
      <c r="G518" s="371"/>
      <c r="H518" s="368"/>
      <c r="I518" s="368"/>
      <c r="J518" s="368"/>
      <c r="K518" s="368"/>
      <c r="L518" s="368"/>
      <c r="M518" s="359"/>
      <c r="N518" s="397"/>
      <c r="O518" s="368"/>
      <c r="P518" s="226">
        <v>44066</v>
      </c>
      <c r="Q518" s="368"/>
    </row>
    <row r="519" spans="1:20" ht="15" customHeight="1" thickBot="1" x14ac:dyDescent="0.35">
      <c r="A519" s="369"/>
      <c r="B519" s="369"/>
      <c r="C519" s="42">
        <v>2477</v>
      </c>
      <c r="D519" s="369"/>
      <c r="E519" s="369"/>
      <c r="F519" s="369"/>
      <c r="G519" s="372"/>
      <c r="H519" s="369"/>
      <c r="I519" s="369"/>
      <c r="J519" s="369"/>
      <c r="K519" s="369"/>
      <c r="L519" s="369"/>
      <c r="M519" s="360"/>
      <c r="N519" s="398"/>
      <c r="O519" s="369"/>
      <c r="P519" s="203"/>
      <c r="Q519" s="369"/>
    </row>
    <row r="520" spans="1:20" ht="15" hidden="1" customHeight="1" x14ac:dyDescent="0.3">
      <c r="A520" s="367">
        <v>35</v>
      </c>
      <c r="B520" s="367" t="s">
        <v>174</v>
      </c>
      <c r="C520" s="40">
        <v>16335</v>
      </c>
      <c r="D520" s="367">
        <v>0</v>
      </c>
      <c r="E520" s="367" t="s">
        <v>13</v>
      </c>
      <c r="F520" s="367">
        <v>550</v>
      </c>
      <c r="G520" s="370">
        <v>400</v>
      </c>
      <c r="H520" s="367" t="s">
        <v>107</v>
      </c>
      <c r="I520" s="367" t="s">
        <v>13</v>
      </c>
      <c r="J520" s="367" t="s">
        <v>13</v>
      </c>
      <c r="K520" s="367" t="s">
        <v>13</v>
      </c>
      <c r="L520" s="367" t="s">
        <v>13</v>
      </c>
      <c r="M520" s="358" t="s">
        <v>14</v>
      </c>
      <c r="N520" s="396" t="s">
        <v>207</v>
      </c>
      <c r="O520" s="367" t="s">
        <v>27</v>
      </c>
      <c r="P520" s="201"/>
      <c r="Q520" s="367" t="s">
        <v>176</v>
      </c>
      <c r="R520" s="186">
        <v>44066</v>
      </c>
      <c r="T520" s="200">
        <v>1</v>
      </c>
    </row>
    <row r="521" spans="1:20" ht="15" customHeight="1" x14ac:dyDescent="0.3">
      <c r="A521" s="368"/>
      <c r="B521" s="368"/>
      <c r="C521" s="41">
        <v>5500</v>
      </c>
      <c r="D521" s="368"/>
      <c r="E521" s="368"/>
      <c r="F521" s="368"/>
      <c r="G521" s="371"/>
      <c r="H521" s="368"/>
      <c r="I521" s="368"/>
      <c r="J521" s="368"/>
      <c r="K521" s="368"/>
      <c r="L521" s="368"/>
      <c r="M521" s="359"/>
      <c r="N521" s="397"/>
      <c r="O521" s="368"/>
      <c r="P521" s="226">
        <v>44066</v>
      </c>
      <c r="Q521" s="368"/>
    </row>
    <row r="522" spans="1:20" ht="15" customHeight="1" thickBot="1" x14ac:dyDescent="0.35">
      <c r="A522" s="369"/>
      <c r="B522" s="369"/>
      <c r="C522" s="42">
        <v>2477</v>
      </c>
      <c r="D522" s="369"/>
      <c r="E522" s="369"/>
      <c r="F522" s="369"/>
      <c r="G522" s="372"/>
      <c r="H522" s="369"/>
      <c r="I522" s="369"/>
      <c r="J522" s="369"/>
      <c r="K522" s="369"/>
      <c r="L522" s="369"/>
      <c r="M522" s="360"/>
      <c r="N522" s="398"/>
      <c r="O522" s="369"/>
      <c r="P522" s="203"/>
      <c r="Q522" s="369"/>
    </row>
    <row r="523" spans="1:20" ht="15" hidden="1" customHeight="1" x14ac:dyDescent="0.3">
      <c r="A523" s="367">
        <v>36</v>
      </c>
      <c r="B523" s="367" t="s">
        <v>174</v>
      </c>
      <c r="C523" s="40">
        <v>17110</v>
      </c>
      <c r="D523" s="367">
        <v>0</v>
      </c>
      <c r="E523" s="367" t="s">
        <v>13</v>
      </c>
      <c r="F523" s="367">
        <v>550</v>
      </c>
      <c r="G523" s="370">
        <v>400</v>
      </c>
      <c r="H523" s="367" t="s">
        <v>107</v>
      </c>
      <c r="I523" s="367" t="s">
        <v>13</v>
      </c>
      <c r="J523" s="367" t="s">
        <v>13</v>
      </c>
      <c r="K523" s="367" t="s">
        <v>13</v>
      </c>
      <c r="L523" s="367" t="s">
        <v>13</v>
      </c>
      <c r="M523" s="358" t="s">
        <v>14</v>
      </c>
      <c r="N523" s="396" t="s">
        <v>207</v>
      </c>
      <c r="O523" s="367" t="s">
        <v>27</v>
      </c>
      <c r="P523" s="201"/>
      <c r="Q523" s="367" t="s">
        <v>176</v>
      </c>
      <c r="T523" s="200">
        <v>1</v>
      </c>
    </row>
    <row r="524" spans="1:20" ht="15" customHeight="1" x14ac:dyDescent="0.3">
      <c r="A524" s="368"/>
      <c r="B524" s="368"/>
      <c r="C524" s="40">
        <v>7045</v>
      </c>
      <c r="D524" s="368"/>
      <c r="E524" s="368"/>
      <c r="F524" s="368"/>
      <c r="G524" s="371"/>
      <c r="H524" s="368"/>
      <c r="I524" s="368"/>
      <c r="J524" s="368"/>
      <c r="K524" s="368"/>
      <c r="L524" s="368"/>
      <c r="M524" s="359"/>
      <c r="N524" s="397"/>
      <c r="O524" s="368"/>
      <c r="P524" s="226">
        <v>44066</v>
      </c>
      <c r="Q524" s="368"/>
      <c r="R524" s="186">
        <v>44066</v>
      </c>
    </row>
    <row r="525" spans="1:20" ht="15" customHeight="1" thickBot="1" x14ac:dyDescent="0.35">
      <c r="A525" s="369"/>
      <c r="B525" s="369"/>
      <c r="C525" s="42">
        <v>2477</v>
      </c>
      <c r="D525" s="369"/>
      <c r="E525" s="369"/>
      <c r="F525" s="369"/>
      <c r="G525" s="372"/>
      <c r="H525" s="369"/>
      <c r="I525" s="369"/>
      <c r="J525" s="369"/>
      <c r="K525" s="369"/>
      <c r="L525" s="369"/>
      <c r="M525" s="360"/>
      <c r="N525" s="398"/>
      <c r="O525" s="369"/>
      <c r="P525" s="203"/>
      <c r="Q525" s="369"/>
    </row>
    <row r="526" spans="1:20" ht="15" hidden="1" customHeight="1" x14ac:dyDescent="0.3">
      <c r="A526" s="370">
        <v>37</v>
      </c>
      <c r="B526" s="370" t="s">
        <v>200</v>
      </c>
      <c r="C526" s="37">
        <v>15960</v>
      </c>
      <c r="D526" s="370">
        <v>1</v>
      </c>
      <c r="E526" s="370" t="s">
        <v>201</v>
      </c>
      <c r="F526" s="367">
        <v>550</v>
      </c>
      <c r="G526" s="370">
        <v>400</v>
      </c>
      <c r="H526" s="370" t="s">
        <v>55</v>
      </c>
      <c r="I526" s="370">
        <v>300</v>
      </c>
      <c r="J526" s="370" t="s">
        <v>45</v>
      </c>
      <c r="K526" s="370">
        <v>90</v>
      </c>
      <c r="L526" s="370">
        <v>-27</v>
      </c>
      <c r="M526" s="358" t="s">
        <v>14</v>
      </c>
      <c r="N526" s="399" t="s">
        <v>207</v>
      </c>
      <c r="O526" s="367" t="s">
        <v>27</v>
      </c>
      <c r="P526" s="201"/>
      <c r="Q526" s="367" t="s">
        <v>212</v>
      </c>
      <c r="T526" s="200">
        <v>1</v>
      </c>
    </row>
    <row r="527" spans="1:20" ht="15" customHeight="1" x14ac:dyDescent="0.3">
      <c r="A527" s="371"/>
      <c r="B527" s="371"/>
      <c r="C527" s="38">
        <v>2715</v>
      </c>
      <c r="D527" s="371"/>
      <c r="E527" s="371"/>
      <c r="F527" s="368"/>
      <c r="G527" s="371"/>
      <c r="H527" s="371"/>
      <c r="I527" s="371"/>
      <c r="J527" s="371"/>
      <c r="K527" s="371"/>
      <c r="L527" s="371"/>
      <c r="M527" s="359"/>
      <c r="N527" s="400"/>
      <c r="O527" s="368"/>
      <c r="P527" s="226">
        <v>44066</v>
      </c>
      <c r="Q527" s="368"/>
      <c r="R527" s="186">
        <v>44066</v>
      </c>
    </row>
    <row r="528" spans="1:20" ht="15" customHeight="1" thickBot="1" x14ac:dyDescent="0.35">
      <c r="A528" s="372"/>
      <c r="B528" s="372"/>
      <c r="C528" s="39">
        <v>2477</v>
      </c>
      <c r="D528" s="372"/>
      <c r="E528" s="372"/>
      <c r="F528" s="369"/>
      <c r="G528" s="372"/>
      <c r="H528" s="372"/>
      <c r="I528" s="372"/>
      <c r="J528" s="372"/>
      <c r="K528" s="372"/>
      <c r="L528" s="372"/>
      <c r="M528" s="360"/>
      <c r="N528" s="401"/>
      <c r="O528" s="369"/>
      <c r="P528" s="203"/>
      <c r="Q528" s="369"/>
    </row>
    <row r="529" spans="1:20" ht="15" hidden="1" customHeight="1" x14ac:dyDescent="0.3">
      <c r="A529" s="367">
        <v>38</v>
      </c>
      <c r="B529" s="367" t="s">
        <v>174</v>
      </c>
      <c r="C529" s="40">
        <v>15700</v>
      </c>
      <c r="D529" s="367">
        <v>0</v>
      </c>
      <c r="E529" s="367" t="s">
        <v>13</v>
      </c>
      <c r="F529" s="367">
        <v>550</v>
      </c>
      <c r="G529" s="370">
        <v>400</v>
      </c>
      <c r="H529" s="367" t="s">
        <v>55</v>
      </c>
      <c r="I529" s="367" t="s">
        <v>13</v>
      </c>
      <c r="J529" s="367" t="s">
        <v>13</v>
      </c>
      <c r="K529" s="367" t="s">
        <v>13</v>
      </c>
      <c r="L529" s="367" t="s">
        <v>13</v>
      </c>
      <c r="M529" s="358" t="s">
        <v>14</v>
      </c>
      <c r="N529" s="396" t="s">
        <v>207</v>
      </c>
      <c r="O529" s="367" t="s">
        <v>27</v>
      </c>
      <c r="P529" s="201"/>
      <c r="Q529" s="367" t="s">
        <v>176</v>
      </c>
      <c r="T529" s="200">
        <v>1</v>
      </c>
    </row>
    <row r="530" spans="1:20" ht="15" customHeight="1" x14ac:dyDescent="0.3">
      <c r="A530" s="368"/>
      <c r="B530" s="368"/>
      <c r="C530" s="41">
        <v>3250</v>
      </c>
      <c r="D530" s="368"/>
      <c r="E530" s="368"/>
      <c r="F530" s="368"/>
      <c r="G530" s="371"/>
      <c r="H530" s="368"/>
      <c r="I530" s="368"/>
      <c r="J530" s="368"/>
      <c r="K530" s="368"/>
      <c r="L530" s="368"/>
      <c r="M530" s="359"/>
      <c r="N530" s="397"/>
      <c r="O530" s="368"/>
      <c r="P530" s="226">
        <v>44066</v>
      </c>
      <c r="Q530" s="368"/>
      <c r="R530" s="186">
        <v>44066</v>
      </c>
    </row>
    <row r="531" spans="1:20" ht="15" customHeight="1" thickBot="1" x14ac:dyDescent="0.35">
      <c r="A531" s="369"/>
      <c r="B531" s="369"/>
      <c r="C531" s="42">
        <v>2477</v>
      </c>
      <c r="D531" s="369"/>
      <c r="E531" s="369"/>
      <c r="F531" s="369"/>
      <c r="G531" s="372"/>
      <c r="H531" s="369"/>
      <c r="I531" s="369"/>
      <c r="J531" s="369"/>
      <c r="K531" s="369"/>
      <c r="L531" s="369"/>
      <c r="M531" s="360"/>
      <c r="N531" s="398"/>
      <c r="O531" s="369"/>
      <c r="P531" s="203"/>
      <c r="Q531" s="369"/>
    </row>
    <row r="532" spans="1:20" ht="15" hidden="1" customHeight="1" x14ac:dyDescent="0.3">
      <c r="A532" s="367">
        <v>39</v>
      </c>
      <c r="B532" s="367" t="s">
        <v>174</v>
      </c>
      <c r="C532" s="40">
        <v>15510</v>
      </c>
      <c r="D532" s="367">
        <v>0</v>
      </c>
      <c r="E532" s="367" t="s">
        <v>13</v>
      </c>
      <c r="F532" s="367">
        <v>550</v>
      </c>
      <c r="G532" s="370">
        <v>400</v>
      </c>
      <c r="H532" s="367" t="s">
        <v>55</v>
      </c>
      <c r="I532" s="367" t="s">
        <v>13</v>
      </c>
      <c r="J532" s="367" t="s">
        <v>13</v>
      </c>
      <c r="K532" s="367" t="s">
        <v>13</v>
      </c>
      <c r="L532" s="367" t="s">
        <v>13</v>
      </c>
      <c r="M532" s="358" t="s">
        <v>14</v>
      </c>
      <c r="N532" s="396" t="s">
        <v>207</v>
      </c>
      <c r="O532" s="367" t="s">
        <v>27</v>
      </c>
      <c r="P532" s="228">
        <v>44066</v>
      </c>
      <c r="Q532" s="367" t="s">
        <v>176</v>
      </c>
      <c r="T532" s="200">
        <v>1</v>
      </c>
    </row>
    <row r="533" spans="1:20" ht="15" customHeight="1" x14ac:dyDescent="0.3">
      <c r="A533" s="368"/>
      <c r="B533" s="368"/>
      <c r="C533" s="41">
        <v>6295</v>
      </c>
      <c r="D533" s="368"/>
      <c r="E533" s="368"/>
      <c r="F533" s="368"/>
      <c r="G533" s="371"/>
      <c r="H533" s="368"/>
      <c r="I533" s="368"/>
      <c r="J533" s="368"/>
      <c r="K533" s="368"/>
      <c r="L533" s="368"/>
      <c r="M533" s="359"/>
      <c r="N533" s="397"/>
      <c r="O533" s="368"/>
      <c r="P533" s="202"/>
      <c r="Q533" s="368"/>
      <c r="R533" s="186"/>
    </row>
    <row r="534" spans="1:20" ht="15" customHeight="1" thickBot="1" x14ac:dyDescent="0.35">
      <c r="A534" s="369"/>
      <c r="B534" s="369"/>
      <c r="C534" s="42">
        <v>2477</v>
      </c>
      <c r="D534" s="369"/>
      <c r="E534" s="369"/>
      <c r="F534" s="369"/>
      <c r="G534" s="372"/>
      <c r="H534" s="369"/>
      <c r="I534" s="369"/>
      <c r="J534" s="369"/>
      <c r="K534" s="369"/>
      <c r="L534" s="369"/>
      <c r="M534" s="360"/>
      <c r="N534" s="398"/>
      <c r="O534" s="369"/>
      <c r="P534" s="203"/>
      <c r="Q534" s="369"/>
      <c r="R534" s="186">
        <v>44066</v>
      </c>
    </row>
    <row r="535" spans="1:20" ht="15" hidden="1" customHeight="1" x14ac:dyDescent="0.3">
      <c r="A535" s="370">
        <v>40</v>
      </c>
      <c r="B535" s="370" t="s">
        <v>200</v>
      </c>
      <c r="C535" s="37">
        <v>17550</v>
      </c>
      <c r="D535" s="370">
        <v>1</v>
      </c>
      <c r="E535" s="370" t="s">
        <v>201</v>
      </c>
      <c r="F535" s="367">
        <v>550</v>
      </c>
      <c r="G535" s="370">
        <v>400</v>
      </c>
      <c r="H535" s="370" t="s">
        <v>55</v>
      </c>
      <c r="I535" s="370">
        <v>60</v>
      </c>
      <c r="J535" s="370" t="s">
        <v>213</v>
      </c>
      <c r="K535" s="370">
        <v>30</v>
      </c>
      <c r="L535" s="370">
        <v>33</v>
      </c>
      <c r="M535" s="358" t="s">
        <v>14</v>
      </c>
      <c r="N535" s="399" t="s">
        <v>207</v>
      </c>
      <c r="O535" s="367" t="s">
        <v>27</v>
      </c>
      <c r="P535" s="65"/>
      <c r="Q535" s="367" t="s">
        <v>214</v>
      </c>
      <c r="T535" s="200">
        <v>1</v>
      </c>
    </row>
    <row r="536" spans="1:20" ht="15" customHeight="1" x14ac:dyDescent="0.3">
      <c r="A536" s="371"/>
      <c r="B536" s="371"/>
      <c r="C536" s="38">
        <v>7170</v>
      </c>
      <c r="D536" s="371"/>
      <c r="E536" s="371"/>
      <c r="F536" s="368"/>
      <c r="G536" s="371"/>
      <c r="H536" s="371"/>
      <c r="I536" s="371"/>
      <c r="J536" s="371"/>
      <c r="K536" s="371"/>
      <c r="L536" s="371"/>
      <c r="M536" s="359"/>
      <c r="N536" s="400"/>
      <c r="O536" s="368"/>
      <c r="P536" s="226">
        <v>44066</v>
      </c>
      <c r="Q536" s="368"/>
    </row>
    <row r="537" spans="1:20" ht="15" customHeight="1" thickBot="1" x14ac:dyDescent="0.35">
      <c r="A537" s="372"/>
      <c r="B537" s="372"/>
      <c r="C537" s="39">
        <v>2477</v>
      </c>
      <c r="D537" s="372"/>
      <c r="E537" s="372"/>
      <c r="F537" s="369"/>
      <c r="G537" s="372"/>
      <c r="H537" s="372"/>
      <c r="I537" s="372"/>
      <c r="J537" s="372"/>
      <c r="K537" s="372"/>
      <c r="L537" s="372"/>
      <c r="M537" s="360"/>
      <c r="N537" s="401"/>
      <c r="O537" s="369"/>
      <c r="P537" s="67"/>
      <c r="Q537" s="369"/>
    </row>
    <row r="538" spans="1:20" ht="15" hidden="1" customHeight="1" x14ac:dyDescent="0.3">
      <c r="A538" s="370">
        <v>41</v>
      </c>
      <c r="B538" s="370" t="s">
        <v>200</v>
      </c>
      <c r="C538" s="37">
        <v>17300</v>
      </c>
      <c r="D538" s="370">
        <v>1</v>
      </c>
      <c r="E538" s="370" t="s">
        <v>201</v>
      </c>
      <c r="F538" s="367">
        <v>550</v>
      </c>
      <c r="G538" s="370">
        <v>400</v>
      </c>
      <c r="H538" s="370" t="s">
        <v>55</v>
      </c>
      <c r="I538" s="370">
        <v>60</v>
      </c>
      <c r="J538" s="370" t="s">
        <v>215</v>
      </c>
      <c r="K538" s="370">
        <v>30</v>
      </c>
      <c r="L538" s="370">
        <v>33</v>
      </c>
      <c r="M538" s="358" t="s">
        <v>14</v>
      </c>
      <c r="N538" s="399" t="s">
        <v>207</v>
      </c>
      <c r="O538" s="367" t="s">
        <v>27</v>
      </c>
      <c r="P538" s="65"/>
      <c r="Q538" s="367" t="s">
        <v>214</v>
      </c>
      <c r="T538" s="200">
        <v>1</v>
      </c>
    </row>
    <row r="539" spans="1:20" ht="15" customHeight="1" x14ac:dyDescent="0.3">
      <c r="A539" s="371"/>
      <c r="B539" s="371"/>
      <c r="C539" s="38">
        <v>7695</v>
      </c>
      <c r="D539" s="371"/>
      <c r="E539" s="371"/>
      <c r="F539" s="368"/>
      <c r="G539" s="371"/>
      <c r="H539" s="371"/>
      <c r="I539" s="371"/>
      <c r="J539" s="371"/>
      <c r="K539" s="371"/>
      <c r="L539" s="371"/>
      <c r="M539" s="359"/>
      <c r="N539" s="400"/>
      <c r="O539" s="368"/>
      <c r="P539" s="226">
        <v>44066</v>
      </c>
      <c r="Q539" s="368"/>
    </row>
    <row r="540" spans="1:20" ht="15" customHeight="1" thickBot="1" x14ac:dyDescent="0.35">
      <c r="A540" s="372"/>
      <c r="B540" s="372"/>
      <c r="C540" s="39">
        <v>2477</v>
      </c>
      <c r="D540" s="372"/>
      <c r="E540" s="372"/>
      <c r="F540" s="369"/>
      <c r="G540" s="372"/>
      <c r="H540" s="372"/>
      <c r="I540" s="372"/>
      <c r="J540" s="372"/>
      <c r="K540" s="372"/>
      <c r="L540" s="372"/>
      <c r="M540" s="360"/>
      <c r="N540" s="401"/>
      <c r="O540" s="369"/>
      <c r="P540" s="67"/>
      <c r="Q540" s="369"/>
    </row>
    <row r="541" spans="1:20" ht="15" hidden="1" customHeight="1" x14ac:dyDescent="0.3">
      <c r="A541" s="370">
        <v>42</v>
      </c>
      <c r="B541" s="370" t="s">
        <v>203</v>
      </c>
      <c r="C541" s="37">
        <v>15130</v>
      </c>
      <c r="D541" s="370">
        <v>1</v>
      </c>
      <c r="E541" s="370" t="s">
        <v>204</v>
      </c>
      <c r="F541" s="367">
        <v>550</v>
      </c>
      <c r="G541" s="370">
        <v>400</v>
      </c>
      <c r="H541" s="370" t="s">
        <v>107</v>
      </c>
      <c r="I541" s="370">
        <v>60</v>
      </c>
      <c r="J541" s="370" t="s">
        <v>216</v>
      </c>
      <c r="K541" s="370">
        <v>30</v>
      </c>
      <c r="L541" s="370">
        <v>3</v>
      </c>
      <c r="M541" s="358" t="s">
        <v>14</v>
      </c>
      <c r="N541" s="399" t="s">
        <v>207</v>
      </c>
      <c r="O541" s="367" t="s">
        <v>27</v>
      </c>
      <c r="P541" s="65"/>
      <c r="Q541" s="367" t="s">
        <v>208</v>
      </c>
      <c r="T541" s="200">
        <v>1</v>
      </c>
    </row>
    <row r="542" spans="1:20" ht="15" customHeight="1" x14ac:dyDescent="0.3">
      <c r="A542" s="371"/>
      <c r="B542" s="371"/>
      <c r="C542" s="38">
        <v>2250</v>
      </c>
      <c r="D542" s="371"/>
      <c r="E542" s="371"/>
      <c r="F542" s="368"/>
      <c r="G542" s="371"/>
      <c r="H542" s="371"/>
      <c r="I542" s="371"/>
      <c r="J542" s="371"/>
      <c r="K542" s="371"/>
      <c r="L542" s="371"/>
      <c r="M542" s="359"/>
      <c r="N542" s="400"/>
      <c r="O542" s="368"/>
      <c r="P542" s="226">
        <v>44066</v>
      </c>
      <c r="Q542" s="368"/>
    </row>
    <row r="543" spans="1:20" ht="15" customHeight="1" thickBot="1" x14ac:dyDescent="0.35">
      <c r="A543" s="372"/>
      <c r="B543" s="372"/>
      <c r="C543" s="39">
        <v>2477</v>
      </c>
      <c r="D543" s="372"/>
      <c r="E543" s="372"/>
      <c r="F543" s="369"/>
      <c r="G543" s="372"/>
      <c r="H543" s="372"/>
      <c r="I543" s="372"/>
      <c r="J543" s="372"/>
      <c r="K543" s="372"/>
      <c r="L543" s="372"/>
      <c r="M543" s="360"/>
      <c r="N543" s="401"/>
      <c r="O543" s="369"/>
      <c r="P543" s="67"/>
      <c r="Q543" s="369"/>
    </row>
    <row r="544" spans="1:20" ht="15" hidden="1" customHeight="1" x14ac:dyDescent="0.3">
      <c r="A544" s="370">
        <v>43</v>
      </c>
      <c r="B544" s="370" t="s">
        <v>203</v>
      </c>
      <c r="C544" s="37">
        <v>15350</v>
      </c>
      <c r="D544" s="370">
        <v>1</v>
      </c>
      <c r="E544" s="370" t="s">
        <v>204</v>
      </c>
      <c r="F544" s="367">
        <v>550</v>
      </c>
      <c r="G544" s="370">
        <v>400</v>
      </c>
      <c r="H544" s="370" t="s">
        <v>107</v>
      </c>
      <c r="I544" s="370">
        <v>60</v>
      </c>
      <c r="J544" s="370">
        <f>-0.1/0.31</f>
        <v>-0.32258064516129037</v>
      </c>
      <c r="K544" s="370">
        <v>30</v>
      </c>
      <c r="L544" s="370">
        <v>3</v>
      </c>
      <c r="M544" s="358" t="s">
        <v>14</v>
      </c>
      <c r="N544" s="399" t="s">
        <v>207</v>
      </c>
      <c r="O544" s="367" t="s">
        <v>27</v>
      </c>
      <c r="P544" s="65"/>
      <c r="Q544" s="367" t="s">
        <v>208</v>
      </c>
      <c r="T544" s="200">
        <v>1</v>
      </c>
    </row>
    <row r="545" spans="1:20" ht="15" customHeight="1" x14ac:dyDescent="0.3">
      <c r="A545" s="371"/>
      <c r="B545" s="371"/>
      <c r="C545" s="38">
        <v>4300</v>
      </c>
      <c r="D545" s="371"/>
      <c r="E545" s="371"/>
      <c r="F545" s="368"/>
      <c r="G545" s="371"/>
      <c r="H545" s="371"/>
      <c r="I545" s="371"/>
      <c r="J545" s="371"/>
      <c r="K545" s="371"/>
      <c r="L545" s="371"/>
      <c r="M545" s="359"/>
      <c r="N545" s="400"/>
      <c r="O545" s="368"/>
      <c r="P545" s="226">
        <v>44066</v>
      </c>
      <c r="Q545" s="368"/>
    </row>
    <row r="546" spans="1:20" ht="15" customHeight="1" thickBot="1" x14ac:dyDescent="0.35">
      <c r="A546" s="372"/>
      <c r="B546" s="372"/>
      <c r="C546" s="39">
        <v>2477</v>
      </c>
      <c r="D546" s="372"/>
      <c r="E546" s="372"/>
      <c r="F546" s="369"/>
      <c r="G546" s="372"/>
      <c r="H546" s="372"/>
      <c r="I546" s="372"/>
      <c r="J546" s="372"/>
      <c r="K546" s="372"/>
      <c r="L546" s="372"/>
      <c r="M546" s="360"/>
      <c r="N546" s="401"/>
      <c r="O546" s="369"/>
      <c r="P546" s="67"/>
      <c r="Q546" s="369"/>
    </row>
    <row r="547" spans="1:20" ht="15" hidden="1" customHeight="1" x14ac:dyDescent="0.3">
      <c r="A547" s="370">
        <v>44</v>
      </c>
      <c r="B547" s="370" t="s">
        <v>203</v>
      </c>
      <c r="C547" s="37">
        <v>15350</v>
      </c>
      <c r="D547" s="370">
        <v>1</v>
      </c>
      <c r="E547" s="370" t="s">
        <v>209</v>
      </c>
      <c r="F547" s="367">
        <v>550</v>
      </c>
      <c r="G547" s="370">
        <v>400</v>
      </c>
      <c r="H547" s="370" t="s">
        <v>107</v>
      </c>
      <c r="I547" s="370">
        <v>60</v>
      </c>
      <c r="J547" s="370" t="s">
        <v>217</v>
      </c>
      <c r="K547" s="370">
        <v>30</v>
      </c>
      <c r="L547" s="370">
        <v>15.5</v>
      </c>
      <c r="M547" s="358" t="s">
        <v>14</v>
      </c>
      <c r="N547" s="399" t="s">
        <v>207</v>
      </c>
      <c r="O547" s="367" t="s">
        <v>27</v>
      </c>
      <c r="P547" s="65"/>
      <c r="Q547" s="367" t="s">
        <v>211</v>
      </c>
      <c r="T547" s="200">
        <v>1</v>
      </c>
    </row>
    <row r="548" spans="1:20" ht="15" customHeight="1" x14ac:dyDescent="0.3">
      <c r="A548" s="371"/>
      <c r="B548" s="371"/>
      <c r="C548" s="38">
        <v>6760</v>
      </c>
      <c r="D548" s="371"/>
      <c r="E548" s="371"/>
      <c r="F548" s="368"/>
      <c r="G548" s="371"/>
      <c r="H548" s="371"/>
      <c r="I548" s="371"/>
      <c r="J548" s="371"/>
      <c r="K548" s="371"/>
      <c r="L548" s="371"/>
      <c r="M548" s="359"/>
      <c r="N548" s="400"/>
      <c r="O548" s="368"/>
      <c r="P548" s="226">
        <v>44066</v>
      </c>
      <c r="Q548" s="368"/>
    </row>
    <row r="549" spans="1:20" ht="15" customHeight="1" thickBot="1" x14ac:dyDescent="0.35">
      <c r="A549" s="372"/>
      <c r="B549" s="372"/>
      <c r="C549" s="39">
        <v>2477</v>
      </c>
      <c r="D549" s="372"/>
      <c r="E549" s="372"/>
      <c r="F549" s="369"/>
      <c r="G549" s="372"/>
      <c r="H549" s="372"/>
      <c r="I549" s="372"/>
      <c r="J549" s="372"/>
      <c r="K549" s="372"/>
      <c r="L549" s="372"/>
      <c r="M549" s="360"/>
      <c r="N549" s="401"/>
      <c r="O549" s="369"/>
      <c r="P549" s="67"/>
      <c r="Q549" s="369"/>
    </row>
    <row r="550" spans="1:20" ht="30" hidden="1" customHeight="1" x14ac:dyDescent="0.3">
      <c r="A550" s="370">
        <v>45</v>
      </c>
      <c r="B550" s="370" t="s">
        <v>200</v>
      </c>
      <c r="C550" s="37">
        <v>17200</v>
      </c>
      <c r="D550" s="370">
        <v>2</v>
      </c>
      <c r="E550" s="370" t="s">
        <v>66</v>
      </c>
      <c r="F550" s="370">
        <v>550</v>
      </c>
      <c r="G550" s="367">
        <v>400</v>
      </c>
      <c r="H550" s="370" t="s">
        <v>25</v>
      </c>
      <c r="I550" s="370">
        <v>60</v>
      </c>
      <c r="J550" s="370" t="s">
        <v>218</v>
      </c>
      <c r="K550" s="367" t="s">
        <v>193</v>
      </c>
      <c r="L550" s="367" t="s">
        <v>13</v>
      </c>
      <c r="M550" s="358" t="s">
        <v>14</v>
      </c>
      <c r="N550" s="399" t="s">
        <v>207</v>
      </c>
      <c r="O550" s="367" t="s">
        <v>27</v>
      </c>
      <c r="P550" s="65"/>
      <c r="Q550" s="367" t="s">
        <v>219</v>
      </c>
      <c r="T550" s="200">
        <v>1</v>
      </c>
    </row>
    <row r="551" spans="1:20" ht="30" customHeight="1" thickBot="1" x14ac:dyDescent="0.35">
      <c r="A551" s="371"/>
      <c r="B551" s="372"/>
      <c r="C551" s="38">
        <v>2615</v>
      </c>
      <c r="D551" s="371"/>
      <c r="E551" s="372"/>
      <c r="F551" s="371"/>
      <c r="G551" s="368"/>
      <c r="H551" s="371"/>
      <c r="I551" s="372"/>
      <c r="J551" s="372"/>
      <c r="K551" s="368"/>
      <c r="L551" s="368"/>
      <c r="M551" s="359"/>
      <c r="N551" s="400"/>
      <c r="O551" s="368"/>
      <c r="P551" s="226">
        <v>44066</v>
      </c>
      <c r="Q551" s="368"/>
    </row>
    <row r="552" spans="1:20" ht="30" customHeight="1" thickBot="1" x14ac:dyDescent="0.35">
      <c r="A552" s="372"/>
      <c r="B552" s="39" t="s">
        <v>200</v>
      </c>
      <c r="C552" s="39">
        <v>2477</v>
      </c>
      <c r="D552" s="372"/>
      <c r="E552" s="39" t="s">
        <v>66</v>
      </c>
      <c r="F552" s="372"/>
      <c r="G552" s="369"/>
      <c r="H552" s="372"/>
      <c r="I552" s="39">
        <v>60</v>
      </c>
      <c r="J552" s="39" t="s">
        <v>220</v>
      </c>
      <c r="K552" s="369"/>
      <c r="L552" s="369"/>
      <c r="M552" s="360"/>
      <c r="N552" s="401"/>
      <c r="O552" s="369"/>
      <c r="P552" s="67"/>
      <c r="Q552" s="369"/>
    </row>
    <row r="553" spans="1:20" ht="15" hidden="1" customHeight="1" x14ac:dyDescent="0.3">
      <c r="A553" s="370">
        <v>46</v>
      </c>
      <c r="B553" s="370" t="s">
        <v>203</v>
      </c>
      <c r="C553" s="37">
        <v>16605</v>
      </c>
      <c r="D553" s="370">
        <v>1</v>
      </c>
      <c r="E553" s="370" t="s">
        <v>204</v>
      </c>
      <c r="F553" s="370">
        <v>550</v>
      </c>
      <c r="G553" s="370">
        <v>400</v>
      </c>
      <c r="H553" s="370" t="s">
        <v>107</v>
      </c>
      <c r="I553" s="370">
        <v>60</v>
      </c>
      <c r="J553" s="370" t="s">
        <v>221</v>
      </c>
      <c r="K553" s="370">
        <v>30</v>
      </c>
      <c r="L553" s="370">
        <v>3</v>
      </c>
      <c r="M553" s="358" t="s">
        <v>14</v>
      </c>
      <c r="N553" s="396" t="s">
        <v>207</v>
      </c>
      <c r="O553" s="367" t="s">
        <v>27</v>
      </c>
      <c r="P553" s="65"/>
      <c r="Q553" s="367" t="s">
        <v>208</v>
      </c>
    </row>
    <row r="554" spans="1:20" ht="15" customHeight="1" x14ac:dyDescent="0.3">
      <c r="A554" s="371"/>
      <c r="B554" s="371"/>
      <c r="C554" s="38">
        <v>8360</v>
      </c>
      <c r="D554" s="371"/>
      <c r="E554" s="371"/>
      <c r="F554" s="371"/>
      <c r="G554" s="371"/>
      <c r="H554" s="371"/>
      <c r="I554" s="371"/>
      <c r="J554" s="371"/>
      <c r="K554" s="371"/>
      <c r="L554" s="371"/>
      <c r="M554" s="359"/>
      <c r="N554" s="397"/>
      <c r="O554" s="368"/>
      <c r="P554" s="226">
        <v>44066</v>
      </c>
      <c r="Q554" s="368"/>
      <c r="T554" s="200">
        <v>1</v>
      </c>
    </row>
    <row r="555" spans="1:20" ht="15" customHeight="1" thickBot="1" x14ac:dyDescent="0.35">
      <c r="A555" s="372"/>
      <c r="B555" s="372"/>
      <c r="C555" s="39">
        <v>2477</v>
      </c>
      <c r="D555" s="372"/>
      <c r="E555" s="372"/>
      <c r="F555" s="372"/>
      <c r="G555" s="372"/>
      <c r="H555" s="372"/>
      <c r="I555" s="372"/>
      <c r="J555" s="372"/>
      <c r="K555" s="372"/>
      <c r="L555" s="372"/>
      <c r="M555" s="360"/>
      <c r="N555" s="398"/>
      <c r="O555" s="369"/>
      <c r="P555" s="67"/>
      <c r="Q555" s="369"/>
    </row>
    <row r="556" spans="1:20" ht="15" customHeight="1" thickBot="1" x14ac:dyDescent="0.35">
      <c r="A556" s="352" t="s">
        <v>72</v>
      </c>
      <c r="B556" s="353"/>
      <c r="C556" s="353"/>
      <c r="D556" s="353"/>
      <c r="E556" s="353"/>
      <c r="F556" s="353"/>
      <c r="G556" s="353"/>
      <c r="H556" s="353"/>
      <c r="I556" s="353"/>
      <c r="J556" s="353"/>
      <c r="K556" s="353"/>
      <c r="L556" s="353"/>
      <c r="M556" s="353"/>
      <c r="N556" s="353"/>
      <c r="O556" s="353"/>
      <c r="P556" s="353"/>
      <c r="Q556" s="354"/>
    </row>
    <row r="557" spans="1:20" ht="15" hidden="1" customHeight="1" x14ac:dyDescent="0.3">
      <c r="A557" s="370">
        <v>47</v>
      </c>
      <c r="B557" s="370" t="s">
        <v>200</v>
      </c>
      <c r="C557" s="37">
        <v>14700</v>
      </c>
      <c r="D557" s="370">
        <v>1</v>
      </c>
      <c r="E557" s="370" t="s">
        <v>201</v>
      </c>
      <c r="F557" s="370">
        <v>600</v>
      </c>
      <c r="G557" s="370">
        <v>600</v>
      </c>
      <c r="H557" s="370" t="s">
        <v>55</v>
      </c>
      <c r="I557" s="370">
        <v>300</v>
      </c>
      <c r="J557" s="370" t="s">
        <v>45</v>
      </c>
      <c r="K557" s="370">
        <v>90</v>
      </c>
      <c r="L557" s="370">
        <v>-27</v>
      </c>
      <c r="M557" s="358" t="s">
        <v>14</v>
      </c>
      <c r="N557" s="399" t="s">
        <v>222</v>
      </c>
      <c r="O557" s="367" t="s">
        <v>27</v>
      </c>
      <c r="P557" s="178"/>
      <c r="Q557" s="367" t="s">
        <v>202</v>
      </c>
      <c r="R557" s="350">
        <v>44063</v>
      </c>
      <c r="T557" s="200">
        <v>1</v>
      </c>
    </row>
    <row r="558" spans="1:20" ht="15" customHeight="1" x14ac:dyDescent="0.3">
      <c r="A558" s="371"/>
      <c r="B558" s="371"/>
      <c r="C558" s="38">
        <v>3250</v>
      </c>
      <c r="D558" s="371"/>
      <c r="E558" s="371"/>
      <c r="F558" s="371"/>
      <c r="G558" s="371"/>
      <c r="H558" s="371"/>
      <c r="I558" s="371"/>
      <c r="J558" s="371"/>
      <c r="K558" s="371"/>
      <c r="L558" s="371"/>
      <c r="M558" s="359"/>
      <c r="N558" s="400"/>
      <c r="O558" s="368"/>
      <c r="P558" s="226">
        <v>44066</v>
      </c>
      <c r="Q558" s="368"/>
      <c r="R558" s="351"/>
    </row>
    <row r="559" spans="1:20" ht="15" customHeight="1" thickBot="1" x14ac:dyDescent="0.35">
      <c r="A559" s="372"/>
      <c r="B559" s="372"/>
      <c r="C559" s="39">
        <v>5890</v>
      </c>
      <c r="D559" s="372"/>
      <c r="E559" s="372"/>
      <c r="F559" s="372"/>
      <c r="G559" s="372"/>
      <c r="H559" s="372"/>
      <c r="I559" s="372"/>
      <c r="J559" s="372"/>
      <c r="K559" s="372"/>
      <c r="L559" s="372"/>
      <c r="M559" s="360"/>
      <c r="N559" s="401"/>
      <c r="O559" s="369"/>
      <c r="P559" s="180"/>
      <c r="Q559" s="369"/>
      <c r="R559" s="351"/>
    </row>
    <row r="560" spans="1:20" ht="15" hidden="1" customHeight="1" x14ac:dyDescent="0.3">
      <c r="A560" s="370">
        <v>48</v>
      </c>
      <c r="B560" s="370" t="s">
        <v>200</v>
      </c>
      <c r="C560" s="37">
        <v>18200</v>
      </c>
      <c r="D560" s="370">
        <v>1</v>
      </c>
      <c r="E560" s="370" t="s">
        <v>201</v>
      </c>
      <c r="F560" s="370">
        <v>600</v>
      </c>
      <c r="G560" s="370">
        <v>600</v>
      </c>
      <c r="H560" s="370" t="s">
        <v>55</v>
      </c>
      <c r="I560" s="370">
        <v>60</v>
      </c>
      <c r="J560" s="370" t="s">
        <v>223</v>
      </c>
      <c r="K560" s="370">
        <v>30</v>
      </c>
      <c r="L560" s="370">
        <v>33</v>
      </c>
      <c r="M560" s="358" t="s">
        <v>14</v>
      </c>
      <c r="N560" s="399" t="s">
        <v>222</v>
      </c>
      <c r="O560" s="367" t="s">
        <v>27</v>
      </c>
      <c r="P560" s="178"/>
      <c r="Q560" s="367" t="s">
        <v>224</v>
      </c>
      <c r="R560" s="351"/>
      <c r="T560" s="200">
        <v>1</v>
      </c>
    </row>
    <row r="561" spans="1:20" ht="15" customHeight="1" x14ac:dyDescent="0.3">
      <c r="A561" s="371"/>
      <c r="B561" s="371"/>
      <c r="C561" s="38">
        <v>2950</v>
      </c>
      <c r="D561" s="371"/>
      <c r="E561" s="371"/>
      <c r="F561" s="371"/>
      <c r="G561" s="371"/>
      <c r="H561" s="371"/>
      <c r="I561" s="371"/>
      <c r="J561" s="371"/>
      <c r="K561" s="371"/>
      <c r="L561" s="371"/>
      <c r="M561" s="359"/>
      <c r="N561" s="400"/>
      <c r="O561" s="368"/>
      <c r="P561" s="226">
        <v>44066</v>
      </c>
      <c r="Q561" s="368"/>
      <c r="R561" s="351"/>
    </row>
    <row r="562" spans="1:20" ht="15" customHeight="1" thickBot="1" x14ac:dyDescent="0.35">
      <c r="A562" s="372"/>
      <c r="B562" s="372"/>
      <c r="C562" s="39">
        <v>2865</v>
      </c>
      <c r="D562" s="372"/>
      <c r="E562" s="372"/>
      <c r="F562" s="372"/>
      <c r="G562" s="372"/>
      <c r="H562" s="372"/>
      <c r="I562" s="372"/>
      <c r="J562" s="372"/>
      <c r="K562" s="372"/>
      <c r="L562" s="372"/>
      <c r="M562" s="360"/>
      <c r="N562" s="401"/>
      <c r="O562" s="369"/>
      <c r="P562" s="180"/>
      <c r="Q562" s="369"/>
      <c r="R562" s="351"/>
    </row>
    <row r="563" spans="1:20" ht="15" hidden="1" customHeight="1" x14ac:dyDescent="0.3">
      <c r="A563" s="370">
        <v>49</v>
      </c>
      <c r="B563" s="370" t="s">
        <v>200</v>
      </c>
      <c r="C563" s="37">
        <v>18200</v>
      </c>
      <c r="D563" s="370">
        <v>1</v>
      </c>
      <c r="E563" s="370" t="s">
        <v>201</v>
      </c>
      <c r="F563" s="370">
        <v>600</v>
      </c>
      <c r="G563" s="370">
        <v>600</v>
      </c>
      <c r="H563" s="370" t="s">
        <v>55</v>
      </c>
      <c r="I563" s="370">
        <v>60</v>
      </c>
      <c r="J563" s="370" t="s">
        <v>225</v>
      </c>
      <c r="K563" s="370">
        <v>30</v>
      </c>
      <c r="L563" s="370">
        <v>33</v>
      </c>
      <c r="M563" s="358" t="s">
        <v>14</v>
      </c>
      <c r="N563" s="399" t="s">
        <v>222</v>
      </c>
      <c r="O563" s="367" t="s">
        <v>27</v>
      </c>
      <c r="P563" s="178"/>
      <c r="Q563" s="367" t="s">
        <v>224</v>
      </c>
      <c r="R563" s="351"/>
    </row>
    <row r="564" spans="1:20" ht="15" customHeight="1" x14ac:dyDescent="0.3">
      <c r="A564" s="371"/>
      <c r="B564" s="371"/>
      <c r="C564" s="38">
        <v>4270</v>
      </c>
      <c r="D564" s="371"/>
      <c r="E564" s="371"/>
      <c r="F564" s="371"/>
      <c r="G564" s="371"/>
      <c r="H564" s="371"/>
      <c r="I564" s="371"/>
      <c r="J564" s="371"/>
      <c r="K564" s="371"/>
      <c r="L564" s="371"/>
      <c r="M564" s="359"/>
      <c r="N564" s="400"/>
      <c r="O564" s="368"/>
      <c r="P564" s="226">
        <v>44066</v>
      </c>
      <c r="Q564" s="368"/>
      <c r="R564" s="351"/>
      <c r="T564" s="200">
        <v>1</v>
      </c>
    </row>
    <row r="565" spans="1:20" ht="15" customHeight="1" thickBot="1" x14ac:dyDescent="0.35">
      <c r="A565" s="372"/>
      <c r="B565" s="372"/>
      <c r="C565" s="39">
        <v>3025</v>
      </c>
      <c r="D565" s="372"/>
      <c r="E565" s="372"/>
      <c r="F565" s="372"/>
      <c r="G565" s="372"/>
      <c r="H565" s="372"/>
      <c r="I565" s="372"/>
      <c r="J565" s="372"/>
      <c r="K565" s="372"/>
      <c r="L565" s="372"/>
      <c r="M565" s="360"/>
      <c r="N565" s="401"/>
      <c r="O565" s="369"/>
      <c r="P565" s="180"/>
      <c r="Q565" s="369"/>
      <c r="R565" s="351"/>
    </row>
    <row r="566" spans="1:20" ht="15" hidden="1" customHeight="1" x14ac:dyDescent="0.3">
      <c r="A566" s="370">
        <v>50</v>
      </c>
      <c r="B566" s="370" t="s">
        <v>200</v>
      </c>
      <c r="C566" s="37">
        <v>18200</v>
      </c>
      <c r="D566" s="370">
        <v>1</v>
      </c>
      <c r="E566" s="370" t="s">
        <v>201</v>
      </c>
      <c r="F566" s="370">
        <v>600</v>
      </c>
      <c r="G566" s="370">
        <v>600</v>
      </c>
      <c r="H566" s="370" t="s">
        <v>55</v>
      </c>
      <c r="I566" s="370">
        <v>60</v>
      </c>
      <c r="J566" s="370" t="s">
        <v>226</v>
      </c>
      <c r="K566" s="370">
        <v>30</v>
      </c>
      <c r="L566" s="370">
        <v>33</v>
      </c>
      <c r="M566" s="358" t="s">
        <v>14</v>
      </c>
      <c r="N566" s="399" t="s">
        <v>222</v>
      </c>
      <c r="O566" s="367" t="s">
        <v>27</v>
      </c>
      <c r="P566" s="228">
        <v>44063</v>
      </c>
      <c r="Q566" s="367" t="s">
        <v>224</v>
      </c>
      <c r="R566" s="351"/>
      <c r="T566" s="200">
        <v>1</v>
      </c>
    </row>
    <row r="567" spans="1:20" ht="15" customHeight="1" x14ac:dyDescent="0.3">
      <c r="A567" s="371"/>
      <c r="B567" s="371"/>
      <c r="C567" s="38">
        <v>5155</v>
      </c>
      <c r="D567" s="371"/>
      <c r="E567" s="371"/>
      <c r="F567" s="371"/>
      <c r="G567" s="371"/>
      <c r="H567" s="371"/>
      <c r="I567" s="371"/>
      <c r="J567" s="371"/>
      <c r="K567" s="371"/>
      <c r="L567" s="371"/>
      <c r="M567" s="359"/>
      <c r="N567" s="400"/>
      <c r="O567" s="368"/>
      <c r="P567" s="179"/>
      <c r="Q567" s="368"/>
      <c r="R567" s="351"/>
    </row>
    <row r="568" spans="1:20" ht="15" customHeight="1" thickBot="1" x14ac:dyDescent="0.35">
      <c r="A568" s="372"/>
      <c r="B568" s="372"/>
      <c r="C568" s="39">
        <v>3025</v>
      </c>
      <c r="D568" s="372"/>
      <c r="E568" s="372"/>
      <c r="F568" s="372"/>
      <c r="G568" s="372"/>
      <c r="H568" s="372"/>
      <c r="I568" s="372"/>
      <c r="J568" s="372"/>
      <c r="K568" s="372"/>
      <c r="L568" s="372"/>
      <c r="M568" s="360"/>
      <c r="N568" s="401"/>
      <c r="O568" s="369"/>
      <c r="P568" s="180"/>
      <c r="Q568" s="369"/>
      <c r="R568" s="351"/>
    </row>
    <row r="569" spans="1:20" ht="15" hidden="1" customHeight="1" x14ac:dyDescent="0.3">
      <c r="A569" s="370">
        <v>51</v>
      </c>
      <c r="B569" s="370" t="s">
        <v>200</v>
      </c>
      <c r="C569" s="37">
        <v>18200</v>
      </c>
      <c r="D569" s="370">
        <v>1</v>
      </c>
      <c r="E569" s="370" t="s">
        <v>201</v>
      </c>
      <c r="F569" s="370">
        <v>600</v>
      </c>
      <c r="G569" s="370">
        <v>600</v>
      </c>
      <c r="H569" s="370" t="s">
        <v>55</v>
      </c>
      <c r="I569" s="370">
        <v>60</v>
      </c>
      <c r="J569" s="370" t="s">
        <v>227</v>
      </c>
      <c r="K569" s="370">
        <v>30</v>
      </c>
      <c r="L569" s="370">
        <v>33</v>
      </c>
      <c r="M569" s="358" t="s">
        <v>14</v>
      </c>
      <c r="N569" s="399" t="s">
        <v>222</v>
      </c>
      <c r="O569" s="367" t="s">
        <v>27</v>
      </c>
      <c r="P569" s="178"/>
      <c r="Q569" s="367" t="s">
        <v>224</v>
      </c>
      <c r="R569" s="351"/>
      <c r="T569" s="200">
        <v>1</v>
      </c>
    </row>
    <row r="570" spans="1:20" ht="15" customHeight="1" x14ac:dyDescent="0.3">
      <c r="A570" s="371"/>
      <c r="B570" s="371"/>
      <c r="C570" s="38">
        <v>6750</v>
      </c>
      <c r="D570" s="371"/>
      <c r="E570" s="371"/>
      <c r="F570" s="371"/>
      <c r="G570" s="371"/>
      <c r="H570" s="371"/>
      <c r="I570" s="371"/>
      <c r="J570" s="371"/>
      <c r="K570" s="371"/>
      <c r="L570" s="371"/>
      <c r="M570" s="359"/>
      <c r="N570" s="400"/>
      <c r="O570" s="368"/>
      <c r="P570" s="226">
        <v>44066</v>
      </c>
      <c r="Q570" s="368"/>
      <c r="R570" s="351"/>
    </row>
    <row r="571" spans="1:20" ht="15" customHeight="1" thickBot="1" x14ac:dyDescent="0.35">
      <c r="A571" s="372"/>
      <c r="B571" s="372"/>
      <c r="C571" s="39">
        <v>2865</v>
      </c>
      <c r="D571" s="372"/>
      <c r="E571" s="372"/>
      <c r="F571" s="372"/>
      <c r="G571" s="372"/>
      <c r="H571" s="372"/>
      <c r="I571" s="372"/>
      <c r="J571" s="372"/>
      <c r="K571" s="372"/>
      <c r="L571" s="372"/>
      <c r="M571" s="360"/>
      <c r="N571" s="401"/>
      <c r="O571" s="369"/>
      <c r="P571" s="180"/>
      <c r="Q571" s="369"/>
      <c r="R571" s="351"/>
    </row>
    <row r="572" spans="1:20" ht="15" hidden="1" customHeight="1" x14ac:dyDescent="0.3">
      <c r="A572" s="370">
        <v>52</v>
      </c>
      <c r="B572" s="370" t="s">
        <v>200</v>
      </c>
      <c r="C572" s="37">
        <v>18200</v>
      </c>
      <c r="D572" s="370">
        <v>1</v>
      </c>
      <c r="E572" s="370" t="s">
        <v>204</v>
      </c>
      <c r="F572" s="370">
        <v>600</v>
      </c>
      <c r="G572" s="370">
        <v>600</v>
      </c>
      <c r="H572" s="370" t="s">
        <v>107</v>
      </c>
      <c r="I572" s="370">
        <v>60</v>
      </c>
      <c r="J572" s="370">
        <f>-0.17/0.25</f>
        <v>-0.68</v>
      </c>
      <c r="K572" s="370">
        <v>30</v>
      </c>
      <c r="L572" s="370">
        <v>3</v>
      </c>
      <c r="M572" s="358" t="s">
        <v>14</v>
      </c>
      <c r="N572" s="399" t="s">
        <v>222</v>
      </c>
      <c r="O572" s="367" t="s">
        <v>27</v>
      </c>
      <c r="P572" s="178"/>
      <c r="Q572" s="367" t="s">
        <v>228</v>
      </c>
      <c r="R572" s="351"/>
      <c r="T572" s="200">
        <v>1</v>
      </c>
    </row>
    <row r="573" spans="1:20" ht="15" customHeight="1" x14ac:dyDescent="0.3">
      <c r="A573" s="371"/>
      <c r="B573" s="371"/>
      <c r="C573" s="38">
        <v>5620</v>
      </c>
      <c r="D573" s="371"/>
      <c r="E573" s="371"/>
      <c r="F573" s="371"/>
      <c r="G573" s="371"/>
      <c r="H573" s="371"/>
      <c r="I573" s="371"/>
      <c r="J573" s="371"/>
      <c r="K573" s="371"/>
      <c r="L573" s="371"/>
      <c r="M573" s="359"/>
      <c r="N573" s="400"/>
      <c r="O573" s="368"/>
      <c r="P573" s="226">
        <v>44066</v>
      </c>
      <c r="Q573" s="368"/>
      <c r="R573" s="351"/>
    </row>
    <row r="574" spans="1:20" ht="15" customHeight="1" thickBot="1" x14ac:dyDescent="0.35">
      <c r="A574" s="372"/>
      <c r="B574" s="372"/>
      <c r="C574" s="39">
        <v>3360</v>
      </c>
      <c r="D574" s="372"/>
      <c r="E574" s="372"/>
      <c r="F574" s="372"/>
      <c r="G574" s="372"/>
      <c r="H574" s="372"/>
      <c r="I574" s="372"/>
      <c r="J574" s="372"/>
      <c r="K574" s="372"/>
      <c r="L574" s="372"/>
      <c r="M574" s="360"/>
      <c r="N574" s="401"/>
      <c r="O574" s="369"/>
      <c r="P574" s="180"/>
      <c r="Q574" s="369"/>
      <c r="R574" s="351"/>
    </row>
    <row r="575" spans="1:20" ht="15" hidden="1" customHeight="1" x14ac:dyDescent="0.3">
      <c r="A575" s="370">
        <v>53</v>
      </c>
      <c r="B575" s="370" t="s">
        <v>200</v>
      </c>
      <c r="C575" s="37">
        <v>18200</v>
      </c>
      <c r="D575" s="370">
        <v>1</v>
      </c>
      <c r="E575" s="370" t="s">
        <v>204</v>
      </c>
      <c r="F575" s="370">
        <v>600</v>
      </c>
      <c r="G575" s="370">
        <v>600</v>
      </c>
      <c r="H575" s="370" t="s">
        <v>107</v>
      </c>
      <c r="I575" s="370">
        <v>60</v>
      </c>
      <c r="J575" s="370" t="s">
        <v>229</v>
      </c>
      <c r="K575" s="370">
        <v>30</v>
      </c>
      <c r="L575" s="370">
        <v>3</v>
      </c>
      <c r="M575" s="358" t="s">
        <v>14</v>
      </c>
      <c r="N575" s="399" t="s">
        <v>222</v>
      </c>
      <c r="O575" s="367" t="s">
        <v>27</v>
      </c>
      <c r="P575" s="201"/>
      <c r="Q575" s="367" t="s">
        <v>228</v>
      </c>
      <c r="R575" s="183" t="s">
        <v>576</v>
      </c>
      <c r="T575" s="200">
        <v>1</v>
      </c>
    </row>
    <row r="576" spans="1:20" ht="15" customHeight="1" x14ac:dyDescent="0.3">
      <c r="A576" s="371"/>
      <c r="B576" s="371"/>
      <c r="C576" s="38">
        <v>5620</v>
      </c>
      <c r="D576" s="371"/>
      <c r="E576" s="371"/>
      <c r="F576" s="371"/>
      <c r="G576" s="371"/>
      <c r="H576" s="371"/>
      <c r="I576" s="371"/>
      <c r="J576" s="371"/>
      <c r="K576" s="371"/>
      <c r="L576" s="371"/>
      <c r="M576" s="359"/>
      <c r="N576" s="400"/>
      <c r="O576" s="368"/>
      <c r="P576" s="226">
        <v>44066</v>
      </c>
      <c r="Q576" s="368"/>
      <c r="R576" s="183"/>
    </row>
    <row r="577" spans="1:20" ht="15" customHeight="1" thickBot="1" x14ac:dyDescent="0.35">
      <c r="A577" s="372"/>
      <c r="B577" s="372"/>
      <c r="C577" s="39">
        <v>4025</v>
      </c>
      <c r="D577" s="372"/>
      <c r="E577" s="372"/>
      <c r="F577" s="372"/>
      <c r="G577" s="372"/>
      <c r="H577" s="372"/>
      <c r="I577" s="372"/>
      <c r="J577" s="372"/>
      <c r="K577" s="372"/>
      <c r="L577" s="372"/>
      <c r="M577" s="360"/>
      <c r="N577" s="401"/>
      <c r="O577" s="369"/>
      <c r="P577" s="203"/>
      <c r="Q577" s="369"/>
      <c r="R577" s="183"/>
    </row>
    <row r="578" spans="1:20" ht="30" hidden="1" customHeight="1" x14ac:dyDescent="0.3">
      <c r="A578" s="376">
        <v>54</v>
      </c>
      <c r="B578" s="376" t="s">
        <v>230</v>
      </c>
      <c r="C578" s="58">
        <v>16430</v>
      </c>
      <c r="D578" s="376">
        <v>2</v>
      </c>
      <c r="E578" s="376" t="s">
        <v>231</v>
      </c>
      <c r="F578" s="373">
        <v>1220</v>
      </c>
      <c r="G578" s="376">
        <v>1200</v>
      </c>
      <c r="H578" s="376" t="s">
        <v>25</v>
      </c>
      <c r="I578" s="376">
        <v>60</v>
      </c>
      <c r="J578" s="376">
        <f>-0.6/0.14</f>
        <v>-4.2857142857142856</v>
      </c>
      <c r="K578" s="373" t="s">
        <v>193</v>
      </c>
      <c r="L578" s="373" t="s">
        <v>13</v>
      </c>
      <c r="M578" s="379" t="s">
        <v>14</v>
      </c>
      <c r="N578" s="402" t="s">
        <v>222</v>
      </c>
      <c r="O578" s="373" t="s">
        <v>27</v>
      </c>
      <c r="P578" s="209"/>
      <c r="Q578" s="376" t="s">
        <v>232</v>
      </c>
      <c r="R578" s="215">
        <v>44066</v>
      </c>
      <c r="S578" s="186">
        <v>44066</v>
      </c>
      <c r="T578" s="288">
        <v>1</v>
      </c>
    </row>
    <row r="579" spans="1:20" ht="30" customHeight="1" thickBot="1" x14ac:dyDescent="0.35">
      <c r="A579" s="377"/>
      <c r="B579" s="378"/>
      <c r="C579" s="59">
        <v>1202</v>
      </c>
      <c r="D579" s="377"/>
      <c r="E579" s="378"/>
      <c r="F579" s="374"/>
      <c r="G579" s="377"/>
      <c r="H579" s="377"/>
      <c r="I579" s="378"/>
      <c r="J579" s="378"/>
      <c r="K579" s="374"/>
      <c r="L579" s="374"/>
      <c r="M579" s="380"/>
      <c r="N579" s="403"/>
      <c r="O579" s="374"/>
      <c r="P579" s="210"/>
      <c r="Q579" s="377"/>
      <c r="R579" s="215"/>
    </row>
    <row r="580" spans="1:20" ht="30" customHeight="1" thickBot="1" x14ac:dyDescent="0.35">
      <c r="A580" s="378"/>
      <c r="B580" s="57" t="s">
        <v>230</v>
      </c>
      <c r="C580" s="57">
        <v>5500</v>
      </c>
      <c r="D580" s="378"/>
      <c r="E580" s="57" t="s">
        <v>231</v>
      </c>
      <c r="F580" s="375"/>
      <c r="G580" s="378"/>
      <c r="H580" s="378"/>
      <c r="I580" s="57">
        <v>60</v>
      </c>
      <c r="J580" s="57">
        <f>-0.52/-0.22</f>
        <v>2.3636363636363638</v>
      </c>
      <c r="K580" s="375"/>
      <c r="L580" s="375"/>
      <c r="M580" s="381"/>
      <c r="N580" s="404"/>
      <c r="O580" s="375"/>
      <c r="P580" s="211"/>
      <c r="Q580" s="378"/>
      <c r="R580" s="183"/>
    </row>
    <row r="581" spans="1:20" ht="15" hidden="1" customHeight="1" x14ac:dyDescent="0.3">
      <c r="A581" s="370">
        <v>55</v>
      </c>
      <c r="B581" s="370" t="s">
        <v>174</v>
      </c>
      <c r="C581" s="37">
        <v>17348</v>
      </c>
      <c r="D581" s="370">
        <v>0</v>
      </c>
      <c r="E581" s="370" t="s">
        <v>13</v>
      </c>
      <c r="F581" s="367">
        <v>1220</v>
      </c>
      <c r="G581" s="370">
        <v>1200</v>
      </c>
      <c r="H581" s="370" t="s">
        <v>25</v>
      </c>
      <c r="I581" s="370" t="s">
        <v>13</v>
      </c>
      <c r="J581" s="370" t="s">
        <v>13</v>
      </c>
      <c r="K581" s="370" t="s">
        <v>13</v>
      </c>
      <c r="L581" s="370">
        <v>0</v>
      </c>
      <c r="M581" s="358" t="s">
        <v>14</v>
      </c>
      <c r="N581" s="399" t="s">
        <v>222</v>
      </c>
      <c r="O581" s="367" t="s">
        <v>27</v>
      </c>
      <c r="P581" s="243"/>
      <c r="Q581" s="367" t="s">
        <v>184</v>
      </c>
      <c r="R581" s="215">
        <v>44066</v>
      </c>
      <c r="S581" s="186">
        <v>44066</v>
      </c>
      <c r="T581" s="200">
        <v>1</v>
      </c>
    </row>
    <row r="582" spans="1:20" ht="15" customHeight="1" x14ac:dyDescent="0.3">
      <c r="A582" s="371"/>
      <c r="B582" s="371"/>
      <c r="C582" s="38">
        <v>1089</v>
      </c>
      <c r="D582" s="371"/>
      <c r="E582" s="371"/>
      <c r="F582" s="368"/>
      <c r="G582" s="371"/>
      <c r="H582" s="371"/>
      <c r="I582" s="371"/>
      <c r="J582" s="371"/>
      <c r="K582" s="371"/>
      <c r="L582" s="371"/>
      <c r="M582" s="359"/>
      <c r="N582" s="400"/>
      <c r="O582" s="368"/>
      <c r="P582" s="226">
        <v>44079</v>
      </c>
      <c r="Q582" s="368"/>
      <c r="R582" s="183"/>
      <c r="S582" s="186">
        <v>44079</v>
      </c>
    </row>
    <row r="583" spans="1:20" ht="15" customHeight="1" thickBot="1" x14ac:dyDescent="0.35">
      <c r="A583" s="372"/>
      <c r="B583" s="372"/>
      <c r="C583" s="39">
        <v>5500</v>
      </c>
      <c r="D583" s="372"/>
      <c r="E583" s="372"/>
      <c r="F583" s="369"/>
      <c r="G583" s="372"/>
      <c r="H583" s="372"/>
      <c r="I583" s="372"/>
      <c r="J583" s="372"/>
      <c r="K583" s="372"/>
      <c r="L583" s="372"/>
      <c r="M583" s="360"/>
      <c r="N583" s="401"/>
      <c r="O583" s="369"/>
      <c r="P583" s="244"/>
      <c r="Q583" s="369"/>
      <c r="R583" s="183"/>
    </row>
    <row r="584" spans="1:20" ht="15" hidden="1" customHeight="1" x14ac:dyDescent="0.3">
      <c r="A584" s="370">
        <v>56</v>
      </c>
      <c r="B584" s="370" t="s">
        <v>200</v>
      </c>
      <c r="C584" s="37">
        <v>14700</v>
      </c>
      <c r="D584" s="370">
        <v>1</v>
      </c>
      <c r="E584" s="370" t="s">
        <v>201</v>
      </c>
      <c r="F584" s="370">
        <v>594</v>
      </c>
      <c r="G584" s="370">
        <v>600</v>
      </c>
      <c r="H584" s="370" t="s">
        <v>55</v>
      </c>
      <c r="I584" s="370">
        <v>300</v>
      </c>
      <c r="J584" s="370" t="s">
        <v>45</v>
      </c>
      <c r="K584" s="370">
        <v>90</v>
      </c>
      <c r="L584" s="370">
        <v>-27</v>
      </c>
      <c r="M584" s="358" t="s">
        <v>14</v>
      </c>
      <c r="N584" s="399" t="s">
        <v>222</v>
      </c>
      <c r="O584" s="367" t="s">
        <v>27</v>
      </c>
      <c r="P584" s="178"/>
      <c r="Q584" s="367" t="s">
        <v>202</v>
      </c>
      <c r="R584" s="350">
        <v>44063</v>
      </c>
      <c r="T584" s="200">
        <v>1</v>
      </c>
    </row>
    <row r="585" spans="1:20" ht="15" customHeight="1" x14ac:dyDescent="0.3">
      <c r="A585" s="371"/>
      <c r="B585" s="371"/>
      <c r="C585" s="38">
        <v>4695</v>
      </c>
      <c r="D585" s="371"/>
      <c r="E585" s="371"/>
      <c r="F585" s="371"/>
      <c r="G585" s="371"/>
      <c r="H585" s="371"/>
      <c r="I585" s="371"/>
      <c r="J585" s="371"/>
      <c r="K585" s="371"/>
      <c r="L585" s="371"/>
      <c r="M585" s="359"/>
      <c r="N585" s="400"/>
      <c r="O585" s="368"/>
      <c r="P585" s="226">
        <v>44063</v>
      </c>
      <c r="Q585" s="368"/>
      <c r="R585" s="351"/>
    </row>
    <row r="586" spans="1:20" ht="15" customHeight="1" thickBot="1" x14ac:dyDescent="0.35">
      <c r="A586" s="372"/>
      <c r="B586" s="372"/>
      <c r="C586" s="39">
        <v>3280</v>
      </c>
      <c r="D586" s="372"/>
      <c r="E586" s="372"/>
      <c r="F586" s="372"/>
      <c r="G586" s="372"/>
      <c r="H586" s="372"/>
      <c r="I586" s="372"/>
      <c r="J586" s="372"/>
      <c r="K586" s="372"/>
      <c r="L586" s="372"/>
      <c r="M586" s="360"/>
      <c r="N586" s="401"/>
      <c r="O586" s="369"/>
      <c r="P586" s="180"/>
      <c r="Q586" s="369"/>
      <c r="R586" s="351"/>
    </row>
    <row r="587" spans="1:20" ht="15" hidden="1" customHeight="1" x14ac:dyDescent="0.3">
      <c r="A587" s="370">
        <v>57</v>
      </c>
      <c r="B587" s="370" t="s">
        <v>200</v>
      </c>
      <c r="C587" s="37">
        <v>14700</v>
      </c>
      <c r="D587" s="370">
        <v>1</v>
      </c>
      <c r="E587" s="370" t="s">
        <v>201</v>
      </c>
      <c r="F587" s="370">
        <v>594</v>
      </c>
      <c r="G587" s="370">
        <v>600</v>
      </c>
      <c r="H587" s="370" t="s">
        <v>55</v>
      </c>
      <c r="I587" s="370">
        <v>60</v>
      </c>
      <c r="J587" s="370">
        <f>-1.15/1.92</f>
        <v>-0.59895833333333326</v>
      </c>
      <c r="K587" s="370">
        <v>30</v>
      </c>
      <c r="L587" s="370">
        <v>33</v>
      </c>
      <c r="M587" s="358" t="s">
        <v>14</v>
      </c>
      <c r="N587" s="399" t="s">
        <v>222</v>
      </c>
      <c r="O587" s="367" t="s">
        <v>27</v>
      </c>
      <c r="P587" s="178"/>
      <c r="Q587" s="367" t="s">
        <v>224</v>
      </c>
      <c r="R587" s="351"/>
      <c r="T587" s="200">
        <v>1</v>
      </c>
    </row>
    <row r="588" spans="1:20" ht="15" customHeight="1" x14ac:dyDescent="0.3">
      <c r="A588" s="371"/>
      <c r="B588" s="371"/>
      <c r="C588" s="38">
        <v>7505</v>
      </c>
      <c r="D588" s="371"/>
      <c r="E588" s="371"/>
      <c r="F588" s="371"/>
      <c r="G588" s="371"/>
      <c r="H588" s="371"/>
      <c r="I588" s="371"/>
      <c r="J588" s="371"/>
      <c r="K588" s="371"/>
      <c r="L588" s="371"/>
      <c r="M588" s="359"/>
      <c r="N588" s="400"/>
      <c r="O588" s="368"/>
      <c r="P588" s="226">
        <v>44063</v>
      </c>
      <c r="Q588" s="368"/>
      <c r="R588" s="351"/>
    </row>
    <row r="589" spans="1:20" ht="15" customHeight="1" thickBot="1" x14ac:dyDescent="0.35">
      <c r="A589" s="372"/>
      <c r="B589" s="372"/>
      <c r="C589" s="39">
        <v>3590</v>
      </c>
      <c r="D589" s="372"/>
      <c r="E589" s="372"/>
      <c r="F589" s="372"/>
      <c r="G589" s="372"/>
      <c r="H589" s="372"/>
      <c r="I589" s="372"/>
      <c r="J589" s="372"/>
      <c r="K589" s="372"/>
      <c r="L589" s="372"/>
      <c r="M589" s="360"/>
      <c r="N589" s="401"/>
      <c r="O589" s="369"/>
      <c r="P589" s="180"/>
      <c r="Q589" s="369"/>
      <c r="R589" s="351"/>
    </row>
    <row r="590" spans="1:20" ht="15" hidden="1" customHeight="1" x14ac:dyDescent="0.3">
      <c r="A590" s="370">
        <v>58</v>
      </c>
      <c r="B590" s="370" t="s">
        <v>200</v>
      </c>
      <c r="C590" s="37">
        <v>14700</v>
      </c>
      <c r="D590" s="370">
        <v>1</v>
      </c>
      <c r="E590" s="370" t="s">
        <v>201</v>
      </c>
      <c r="F590" s="370">
        <v>594</v>
      </c>
      <c r="G590" s="370">
        <v>600</v>
      </c>
      <c r="H590" s="370" t="s">
        <v>55</v>
      </c>
      <c r="I590" s="370">
        <v>60</v>
      </c>
      <c r="J590" s="370">
        <f>-1.72/1.15</f>
        <v>-1.4956521739130435</v>
      </c>
      <c r="K590" s="370">
        <v>30</v>
      </c>
      <c r="L590" s="370">
        <v>33</v>
      </c>
      <c r="M590" s="358" t="s">
        <v>14</v>
      </c>
      <c r="N590" s="396" t="s">
        <v>222</v>
      </c>
      <c r="O590" s="367" t="s">
        <v>27</v>
      </c>
      <c r="P590" s="178"/>
      <c r="Q590" s="367" t="s">
        <v>224</v>
      </c>
      <c r="R590" s="351"/>
      <c r="T590" s="200">
        <v>1</v>
      </c>
    </row>
    <row r="591" spans="1:20" ht="15" customHeight="1" x14ac:dyDescent="0.3">
      <c r="A591" s="371"/>
      <c r="B591" s="371"/>
      <c r="C591" s="38">
        <v>7250</v>
      </c>
      <c r="D591" s="371"/>
      <c r="E591" s="371"/>
      <c r="F591" s="371"/>
      <c r="G591" s="371"/>
      <c r="H591" s="371"/>
      <c r="I591" s="371"/>
      <c r="J591" s="371"/>
      <c r="K591" s="371"/>
      <c r="L591" s="371"/>
      <c r="M591" s="359"/>
      <c r="N591" s="397"/>
      <c r="O591" s="368"/>
      <c r="P591" s="226">
        <v>44066</v>
      </c>
      <c r="Q591" s="368"/>
      <c r="R591" s="351"/>
    </row>
    <row r="592" spans="1:20" ht="15" customHeight="1" thickBot="1" x14ac:dyDescent="0.35">
      <c r="A592" s="372"/>
      <c r="B592" s="372"/>
      <c r="C592" s="39">
        <v>5605</v>
      </c>
      <c r="D592" s="372"/>
      <c r="E592" s="372"/>
      <c r="F592" s="372"/>
      <c r="G592" s="372"/>
      <c r="H592" s="372"/>
      <c r="I592" s="372"/>
      <c r="J592" s="372"/>
      <c r="K592" s="372"/>
      <c r="L592" s="372"/>
      <c r="M592" s="360"/>
      <c r="N592" s="398"/>
      <c r="O592" s="369"/>
      <c r="P592" s="180"/>
      <c r="Q592" s="369"/>
      <c r="R592" s="351"/>
    </row>
    <row r="593" spans="1:20" ht="15" customHeight="1" thickBot="1" x14ac:dyDescent="0.35">
      <c r="A593" s="352" t="s">
        <v>73</v>
      </c>
      <c r="B593" s="353"/>
      <c r="C593" s="353"/>
      <c r="D593" s="353"/>
      <c r="E593" s="353"/>
      <c r="F593" s="353"/>
      <c r="G593" s="353"/>
      <c r="H593" s="353"/>
      <c r="I593" s="353"/>
      <c r="J593" s="353"/>
      <c r="K593" s="353"/>
      <c r="L593" s="353"/>
      <c r="M593" s="353"/>
      <c r="N593" s="353"/>
      <c r="O593" s="353"/>
      <c r="P593" s="353"/>
      <c r="Q593" s="354"/>
    </row>
    <row r="594" spans="1:20" ht="15" hidden="1" customHeight="1" x14ac:dyDescent="0.3">
      <c r="A594" s="367">
        <v>59</v>
      </c>
      <c r="B594" s="367" t="s">
        <v>233</v>
      </c>
      <c r="C594" s="40">
        <v>-5085</v>
      </c>
      <c r="D594" s="367">
        <v>1</v>
      </c>
      <c r="E594" s="367" t="s">
        <v>94</v>
      </c>
      <c r="F594" s="367">
        <v>1450</v>
      </c>
      <c r="G594" s="367">
        <v>1200</v>
      </c>
      <c r="H594" s="367" t="s">
        <v>44</v>
      </c>
      <c r="I594" s="367">
        <v>100</v>
      </c>
      <c r="J594" s="370" t="s">
        <v>45</v>
      </c>
      <c r="K594" s="367">
        <v>30</v>
      </c>
      <c r="L594" s="367">
        <v>58</v>
      </c>
      <c r="M594" s="358" t="s">
        <v>14</v>
      </c>
      <c r="N594" s="396" t="s">
        <v>234</v>
      </c>
      <c r="O594" s="367" t="s">
        <v>27</v>
      </c>
      <c r="P594" s="261"/>
      <c r="Q594" s="367" t="s">
        <v>235</v>
      </c>
      <c r="T594" s="200">
        <v>1</v>
      </c>
    </row>
    <row r="595" spans="1:20" ht="15" customHeight="1" x14ac:dyDescent="0.3">
      <c r="A595" s="368"/>
      <c r="B595" s="368"/>
      <c r="C595" s="41">
        <v>19175</v>
      </c>
      <c r="D595" s="368"/>
      <c r="E595" s="368"/>
      <c r="F595" s="368"/>
      <c r="G595" s="368"/>
      <c r="H595" s="368"/>
      <c r="I595" s="368"/>
      <c r="J595" s="371"/>
      <c r="K595" s="368"/>
      <c r="L595" s="368"/>
      <c r="M595" s="359"/>
      <c r="N595" s="397"/>
      <c r="O595" s="368"/>
      <c r="P595" s="226">
        <v>44090</v>
      </c>
      <c r="Q595" s="368"/>
    </row>
    <row r="596" spans="1:20" ht="15" customHeight="1" thickBot="1" x14ac:dyDescent="0.35">
      <c r="A596" s="369"/>
      <c r="B596" s="369"/>
      <c r="C596" s="42">
        <v>7527</v>
      </c>
      <c r="D596" s="369"/>
      <c r="E596" s="369"/>
      <c r="F596" s="369"/>
      <c r="G596" s="369"/>
      <c r="H596" s="369"/>
      <c r="I596" s="369"/>
      <c r="J596" s="372"/>
      <c r="K596" s="369"/>
      <c r="L596" s="369"/>
      <c r="M596" s="360"/>
      <c r="N596" s="398"/>
      <c r="O596" s="369"/>
      <c r="P596" s="262"/>
      <c r="Q596" s="369"/>
    </row>
    <row r="597" spans="1:20" ht="15" hidden="1" customHeight="1" x14ac:dyDescent="0.3">
      <c r="A597" s="367">
        <v>60</v>
      </c>
      <c r="B597" s="367" t="s">
        <v>233</v>
      </c>
      <c r="C597" s="40">
        <v>-5085</v>
      </c>
      <c r="D597" s="367">
        <v>1</v>
      </c>
      <c r="E597" s="367" t="s">
        <v>94</v>
      </c>
      <c r="F597" s="367">
        <v>1450</v>
      </c>
      <c r="G597" s="367">
        <v>1200</v>
      </c>
      <c r="H597" s="367" t="s">
        <v>44</v>
      </c>
      <c r="I597" s="367">
        <v>100</v>
      </c>
      <c r="J597" s="370" t="s">
        <v>45</v>
      </c>
      <c r="K597" s="367">
        <v>30</v>
      </c>
      <c r="L597" s="367">
        <v>58</v>
      </c>
      <c r="M597" s="358" t="s">
        <v>14</v>
      </c>
      <c r="N597" s="396" t="s">
        <v>234</v>
      </c>
      <c r="O597" s="367" t="s">
        <v>27</v>
      </c>
      <c r="P597" s="261"/>
      <c r="Q597" s="367" t="s">
        <v>235</v>
      </c>
      <c r="T597" s="200">
        <v>1</v>
      </c>
    </row>
    <row r="598" spans="1:20" ht="15" customHeight="1" x14ac:dyDescent="0.3">
      <c r="A598" s="368"/>
      <c r="B598" s="368"/>
      <c r="C598" s="41">
        <v>18675</v>
      </c>
      <c r="D598" s="368"/>
      <c r="E598" s="368"/>
      <c r="F598" s="368"/>
      <c r="G598" s="368"/>
      <c r="H598" s="368"/>
      <c r="I598" s="368"/>
      <c r="J598" s="371"/>
      <c r="K598" s="368"/>
      <c r="L598" s="368"/>
      <c r="M598" s="359"/>
      <c r="N598" s="397"/>
      <c r="O598" s="368"/>
      <c r="P598" s="226">
        <v>44090</v>
      </c>
      <c r="Q598" s="368"/>
    </row>
    <row r="599" spans="1:20" ht="15" customHeight="1" thickBot="1" x14ac:dyDescent="0.35">
      <c r="A599" s="369"/>
      <c r="B599" s="369"/>
      <c r="C599" s="42">
        <v>7527</v>
      </c>
      <c r="D599" s="369"/>
      <c r="E599" s="369"/>
      <c r="F599" s="369"/>
      <c r="G599" s="369"/>
      <c r="H599" s="369"/>
      <c r="I599" s="369"/>
      <c r="J599" s="372"/>
      <c r="K599" s="369"/>
      <c r="L599" s="369"/>
      <c r="M599" s="360"/>
      <c r="N599" s="398"/>
      <c r="O599" s="369"/>
      <c r="P599" s="262"/>
      <c r="Q599" s="369"/>
    </row>
    <row r="600" spans="1:20" ht="15" hidden="1" customHeight="1" x14ac:dyDescent="0.3">
      <c r="A600" s="367">
        <v>61</v>
      </c>
      <c r="B600" s="367" t="s">
        <v>179</v>
      </c>
      <c r="C600" s="40">
        <v>-4740</v>
      </c>
      <c r="D600" s="367">
        <v>1</v>
      </c>
      <c r="E600" s="367" t="s">
        <v>66</v>
      </c>
      <c r="F600" s="367">
        <v>1450</v>
      </c>
      <c r="G600" s="367">
        <v>1200</v>
      </c>
      <c r="H600" s="367" t="s">
        <v>50</v>
      </c>
      <c r="I600" s="367">
        <v>60</v>
      </c>
      <c r="J600" s="367" t="s">
        <v>236</v>
      </c>
      <c r="K600" s="367">
        <v>30</v>
      </c>
      <c r="L600" s="367">
        <v>10</v>
      </c>
      <c r="M600" s="358" t="s">
        <v>14</v>
      </c>
      <c r="N600" s="396" t="s">
        <v>234</v>
      </c>
      <c r="O600" s="367" t="s">
        <v>27</v>
      </c>
      <c r="P600" s="65"/>
      <c r="Q600" s="367" t="s">
        <v>237</v>
      </c>
      <c r="T600" s="200">
        <v>1</v>
      </c>
    </row>
    <row r="601" spans="1:20" ht="15" customHeight="1" x14ac:dyDescent="0.3">
      <c r="A601" s="368"/>
      <c r="B601" s="368"/>
      <c r="C601" s="41">
        <v>16550</v>
      </c>
      <c r="D601" s="368"/>
      <c r="E601" s="368"/>
      <c r="F601" s="368"/>
      <c r="G601" s="368"/>
      <c r="H601" s="368"/>
      <c r="I601" s="368"/>
      <c r="J601" s="368"/>
      <c r="K601" s="368"/>
      <c r="L601" s="368"/>
      <c r="M601" s="359"/>
      <c r="N601" s="397"/>
      <c r="O601" s="368"/>
      <c r="P601" s="226">
        <v>44066</v>
      </c>
      <c r="Q601" s="368"/>
    </row>
    <row r="602" spans="1:20" ht="15" customHeight="1" thickBot="1" x14ac:dyDescent="0.35">
      <c r="A602" s="369"/>
      <c r="B602" s="369"/>
      <c r="C602" s="42">
        <v>7527</v>
      </c>
      <c r="D602" s="369"/>
      <c r="E602" s="369"/>
      <c r="F602" s="369"/>
      <c r="G602" s="369"/>
      <c r="H602" s="369"/>
      <c r="I602" s="369"/>
      <c r="J602" s="369"/>
      <c r="K602" s="369"/>
      <c r="L602" s="369"/>
      <c r="M602" s="360"/>
      <c r="N602" s="398"/>
      <c r="O602" s="369"/>
      <c r="P602" s="67"/>
      <c r="Q602" s="369"/>
    </row>
    <row r="603" spans="1:20" ht="15" hidden="1" customHeight="1" x14ac:dyDescent="0.3">
      <c r="A603" s="367">
        <v>62</v>
      </c>
      <c r="B603" s="367" t="s">
        <v>179</v>
      </c>
      <c r="C603" s="40">
        <v>-4740</v>
      </c>
      <c r="D603" s="367">
        <v>1</v>
      </c>
      <c r="E603" s="367" t="s">
        <v>66</v>
      </c>
      <c r="F603" s="367">
        <v>1450</v>
      </c>
      <c r="G603" s="367">
        <v>1200</v>
      </c>
      <c r="H603" s="367" t="s">
        <v>50</v>
      </c>
      <c r="I603" s="367">
        <v>100</v>
      </c>
      <c r="J603" s="370" t="s">
        <v>45</v>
      </c>
      <c r="K603" s="367">
        <v>30</v>
      </c>
      <c r="L603" s="367">
        <v>10</v>
      </c>
      <c r="M603" s="358" t="s">
        <v>14</v>
      </c>
      <c r="N603" s="396" t="s">
        <v>234</v>
      </c>
      <c r="O603" s="367" t="s">
        <v>27</v>
      </c>
      <c r="P603" s="201"/>
      <c r="Q603" s="367" t="s">
        <v>238</v>
      </c>
      <c r="R603" s="186">
        <v>44066</v>
      </c>
      <c r="T603" s="200">
        <v>1</v>
      </c>
    </row>
    <row r="604" spans="1:20" ht="15" customHeight="1" x14ac:dyDescent="0.3">
      <c r="A604" s="368"/>
      <c r="B604" s="368"/>
      <c r="C604" s="41">
        <v>16300</v>
      </c>
      <c r="D604" s="368"/>
      <c r="E604" s="368"/>
      <c r="F604" s="368"/>
      <c r="G604" s="368"/>
      <c r="H604" s="368"/>
      <c r="I604" s="368"/>
      <c r="J604" s="371"/>
      <c r="K604" s="368"/>
      <c r="L604" s="368"/>
      <c r="M604" s="359"/>
      <c r="N604" s="397"/>
      <c r="O604" s="368"/>
      <c r="P604" s="226">
        <v>44066</v>
      </c>
      <c r="Q604" s="368"/>
    </row>
    <row r="605" spans="1:20" ht="15" customHeight="1" thickBot="1" x14ac:dyDescent="0.35">
      <c r="A605" s="369"/>
      <c r="B605" s="369"/>
      <c r="C605" s="42">
        <v>7527</v>
      </c>
      <c r="D605" s="369"/>
      <c r="E605" s="369"/>
      <c r="F605" s="369"/>
      <c r="G605" s="369"/>
      <c r="H605" s="369"/>
      <c r="I605" s="369"/>
      <c r="J605" s="372"/>
      <c r="K605" s="369"/>
      <c r="L605" s="369"/>
      <c r="M605" s="360"/>
      <c r="N605" s="398"/>
      <c r="O605" s="369"/>
      <c r="P605" s="203"/>
      <c r="Q605" s="369"/>
    </row>
    <row r="606" spans="1:20" ht="15" hidden="1" customHeight="1" x14ac:dyDescent="0.3">
      <c r="A606" s="367">
        <v>63</v>
      </c>
      <c r="B606" s="367" t="s">
        <v>174</v>
      </c>
      <c r="C606" s="40">
        <v>-4740</v>
      </c>
      <c r="D606" s="370">
        <v>0</v>
      </c>
      <c r="E606" s="367"/>
      <c r="F606" s="367">
        <v>1450</v>
      </c>
      <c r="G606" s="367">
        <v>1200</v>
      </c>
      <c r="H606" s="367" t="s">
        <v>50</v>
      </c>
      <c r="I606" s="367" t="s">
        <v>13</v>
      </c>
      <c r="J606" s="367" t="s">
        <v>13</v>
      </c>
      <c r="K606" s="367" t="s">
        <v>13</v>
      </c>
      <c r="L606" s="367" t="s">
        <v>13</v>
      </c>
      <c r="M606" s="358" t="s">
        <v>14</v>
      </c>
      <c r="N606" s="396" t="s">
        <v>234</v>
      </c>
      <c r="O606" s="367" t="s">
        <v>27</v>
      </c>
      <c r="P606" s="65"/>
      <c r="Q606" s="367" t="s">
        <v>176</v>
      </c>
      <c r="T606" s="200">
        <v>1</v>
      </c>
    </row>
    <row r="607" spans="1:20" ht="15" customHeight="1" x14ac:dyDescent="0.3">
      <c r="A607" s="368"/>
      <c r="B607" s="368"/>
      <c r="C607" s="41">
        <v>16050</v>
      </c>
      <c r="D607" s="371"/>
      <c r="E607" s="368"/>
      <c r="F607" s="368"/>
      <c r="G607" s="368"/>
      <c r="H607" s="368"/>
      <c r="I607" s="368"/>
      <c r="J607" s="368"/>
      <c r="K607" s="368"/>
      <c r="L607" s="368"/>
      <c r="M607" s="359"/>
      <c r="N607" s="397"/>
      <c r="O607" s="368"/>
      <c r="P607" s="226">
        <v>44066</v>
      </c>
      <c r="Q607" s="368"/>
    </row>
    <row r="608" spans="1:20" ht="15" customHeight="1" thickBot="1" x14ac:dyDescent="0.35">
      <c r="A608" s="369"/>
      <c r="B608" s="369"/>
      <c r="C608" s="42">
        <v>7527</v>
      </c>
      <c r="D608" s="372"/>
      <c r="E608" s="369"/>
      <c r="F608" s="369"/>
      <c r="G608" s="369"/>
      <c r="H608" s="369"/>
      <c r="I608" s="369"/>
      <c r="J608" s="369"/>
      <c r="K608" s="369"/>
      <c r="L608" s="369"/>
      <c r="M608" s="360"/>
      <c r="N608" s="398"/>
      <c r="O608" s="369"/>
      <c r="P608" s="67"/>
      <c r="Q608" s="369"/>
    </row>
    <row r="609" spans="1:20" ht="15" hidden="1" customHeight="1" x14ac:dyDescent="0.3">
      <c r="A609" s="367">
        <v>64</v>
      </c>
      <c r="B609" s="367" t="s">
        <v>179</v>
      </c>
      <c r="C609" s="40">
        <v>-4740</v>
      </c>
      <c r="D609" s="367">
        <v>1</v>
      </c>
      <c r="E609" s="367" t="s">
        <v>239</v>
      </c>
      <c r="F609" s="367">
        <v>1450</v>
      </c>
      <c r="G609" s="367">
        <v>1200</v>
      </c>
      <c r="H609" s="367" t="s">
        <v>50</v>
      </c>
      <c r="I609" s="367">
        <v>60</v>
      </c>
      <c r="J609" s="405" t="s">
        <v>562</v>
      </c>
      <c r="K609" s="367">
        <v>30</v>
      </c>
      <c r="L609" s="367">
        <v>0</v>
      </c>
      <c r="M609" s="358" t="s">
        <v>14</v>
      </c>
      <c r="N609" s="396" t="s">
        <v>234</v>
      </c>
      <c r="O609" s="367" t="s">
        <v>27</v>
      </c>
      <c r="P609" s="65"/>
      <c r="Q609" s="367" t="s">
        <v>240</v>
      </c>
      <c r="T609" s="200">
        <v>1</v>
      </c>
    </row>
    <row r="610" spans="1:20" ht="15" customHeight="1" x14ac:dyDescent="0.3">
      <c r="A610" s="368"/>
      <c r="B610" s="368"/>
      <c r="C610" s="41">
        <v>15800</v>
      </c>
      <c r="D610" s="368"/>
      <c r="E610" s="368"/>
      <c r="F610" s="368"/>
      <c r="G610" s="368"/>
      <c r="H610" s="368"/>
      <c r="I610" s="368"/>
      <c r="J610" s="406"/>
      <c r="K610" s="368"/>
      <c r="L610" s="368"/>
      <c r="M610" s="359"/>
      <c r="N610" s="397"/>
      <c r="O610" s="368"/>
      <c r="P610" s="226">
        <v>44066</v>
      </c>
      <c r="Q610" s="368"/>
    </row>
    <row r="611" spans="1:20" ht="15" customHeight="1" thickBot="1" x14ac:dyDescent="0.35">
      <c r="A611" s="369"/>
      <c r="B611" s="369"/>
      <c r="C611" s="42">
        <v>7527</v>
      </c>
      <c r="D611" s="369"/>
      <c r="E611" s="369"/>
      <c r="F611" s="369"/>
      <c r="G611" s="369"/>
      <c r="H611" s="369"/>
      <c r="I611" s="369"/>
      <c r="J611" s="407"/>
      <c r="K611" s="369"/>
      <c r="L611" s="369"/>
      <c r="M611" s="360"/>
      <c r="N611" s="398"/>
      <c r="O611" s="369"/>
      <c r="P611" s="67"/>
      <c r="Q611" s="369"/>
    </row>
    <row r="612" spans="1:20" ht="15" hidden="1" customHeight="1" x14ac:dyDescent="0.3">
      <c r="A612" s="367">
        <v>65</v>
      </c>
      <c r="B612" s="367" t="s">
        <v>174</v>
      </c>
      <c r="C612" s="40">
        <v>-3290</v>
      </c>
      <c r="D612" s="370">
        <v>0</v>
      </c>
      <c r="E612" s="367" t="s">
        <v>13</v>
      </c>
      <c r="F612" s="367">
        <v>1450</v>
      </c>
      <c r="G612" s="367">
        <v>1200</v>
      </c>
      <c r="H612" s="367" t="s">
        <v>50</v>
      </c>
      <c r="I612" s="367" t="s">
        <v>13</v>
      </c>
      <c r="J612" s="367" t="s">
        <v>13</v>
      </c>
      <c r="K612" s="367" t="s">
        <v>13</v>
      </c>
      <c r="L612" s="367" t="s">
        <v>13</v>
      </c>
      <c r="M612" s="358" t="s">
        <v>14</v>
      </c>
      <c r="N612" s="396" t="s">
        <v>234</v>
      </c>
      <c r="O612" s="367" t="s">
        <v>27</v>
      </c>
      <c r="P612" s="65"/>
      <c r="Q612" s="367" t="s">
        <v>176</v>
      </c>
      <c r="T612" s="200">
        <v>1</v>
      </c>
    </row>
    <row r="613" spans="1:20" ht="15" customHeight="1" x14ac:dyDescent="0.3">
      <c r="A613" s="368"/>
      <c r="B613" s="368"/>
      <c r="C613" s="41">
        <v>20500</v>
      </c>
      <c r="D613" s="371"/>
      <c r="E613" s="368"/>
      <c r="F613" s="368"/>
      <c r="G613" s="368"/>
      <c r="H613" s="368"/>
      <c r="I613" s="368"/>
      <c r="J613" s="368"/>
      <c r="K613" s="368"/>
      <c r="L613" s="368"/>
      <c r="M613" s="359"/>
      <c r="N613" s="397"/>
      <c r="O613" s="368"/>
      <c r="P613" s="226">
        <v>44066</v>
      </c>
      <c r="Q613" s="368"/>
    </row>
    <row r="614" spans="1:20" ht="15" customHeight="1" thickBot="1" x14ac:dyDescent="0.35">
      <c r="A614" s="369"/>
      <c r="B614" s="369"/>
      <c r="C614" s="42">
        <v>7527</v>
      </c>
      <c r="D614" s="372"/>
      <c r="E614" s="369"/>
      <c r="F614" s="369"/>
      <c r="G614" s="369"/>
      <c r="H614" s="369"/>
      <c r="I614" s="369"/>
      <c r="J614" s="369"/>
      <c r="K614" s="369"/>
      <c r="L614" s="369"/>
      <c r="M614" s="360"/>
      <c r="N614" s="398"/>
      <c r="O614" s="369"/>
      <c r="P614" s="67"/>
      <c r="Q614" s="369"/>
    </row>
    <row r="615" spans="1:20" ht="15" hidden="1" customHeight="1" x14ac:dyDescent="0.3">
      <c r="A615" s="367">
        <v>66</v>
      </c>
      <c r="B615" s="367" t="s">
        <v>174</v>
      </c>
      <c r="C615" s="40">
        <v>-2990</v>
      </c>
      <c r="D615" s="370">
        <v>0</v>
      </c>
      <c r="E615" s="367" t="s">
        <v>13</v>
      </c>
      <c r="F615" s="367">
        <v>1450</v>
      </c>
      <c r="G615" s="367">
        <v>1200</v>
      </c>
      <c r="H615" s="367" t="s">
        <v>50</v>
      </c>
      <c r="I615" s="367" t="s">
        <v>13</v>
      </c>
      <c r="J615" s="367" t="s">
        <v>13</v>
      </c>
      <c r="K615" s="367" t="s">
        <v>13</v>
      </c>
      <c r="L615" s="367" t="s">
        <v>13</v>
      </c>
      <c r="M615" s="358" t="s">
        <v>14</v>
      </c>
      <c r="N615" s="396" t="s">
        <v>234</v>
      </c>
      <c r="O615" s="367" t="s">
        <v>27</v>
      </c>
      <c r="P615" s="65"/>
      <c r="Q615" s="367" t="s">
        <v>176</v>
      </c>
      <c r="T615" s="200">
        <v>1</v>
      </c>
    </row>
    <row r="616" spans="1:20" ht="15" customHeight="1" x14ac:dyDescent="0.3">
      <c r="A616" s="368"/>
      <c r="B616" s="368"/>
      <c r="C616" s="41">
        <v>20500</v>
      </c>
      <c r="D616" s="371"/>
      <c r="E616" s="368"/>
      <c r="F616" s="368"/>
      <c r="G616" s="368"/>
      <c r="H616" s="368"/>
      <c r="I616" s="368"/>
      <c r="J616" s="368"/>
      <c r="K616" s="368"/>
      <c r="L616" s="368"/>
      <c r="M616" s="359"/>
      <c r="N616" s="397"/>
      <c r="O616" s="368"/>
      <c r="P616" s="226">
        <v>44066</v>
      </c>
      <c r="Q616" s="368"/>
    </row>
    <row r="617" spans="1:20" ht="15" customHeight="1" thickBot="1" x14ac:dyDescent="0.35">
      <c r="A617" s="369"/>
      <c r="B617" s="369"/>
      <c r="C617" s="42">
        <v>7527</v>
      </c>
      <c r="D617" s="372"/>
      <c r="E617" s="369"/>
      <c r="F617" s="369"/>
      <c r="G617" s="369"/>
      <c r="H617" s="369"/>
      <c r="I617" s="369"/>
      <c r="J617" s="369"/>
      <c r="K617" s="369"/>
      <c r="L617" s="369"/>
      <c r="M617" s="360"/>
      <c r="N617" s="398"/>
      <c r="O617" s="369"/>
      <c r="P617" s="67"/>
      <c r="Q617" s="369"/>
    </row>
    <row r="618" spans="1:20" ht="15" hidden="1" customHeight="1" x14ac:dyDescent="0.3">
      <c r="A618" s="367">
        <v>67</v>
      </c>
      <c r="B618" s="367" t="s">
        <v>174</v>
      </c>
      <c r="C618" s="40">
        <v>-2990</v>
      </c>
      <c r="D618" s="370">
        <v>0</v>
      </c>
      <c r="E618" s="367" t="s">
        <v>13</v>
      </c>
      <c r="F618" s="367">
        <v>1450</v>
      </c>
      <c r="G618" s="367">
        <v>1200</v>
      </c>
      <c r="H618" s="367" t="s">
        <v>50</v>
      </c>
      <c r="I618" s="367" t="s">
        <v>13</v>
      </c>
      <c r="J618" s="367" t="s">
        <v>13</v>
      </c>
      <c r="K618" s="367" t="s">
        <v>13</v>
      </c>
      <c r="L618" s="367" t="s">
        <v>13</v>
      </c>
      <c r="M618" s="358" t="s">
        <v>14</v>
      </c>
      <c r="N618" s="396" t="s">
        <v>234</v>
      </c>
      <c r="O618" s="367" t="s">
        <v>27</v>
      </c>
      <c r="P618" s="65"/>
      <c r="Q618" s="367" t="s">
        <v>176</v>
      </c>
      <c r="T618" s="200">
        <v>1</v>
      </c>
    </row>
    <row r="619" spans="1:20" ht="15" customHeight="1" x14ac:dyDescent="0.3">
      <c r="A619" s="368"/>
      <c r="B619" s="368"/>
      <c r="C619" s="41">
        <v>20800</v>
      </c>
      <c r="D619" s="371"/>
      <c r="E619" s="368"/>
      <c r="F619" s="368"/>
      <c r="G619" s="368"/>
      <c r="H619" s="368"/>
      <c r="I619" s="368"/>
      <c r="J619" s="368"/>
      <c r="K619" s="368"/>
      <c r="L619" s="368"/>
      <c r="M619" s="359"/>
      <c r="N619" s="397"/>
      <c r="O619" s="368"/>
      <c r="P619" s="226">
        <v>44066</v>
      </c>
      <c r="Q619" s="368"/>
    </row>
    <row r="620" spans="1:20" ht="15" customHeight="1" thickBot="1" x14ac:dyDescent="0.35">
      <c r="A620" s="369"/>
      <c r="B620" s="369"/>
      <c r="C620" s="42">
        <v>7527</v>
      </c>
      <c r="D620" s="372"/>
      <c r="E620" s="369"/>
      <c r="F620" s="369"/>
      <c r="G620" s="369"/>
      <c r="H620" s="369"/>
      <c r="I620" s="369"/>
      <c r="J620" s="369"/>
      <c r="K620" s="369"/>
      <c r="L620" s="369"/>
      <c r="M620" s="360"/>
      <c r="N620" s="398"/>
      <c r="O620" s="369"/>
      <c r="P620" s="67"/>
      <c r="Q620" s="369"/>
    </row>
    <row r="621" spans="1:20" ht="15" hidden="1" customHeight="1" x14ac:dyDescent="0.3">
      <c r="A621" s="367">
        <v>68</v>
      </c>
      <c r="B621" s="367" t="s">
        <v>174</v>
      </c>
      <c r="C621" s="40">
        <v>-3290</v>
      </c>
      <c r="D621" s="370">
        <v>0</v>
      </c>
      <c r="E621" s="367" t="s">
        <v>13</v>
      </c>
      <c r="F621" s="367">
        <v>1450</v>
      </c>
      <c r="G621" s="367">
        <v>1200</v>
      </c>
      <c r="H621" s="367" t="s">
        <v>50</v>
      </c>
      <c r="I621" s="367" t="s">
        <v>13</v>
      </c>
      <c r="J621" s="367" t="s">
        <v>13</v>
      </c>
      <c r="K621" s="367" t="s">
        <v>13</v>
      </c>
      <c r="L621" s="367" t="s">
        <v>13</v>
      </c>
      <c r="M621" s="358" t="s">
        <v>14</v>
      </c>
      <c r="N621" s="396" t="s">
        <v>234</v>
      </c>
      <c r="O621" s="367" t="s">
        <v>27</v>
      </c>
      <c r="P621" s="65"/>
      <c r="Q621" s="367" t="s">
        <v>176</v>
      </c>
      <c r="T621" s="200">
        <v>1</v>
      </c>
    </row>
    <row r="622" spans="1:20" ht="15" customHeight="1" x14ac:dyDescent="0.3">
      <c r="A622" s="368"/>
      <c r="B622" s="368"/>
      <c r="C622" s="41">
        <v>20800</v>
      </c>
      <c r="D622" s="371"/>
      <c r="E622" s="368"/>
      <c r="F622" s="368"/>
      <c r="G622" s="368"/>
      <c r="H622" s="368"/>
      <c r="I622" s="368"/>
      <c r="J622" s="368"/>
      <c r="K622" s="368"/>
      <c r="L622" s="368"/>
      <c r="M622" s="359"/>
      <c r="N622" s="397"/>
      <c r="O622" s="368"/>
      <c r="P622" s="226">
        <v>44066</v>
      </c>
      <c r="Q622" s="368"/>
    </row>
    <row r="623" spans="1:20" ht="15" customHeight="1" thickBot="1" x14ac:dyDescent="0.35">
      <c r="A623" s="369"/>
      <c r="B623" s="369"/>
      <c r="C623" s="42">
        <v>7527</v>
      </c>
      <c r="D623" s="372"/>
      <c r="E623" s="369"/>
      <c r="F623" s="369"/>
      <c r="G623" s="369"/>
      <c r="H623" s="369"/>
      <c r="I623" s="369"/>
      <c r="J623" s="369"/>
      <c r="K623" s="369"/>
      <c r="L623" s="369"/>
      <c r="M623" s="360"/>
      <c r="N623" s="398"/>
      <c r="O623" s="369"/>
      <c r="P623" s="67"/>
      <c r="Q623" s="369"/>
    </row>
    <row r="624" spans="1:20" ht="15" hidden="1" customHeight="1" x14ac:dyDescent="0.3">
      <c r="A624" s="367">
        <v>69</v>
      </c>
      <c r="B624" s="367" t="s">
        <v>174</v>
      </c>
      <c r="C624" s="40">
        <v>80</v>
      </c>
      <c r="D624" s="370">
        <v>0</v>
      </c>
      <c r="E624" s="367" t="s">
        <v>13</v>
      </c>
      <c r="F624" s="367">
        <v>1450</v>
      </c>
      <c r="G624" s="367">
        <v>1200</v>
      </c>
      <c r="H624" s="367" t="s">
        <v>50</v>
      </c>
      <c r="I624" s="367" t="s">
        <v>13</v>
      </c>
      <c r="J624" s="367" t="s">
        <v>13</v>
      </c>
      <c r="K624" s="367" t="s">
        <v>13</v>
      </c>
      <c r="L624" s="367" t="s">
        <v>13</v>
      </c>
      <c r="M624" s="358" t="s">
        <v>14</v>
      </c>
      <c r="N624" s="396" t="s">
        <v>234</v>
      </c>
      <c r="O624" s="367" t="s">
        <v>27</v>
      </c>
      <c r="P624" s="65"/>
      <c r="Q624" s="367" t="s">
        <v>176</v>
      </c>
      <c r="T624" s="200">
        <v>1</v>
      </c>
    </row>
    <row r="625" spans="1:20" ht="15" customHeight="1" x14ac:dyDescent="0.3">
      <c r="A625" s="368"/>
      <c r="B625" s="368"/>
      <c r="C625" s="41">
        <v>20810</v>
      </c>
      <c r="D625" s="371"/>
      <c r="E625" s="368"/>
      <c r="F625" s="368"/>
      <c r="G625" s="368"/>
      <c r="H625" s="368"/>
      <c r="I625" s="368"/>
      <c r="J625" s="368"/>
      <c r="K625" s="368"/>
      <c r="L625" s="368"/>
      <c r="M625" s="359"/>
      <c r="N625" s="397"/>
      <c r="O625" s="368"/>
      <c r="P625" s="226">
        <v>44066</v>
      </c>
      <c r="Q625" s="368"/>
    </row>
    <row r="626" spans="1:20" ht="15" customHeight="1" thickBot="1" x14ac:dyDescent="0.35">
      <c r="A626" s="369"/>
      <c r="B626" s="369"/>
      <c r="C626" s="42">
        <v>7527</v>
      </c>
      <c r="D626" s="372"/>
      <c r="E626" s="369"/>
      <c r="F626" s="369"/>
      <c r="G626" s="369"/>
      <c r="H626" s="369"/>
      <c r="I626" s="369"/>
      <c r="J626" s="369"/>
      <c r="K626" s="369"/>
      <c r="L626" s="369"/>
      <c r="M626" s="360"/>
      <c r="N626" s="398"/>
      <c r="O626" s="369"/>
      <c r="P626" s="67"/>
      <c r="Q626" s="369"/>
    </row>
    <row r="627" spans="1:20" ht="15" hidden="1" customHeight="1" x14ac:dyDescent="0.3">
      <c r="A627" s="367">
        <v>70</v>
      </c>
      <c r="B627" s="367" t="s">
        <v>174</v>
      </c>
      <c r="C627" s="40">
        <v>-95</v>
      </c>
      <c r="D627" s="370">
        <v>0</v>
      </c>
      <c r="E627" s="367" t="s">
        <v>13</v>
      </c>
      <c r="F627" s="367">
        <v>1450</v>
      </c>
      <c r="G627" s="367">
        <v>1200</v>
      </c>
      <c r="H627" s="367" t="s">
        <v>50</v>
      </c>
      <c r="I627" s="367" t="s">
        <v>13</v>
      </c>
      <c r="J627" s="367" t="s">
        <v>13</v>
      </c>
      <c r="K627" s="367" t="s">
        <v>13</v>
      </c>
      <c r="L627" s="367" t="s">
        <v>13</v>
      </c>
      <c r="M627" s="358" t="s">
        <v>14</v>
      </c>
      <c r="N627" s="396" t="s">
        <v>234</v>
      </c>
      <c r="O627" s="367" t="s">
        <v>27</v>
      </c>
      <c r="P627" s="65"/>
      <c r="Q627" s="367" t="s">
        <v>176</v>
      </c>
      <c r="T627" s="200">
        <v>1</v>
      </c>
    </row>
    <row r="628" spans="1:20" ht="15" customHeight="1" x14ac:dyDescent="0.3">
      <c r="A628" s="368"/>
      <c r="B628" s="368"/>
      <c r="C628" s="41">
        <v>21055</v>
      </c>
      <c r="D628" s="371"/>
      <c r="E628" s="368"/>
      <c r="F628" s="368"/>
      <c r="G628" s="368"/>
      <c r="H628" s="368"/>
      <c r="I628" s="368"/>
      <c r="J628" s="368"/>
      <c r="K628" s="368"/>
      <c r="L628" s="368"/>
      <c r="M628" s="359"/>
      <c r="N628" s="397"/>
      <c r="O628" s="368"/>
      <c r="P628" s="226">
        <v>44066</v>
      </c>
      <c r="Q628" s="368"/>
    </row>
    <row r="629" spans="1:20" ht="15" customHeight="1" thickBot="1" x14ac:dyDescent="0.35">
      <c r="A629" s="369"/>
      <c r="B629" s="369"/>
      <c r="C629" s="42">
        <v>7527</v>
      </c>
      <c r="D629" s="372"/>
      <c r="E629" s="369"/>
      <c r="F629" s="369"/>
      <c r="G629" s="369"/>
      <c r="H629" s="369"/>
      <c r="I629" s="369"/>
      <c r="J629" s="369"/>
      <c r="K629" s="369"/>
      <c r="L629" s="369"/>
      <c r="M629" s="360"/>
      <c r="N629" s="398"/>
      <c r="O629" s="369"/>
      <c r="P629" s="67"/>
      <c r="Q629" s="369"/>
    </row>
    <row r="630" spans="1:20" ht="15" hidden="1" customHeight="1" x14ac:dyDescent="0.3">
      <c r="A630" s="367">
        <v>71</v>
      </c>
      <c r="B630" s="367" t="s">
        <v>174</v>
      </c>
      <c r="C630" s="40">
        <v>2305</v>
      </c>
      <c r="D630" s="370">
        <v>0</v>
      </c>
      <c r="E630" s="367" t="s">
        <v>13</v>
      </c>
      <c r="F630" s="367">
        <v>1450</v>
      </c>
      <c r="G630" s="367">
        <v>1200</v>
      </c>
      <c r="H630" s="367" t="s">
        <v>50</v>
      </c>
      <c r="I630" s="367" t="s">
        <v>13</v>
      </c>
      <c r="J630" s="367" t="s">
        <v>13</v>
      </c>
      <c r="K630" s="367" t="s">
        <v>13</v>
      </c>
      <c r="L630" s="367" t="s">
        <v>13</v>
      </c>
      <c r="M630" s="358" t="s">
        <v>14</v>
      </c>
      <c r="N630" s="396" t="s">
        <v>234</v>
      </c>
      <c r="O630" s="367" t="s">
        <v>27</v>
      </c>
      <c r="P630" s="65"/>
      <c r="Q630" s="367" t="s">
        <v>176</v>
      </c>
      <c r="T630" s="200">
        <v>1</v>
      </c>
    </row>
    <row r="631" spans="1:20" ht="15" customHeight="1" x14ac:dyDescent="0.3">
      <c r="A631" s="368"/>
      <c r="B631" s="368"/>
      <c r="C631" s="41">
        <v>17085</v>
      </c>
      <c r="D631" s="371"/>
      <c r="E631" s="368"/>
      <c r="F631" s="368"/>
      <c r="G631" s="368"/>
      <c r="H631" s="368"/>
      <c r="I631" s="368"/>
      <c r="J631" s="368"/>
      <c r="K631" s="368"/>
      <c r="L631" s="368"/>
      <c r="M631" s="359"/>
      <c r="N631" s="397"/>
      <c r="O631" s="368"/>
      <c r="P631" s="226">
        <v>44066</v>
      </c>
      <c r="Q631" s="368"/>
    </row>
    <row r="632" spans="1:20" ht="15" customHeight="1" thickBot="1" x14ac:dyDescent="0.35">
      <c r="A632" s="369"/>
      <c r="B632" s="369"/>
      <c r="C632" s="42">
        <v>7527</v>
      </c>
      <c r="D632" s="372"/>
      <c r="E632" s="369"/>
      <c r="F632" s="369"/>
      <c r="G632" s="369"/>
      <c r="H632" s="369"/>
      <c r="I632" s="369"/>
      <c r="J632" s="369"/>
      <c r="K632" s="369"/>
      <c r="L632" s="369"/>
      <c r="M632" s="360"/>
      <c r="N632" s="398"/>
      <c r="O632" s="369"/>
      <c r="P632" s="67"/>
      <c r="Q632" s="369"/>
    </row>
    <row r="633" spans="1:20" ht="15" hidden="1" customHeight="1" x14ac:dyDescent="0.3">
      <c r="A633" s="367">
        <v>72</v>
      </c>
      <c r="B633" s="367" t="s">
        <v>174</v>
      </c>
      <c r="C633" s="40">
        <v>2105</v>
      </c>
      <c r="D633" s="370">
        <v>0</v>
      </c>
      <c r="E633" s="367" t="s">
        <v>13</v>
      </c>
      <c r="F633" s="367">
        <v>1450</v>
      </c>
      <c r="G633" s="367">
        <v>1200</v>
      </c>
      <c r="H633" s="367" t="s">
        <v>50</v>
      </c>
      <c r="I633" s="367" t="s">
        <v>13</v>
      </c>
      <c r="J633" s="367" t="s">
        <v>13</v>
      </c>
      <c r="K633" s="367" t="s">
        <v>13</v>
      </c>
      <c r="L633" s="367" t="s">
        <v>13</v>
      </c>
      <c r="M633" s="358" t="s">
        <v>14</v>
      </c>
      <c r="N633" s="396" t="s">
        <v>234</v>
      </c>
      <c r="O633" s="367" t="s">
        <v>27</v>
      </c>
      <c r="P633" s="65"/>
      <c r="Q633" s="367" t="s">
        <v>176</v>
      </c>
      <c r="T633" s="200">
        <v>1</v>
      </c>
    </row>
    <row r="634" spans="1:20" ht="15" customHeight="1" x14ac:dyDescent="0.3">
      <c r="A634" s="368"/>
      <c r="B634" s="368"/>
      <c r="C634" s="41">
        <v>16945</v>
      </c>
      <c r="D634" s="371"/>
      <c r="E634" s="368"/>
      <c r="F634" s="368"/>
      <c r="G634" s="368"/>
      <c r="H634" s="368"/>
      <c r="I634" s="368"/>
      <c r="J634" s="368"/>
      <c r="K634" s="368"/>
      <c r="L634" s="368"/>
      <c r="M634" s="359"/>
      <c r="N634" s="397"/>
      <c r="O634" s="368"/>
      <c r="P634" s="226">
        <v>44066</v>
      </c>
      <c r="Q634" s="368"/>
    </row>
    <row r="635" spans="1:20" ht="15" customHeight="1" thickBot="1" x14ac:dyDescent="0.35">
      <c r="A635" s="369"/>
      <c r="B635" s="369"/>
      <c r="C635" s="42">
        <v>7527</v>
      </c>
      <c r="D635" s="372"/>
      <c r="E635" s="369"/>
      <c r="F635" s="369"/>
      <c r="G635" s="369"/>
      <c r="H635" s="369"/>
      <c r="I635" s="369"/>
      <c r="J635" s="369"/>
      <c r="K635" s="369"/>
      <c r="L635" s="369"/>
      <c r="M635" s="360"/>
      <c r="N635" s="398"/>
      <c r="O635" s="369"/>
      <c r="P635" s="67"/>
      <c r="Q635" s="369"/>
    </row>
    <row r="636" spans="1:20" ht="15" hidden="1" customHeight="1" x14ac:dyDescent="0.3">
      <c r="A636" s="367">
        <v>73</v>
      </c>
      <c r="B636" s="367" t="s">
        <v>174</v>
      </c>
      <c r="C636" s="40">
        <v>1540</v>
      </c>
      <c r="D636" s="370">
        <v>0</v>
      </c>
      <c r="E636" s="367" t="s">
        <v>13</v>
      </c>
      <c r="F636" s="367">
        <v>1450</v>
      </c>
      <c r="G636" s="367">
        <v>1200</v>
      </c>
      <c r="H636" s="367" t="s">
        <v>55</v>
      </c>
      <c r="I636" s="367" t="s">
        <v>13</v>
      </c>
      <c r="J636" s="367" t="s">
        <v>13</v>
      </c>
      <c r="K636" s="367" t="s">
        <v>13</v>
      </c>
      <c r="L636" s="367" t="s">
        <v>13</v>
      </c>
      <c r="M636" s="358" t="s">
        <v>14</v>
      </c>
      <c r="N636" s="396" t="s">
        <v>234</v>
      </c>
      <c r="O636" s="367" t="s">
        <v>27</v>
      </c>
      <c r="P636" s="65"/>
      <c r="Q636" s="367" t="s">
        <v>176</v>
      </c>
      <c r="T636" s="200">
        <v>1</v>
      </c>
    </row>
    <row r="637" spans="1:20" ht="15" customHeight="1" x14ac:dyDescent="0.3">
      <c r="A637" s="368"/>
      <c r="B637" s="368"/>
      <c r="C637" s="41">
        <v>16545</v>
      </c>
      <c r="D637" s="371"/>
      <c r="E637" s="368"/>
      <c r="F637" s="368"/>
      <c r="G637" s="368"/>
      <c r="H637" s="368"/>
      <c r="I637" s="368"/>
      <c r="J637" s="368"/>
      <c r="K637" s="368"/>
      <c r="L637" s="368"/>
      <c r="M637" s="359"/>
      <c r="N637" s="397"/>
      <c r="O637" s="368"/>
      <c r="P637" s="226">
        <v>44066</v>
      </c>
      <c r="Q637" s="368"/>
    </row>
    <row r="638" spans="1:20" ht="15" customHeight="1" thickBot="1" x14ac:dyDescent="0.35">
      <c r="A638" s="369"/>
      <c r="B638" s="369"/>
      <c r="C638" s="42">
        <v>7527</v>
      </c>
      <c r="D638" s="372"/>
      <c r="E638" s="369"/>
      <c r="F638" s="369"/>
      <c r="G638" s="369"/>
      <c r="H638" s="369"/>
      <c r="I638" s="369"/>
      <c r="J638" s="369"/>
      <c r="K638" s="369"/>
      <c r="L638" s="369"/>
      <c r="M638" s="360"/>
      <c r="N638" s="398"/>
      <c r="O638" s="369"/>
      <c r="P638" s="67"/>
      <c r="Q638" s="369"/>
    </row>
    <row r="639" spans="1:20" ht="15" hidden="1" customHeight="1" x14ac:dyDescent="0.3">
      <c r="A639" s="367">
        <v>74</v>
      </c>
      <c r="B639" s="367" t="s">
        <v>241</v>
      </c>
      <c r="C639" s="40">
        <v>-100</v>
      </c>
      <c r="D639" s="367">
        <v>1</v>
      </c>
      <c r="E639" s="367" t="s">
        <v>242</v>
      </c>
      <c r="F639" s="367">
        <v>1450</v>
      </c>
      <c r="G639" s="367">
        <v>1200</v>
      </c>
      <c r="H639" s="367" t="s">
        <v>55</v>
      </c>
      <c r="I639" s="367">
        <v>300</v>
      </c>
      <c r="J639" s="370" t="s">
        <v>45</v>
      </c>
      <c r="K639" s="367">
        <v>100</v>
      </c>
      <c r="L639" s="367">
        <v>-50</v>
      </c>
      <c r="M639" s="358" t="s">
        <v>14</v>
      </c>
      <c r="N639" s="396" t="s">
        <v>234</v>
      </c>
      <c r="O639" s="367" t="s">
        <v>27</v>
      </c>
      <c r="P639" s="65"/>
      <c r="Q639" s="367" t="s">
        <v>243</v>
      </c>
      <c r="T639" s="200">
        <v>1</v>
      </c>
    </row>
    <row r="640" spans="1:20" ht="15" customHeight="1" x14ac:dyDescent="0.3">
      <c r="A640" s="368"/>
      <c r="B640" s="368"/>
      <c r="C640" s="41">
        <v>15400</v>
      </c>
      <c r="D640" s="368"/>
      <c r="E640" s="368"/>
      <c r="F640" s="368"/>
      <c r="G640" s="368"/>
      <c r="H640" s="368"/>
      <c r="I640" s="368"/>
      <c r="J640" s="371"/>
      <c r="K640" s="368"/>
      <c r="L640" s="368"/>
      <c r="M640" s="359"/>
      <c r="N640" s="397"/>
      <c r="O640" s="368"/>
      <c r="P640" s="226">
        <v>44066</v>
      </c>
      <c r="Q640" s="368"/>
    </row>
    <row r="641" spans="1:20" ht="15" customHeight="1" thickBot="1" x14ac:dyDescent="0.35">
      <c r="A641" s="369"/>
      <c r="B641" s="369"/>
      <c r="C641" s="42">
        <v>7527</v>
      </c>
      <c r="D641" s="369"/>
      <c r="E641" s="369"/>
      <c r="F641" s="369"/>
      <c r="G641" s="369"/>
      <c r="H641" s="369"/>
      <c r="I641" s="369"/>
      <c r="J641" s="372"/>
      <c r="K641" s="369"/>
      <c r="L641" s="369"/>
      <c r="M641" s="360"/>
      <c r="N641" s="398"/>
      <c r="O641" s="369"/>
      <c r="P641" s="67"/>
      <c r="Q641" s="369"/>
    </row>
    <row r="642" spans="1:20" ht="15" hidden="1" customHeight="1" x14ac:dyDescent="0.3">
      <c r="A642" s="367">
        <v>75</v>
      </c>
      <c r="B642" s="367" t="s">
        <v>230</v>
      </c>
      <c r="C642" s="40">
        <v>-4640</v>
      </c>
      <c r="D642" s="367">
        <v>1</v>
      </c>
      <c r="E642" s="367" t="s">
        <v>161</v>
      </c>
      <c r="F642" s="367">
        <v>1450</v>
      </c>
      <c r="G642" s="367">
        <v>1200</v>
      </c>
      <c r="H642" s="367" t="s">
        <v>50</v>
      </c>
      <c r="I642" s="367">
        <v>150</v>
      </c>
      <c r="J642" s="370" t="s">
        <v>45</v>
      </c>
      <c r="K642" s="367">
        <v>40</v>
      </c>
      <c r="L642" s="367">
        <v>-7</v>
      </c>
      <c r="M642" s="358" t="s">
        <v>14</v>
      </c>
      <c r="N642" s="396" t="s">
        <v>234</v>
      </c>
      <c r="O642" s="367" t="s">
        <v>27</v>
      </c>
      <c r="P642" s="184"/>
      <c r="Q642" s="367" t="s">
        <v>243</v>
      </c>
      <c r="R642" s="186">
        <v>44068</v>
      </c>
      <c r="T642" s="200">
        <v>1</v>
      </c>
    </row>
    <row r="643" spans="1:20" ht="15" customHeight="1" x14ac:dyDescent="0.3">
      <c r="A643" s="368"/>
      <c r="B643" s="368"/>
      <c r="C643" s="41">
        <v>12700</v>
      </c>
      <c r="D643" s="368"/>
      <c r="E643" s="368"/>
      <c r="F643" s="368"/>
      <c r="G643" s="368"/>
      <c r="H643" s="368"/>
      <c r="I643" s="368"/>
      <c r="J643" s="371"/>
      <c r="K643" s="368"/>
      <c r="L643" s="368"/>
      <c r="M643" s="359"/>
      <c r="N643" s="397"/>
      <c r="O643" s="368"/>
      <c r="P643" s="226">
        <v>44066</v>
      </c>
      <c r="Q643" s="368"/>
    </row>
    <row r="644" spans="1:20" ht="15" customHeight="1" thickBot="1" x14ac:dyDescent="0.35">
      <c r="A644" s="369"/>
      <c r="B644" s="369"/>
      <c r="C644" s="42">
        <v>7527</v>
      </c>
      <c r="D644" s="369"/>
      <c r="E644" s="369"/>
      <c r="F644" s="369"/>
      <c r="G644" s="369"/>
      <c r="H644" s="369"/>
      <c r="I644" s="369"/>
      <c r="J644" s="372"/>
      <c r="K644" s="369"/>
      <c r="L644" s="369"/>
      <c r="M644" s="360"/>
      <c r="N644" s="398"/>
      <c r="O644" s="369"/>
      <c r="P644" s="185"/>
      <c r="Q644" s="369"/>
    </row>
    <row r="645" spans="1:20" ht="15" hidden="1" customHeight="1" x14ac:dyDescent="0.3">
      <c r="A645" s="367">
        <v>76</v>
      </c>
      <c r="B645" s="367" t="s">
        <v>230</v>
      </c>
      <c r="C645" s="40">
        <v>-4640</v>
      </c>
      <c r="D645" s="367">
        <v>1</v>
      </c>
      <c r="E645" s="367" t="s">
        <v>66</v>
      </c>
      <c r="F645" s="367">
        <v>1450</v>
      </c>
      <c r="G645" s="367">
        <v>1200</v>
      </c>
      <c r="H645" s="367" t="s">
        <v>50</v>
      </c>
      <c r="I645" s="367">
        <v>150</v>
      </c>
      <c r="J645" s="370" t="s">
        <v>45</v>
      </c>
      <c r="K645" s="367">
        <v>30</v>
      </c>
      <c r="L645" s="367">
        <v>10</v>
      </c>
      <c r="M645" s="358" t="s">
        <v>14</v>
      </c>
      <c r="N645" s="396" t="s">
        <v>234</v>
      </c>
      <c r="O645" s="367" t="s">
        <v>27</v>
      </c>
      <c r="P645" s="184"/>
      <c r="Q645" s="367" t="s">
        <v>238</v>
      </c>
      <c r="R645" s="186">
        <v>44068</v>
      </c>
      <c r="T645" s="200">
        <v>1</v>
      </c>
    </row>
    <row r="646" spans="1:20" ht="15" customHeight="1" x14ac:dyDescent="0.3">
      <c r="A646" s="368"/>
      <c r="B646" s="368"/>
      <c r="C646" s="41">
        <v>12450</v>
      </c>
      <c r="D646" s="368"/>
      <c r="E646" s="368"/>
      <c r="F646" s="368"/>
      <c r="G646" s="368"/>
      <c r="H646" s="368"/>
      <c r="I646" s="368"/>
      <c r="J646" s="371"/>
      <c r="K646" s="368"/>
      <c r="L646" s="368"/>
      <c r="M646" s="359"/>
      <c r="N646" s="397"/>
      <c r="O646" s="368"/>
      <c r="P646" s="226">
        <v>44066</v>
      </c>
      <c r="Q646" s="368"/>
    </row>
    <row r="647" spans="1:20" ht="15" customHeight="1" thickBot="1" x14ac:dyDescent="0.35">
      <c r="A647" s="369"/>
      <c r="B647" s="369"/>
      <c r="C647" s="42">
        <v>7527</v>
      </c>
      <c r="D647" s="369"/>
      <c r="E647" s="369"/>
      <c r="F647" s="369"/>
      <c r="G647" s="369"/>
      <c r="H647" s="369"/>
      <c r="I647" s="369"/>
      <c r="J647" s="372"/>
      <c r="K647" s="369"/>
      <c r="L647" s="369"/>
      <c r="M647" s="360"/>
      <c r="N647" s="398"/>
      <c r="O647" s="369"/>
      <c r="P647" s="185"/>
      <c r="Q647" s="369"/>
    </row>
    <row r="648" spans="1:20" ht="15" hidden="1" customHeight="1" x14ac:dyDescent="0.3">
      <c r="A648" s="367">
        <v>77</v>
      </c>
      <c r="B648" s="367" t="s">
        <v>174</v>
      </c>
      <c r="C648" s="40">
        <v>-10540</v>
      </c>
      <c r="D648" s="370">
        <v>0</v>
      </c>
      <c r="E648" s="367" t="s">
        <v>13</v>
      </c>
      <c r="F648" s="367">
        <v>1450</v>
      </c>
      <c r="G648" s="367">
        <v>1200</v>
      </c>
      <c r="H648" s="367" t="s">
        <v>50</v>
      </c>
      <c r="I648" s="367" t="s">
        <v>13</v>
      </c>
      <c r="J648" s="367" t="s">
        <v>13</v>
      </c>
      <c r="K648" s="367" t="s">
        <v>13</v>
      </c>
      <c r="L648" s="367" t="s">
        <v>13</v>
      </c>
      <c r="M648" s="358" t="s">
        <v>14</v>
      </c>
      <c r="N648" s="396" t="s">
        <v>234</v>
      </c>
      <c r="O648" s="367" t="s">
        <v>27</v>
      </c>
      <c r="P648" s="65"/>
      <c r="Q648" s="367" t="s">
        <v>176</v>
      </c>
      <c r="T648" s="200">
        <v>1</v>
      </c>
    </row>
    <row r="649" spans="1:20" ht="15" customHeight="1" x14ac:dyDescent="0.3">
      <c r="A649" s="368"/>
      <c r="B649" s="368"/>
      <c r="C649" s="41">
        <v>12450</v>
      </c>
      <c r="D649" s="371"/>
      <c r="E649" s="368"/>
      <c r="F649" s="368"/>
      <c r="G649" s="368"/>
      <c r="H649" s="368"/>
      <c r="I649" s="368"/>
      <c r="J649" s="368"/>
      <c r="K649" s="368"/>
      <c r="L649" s="368"/>
      <c r="M649" s="359"/>
      <c r="N649" s="397"/>
      <c r="O649" s="368"/>
      <c r="P649" s="226">
        <v>44066</v>
      </c>
      <c r="Q649" s="368"/>
    </row>
    <row r="650" spans="1:20" ht="15" customHeight="1" thickBot="1" x14ac:dyDescent="0.35">
      <c r="A650" s="369"/>
      <c r="B650" s="369"/>
      <c r="C650" s="42">
        <v>7527</v>
      </c>
      <c r="D650" s="372"/>
      <c r="E650" s="369"/>
      <c r="F650" s="369"/>
      <c r="G650" s="369"/>
      <c r="H650" s="369"/>
      <c r="I650" s="369"/>
      <c r="J650" s="369"/>
      <c r="K650" s="369"/>
      <c r="L650" s="369"/>
      <c r="M650" s="360"/>
      <c r="N650" s="398"/>
      <c r="O650" s="369"/>
      <c r="P650" s="67"/>
      <c r="Q650" s="369"/>
    </row>
    <row r="651" spans="1:20" ht="15" hidden="1" customHeight="1" x14ac:dyDescent="0.3">
      <c r="A651" s="367">
        <v>78</v>
      </c>
      <c r="B651" s="367" t="s">
        <v>174</v>
      </c>
      <c r="C651" s="40">
        <v>-10540</v>
      </c>
      <c r="D651" s="370">
        <v>0</v>
      </c>
      <c r="E651" s="367" t="s">
        <v>13</v>
      </c>
      <c r="F651" s="367">
        <v>1450</v>
      </c>
      <c r="G651" s="367">
        <v>1200</v>
      </c>
      <c r="H651" s="367" t="s">
        <v>50</v>
      </c>
      <c r="I651" s="367" t="s">
        <v>13</v>
      </c>
      <c r="J651" s="367" t="s">
        <v>13</v>
      </c>
      <c r="K651" s="367" t="s">
        <v>13</v>
      </c>
      <c r="L651" s="367" t="s">
        <v>13</v>
      </c>
      <c r="M651" s="358" t="s">
        <v>14</v>
      </c>
      <c r="N651" s="396" t="s">
        <v>234</v>
      </c>
      <c r="O651" s="367" t="s">
        <v>27</v>
      </c>
      <c r="P651" s="65"/>
      <c r="Q651" s="367" t="s">
        <v>176</v>
      </c>
      <c r="T651" s="200">
        <v>1</v>
      </c>
    </row>
    <row r="652" spans="1:20" ht="15" customHeight="1" x14ac:dyDescent="0.3">
      <c r="A652" s="368"/>
      <c r="B652" s="368"/>
      <c r="C652" s="41">
        <v>12700</v>
      </c>
      <c r="D652" s="371"/>
      <c r="E652" s="368"/>
      <c r="F652" s="368"/>
      <c r="G652" s="368"/>
      <c r="H652" s="368"/>
      <c r="I652" s="368"/>
      <c r="J652" s="368"/>
      <c r="K652" s="368"/>
      <c r="L652" s="368"/>
      <c r="M652" s="359"/>
      <c r="N652" s="397"/>
      <c r="O652" s="368"/>
      <c r="P652" s="226">
        <v>44066</v>
      </c>
      <c r="Q652" s="368"/>
    </row>
    <row r="653" spans="1:20" ht="15" customHeight="1" thickBot="1" x14ac:dyDescent="0.35">
      <c r="A653" s="369"/>
      <c r="B653" s="369"/>
      <c r="C653" s="42">
        <v>7527</v>
      </c>
      <c r="D653" s="372"/>
      <c r="E653" s="369"/>
      <c r="F653" s="369"/>
      <c r="G653" s="369"/>
      <c r="H653" s="369"/>
      <c r="I653" s="369"/>
      <c r="J653" s="369"/>
      <c r="K653" s="369"/>
      <c r="L653" s="369"/>
      <c r="M653" s="360"/>
      <c r="N653" s="398"/>
      <c r="O653" s="369"/>
      <c r="P653" s="67"/>
      <c r="Q653" s="369"/>
    </row>
    <row r="654" spans="1:20" ht="15" hidden="1" customHeight="1" x14ac:dyDescent="0.3">
      <c r="A654" s="367">
        <v>79</v>
      </c>
      <c r="B654" s="367" t="s">
        <v>174</v>
      </c>
      <c r="C654" s="40">
        <v>-10540</v>
      </c>
      <c r="D654" s="370">
        <v>0</v>
      </c>
      <c r="E654" s="367" t="s">
        <v>13</v>
      </c>
      <c r="F654" s="367">
        <v>1450</v>
      </c>
      <c r="G654" s="367">
        <v>1200</v>
      </c>
      <c r="H654" s="367" t="s">
        <v>50</v>
      </c>
      <c r="I654" s="367" t="s">
        <v>13</v>
      </c>
      <c r="J654" s="367" t="s">
        <v>13</v>
      </c>
      <c r="K654" s="367" t="s">
        <v>13</v>
      </c>
      <c r="L654" s="367" t="s">
        <v>13</v>
      </c>
      <c r="M654" s="358" t="s">
        <v>14</v>
      </c>
      <c r="N654" s="396" t="s">
        <v>234</v>
      </c>
      <c r="O654" s="367" t="s">
        <v>27</v>
      </c>
      <c r="P654" s="65"/>
      <c r="Q654" s="367" t="s">
        <v>176</v>
      </c>
      <c r="T654" s="200">
        <v>1</v>
      </c>
    </row>
    <row r="655" spans="1:20" ht="15" customHeight="1" x14ac:dyDescent="0.3">
      <c r="A655" s="368"/>
      <c r="B655" s="368"/>
      <c r="C655" s="41">
        <v>15300</v>
      </c>
      <c r="D655" s="371"/>
      <c r="E655" s="368"/>
      <c r="F655" s="368"/>
      <c r="G655" s="368"/>
      <c r="H655" s="368"/>
      <c r="I655" s="368"/>
      <c r="J655" s="368"/>
      <c r="K655" s="368"/>
      <c r="L655" s="368"/>
      <c r="M655" s="359"/>
      <c r="N655" s="397"/>
      <c r="O655" s="368"/>
      <c r="P655" s="226">
        <v>44066</v>
      </c>
      <c r="Q655" s="368"/>
    </row>
    <row r="656" spans="1:20" ht="15" customHeight="1" thickBot="1" x14ac:dyDescent="0.35">
      <c r="A656" s="369"/>
      <c r="B656" s="369"/>
      <c r="C656" s="42">
        <v>7527</v>
      </c>
      <c r="D656" s="372"/>
      <c r="E656" s="369"/>
      <c r="F656" s="369"/>
      <c r="G656" s="369"/>
      <c r="H656" s="369"/>
      <c r="I656" s="369"/>
      <c r="J656" s="369"/>
      <c r="K656" s="369"/>
      <c r="L656" s="369"/>
      <c r="M656" s="360"/>
      <c r="N656" s="398"/>
      <c r="O656" s="369"/>
      <c r="P656" s="67"/>
      <c r="Q656" s="369"/>
    </row>
    <row r="657" spans="1:20" ht="15" hidden="1" customHeight="1" x14ac:dyDescent="0.3">
      <c r="A657" s="367">
        <v>80</v>
      </c>
      <c r="B657" s="367" t="s">
        <v>179</v>
      </c>
      <c r="C657" s="40">
        <v>-10540</v>
      </c>
      <c r="D657" s="367">
        <v>1</v>
      </c>
      <c r="E657" s="367" t="s">
        <v>161</v>
      </c>
      <c r="F657" s="367">
        <v>1450</v>
      </c>
      <c r="G657" s="367">
        <v>1200</v>
      </c>
      <c r="H657" s="367" t="s">
        <v>50</v>
      </c>
      <c r="I657" s="367">
        <v>150</v>
      </c>
      <c r="J657" s="370" t="s">
        <v>45</v>
      </c>
      <c r="K657" s="367">
        <v>40</v>
      </c>
      <c r="L657" s="367">
        <v>-7</v>
      </c>
      <c r="M657" s="358" t="s">
        <v>14</v>
      </c>
      <c r="N657" s="396" t="s">
        <v>234</v>
      </c>
      <c r="O657" s="367" t="s">
        <v>27</v>
      </c>
      <c r="P657" s="261"/>
      <c r="Q657" s="367" t="s">
        <v>243</v>
      </c>
      <c r="T657" s="200">
        <v>1</v>
      </c>
    </row>
    <row r="658" spans="1:20" ht="15" customHeight="1" x14ac:dyDescent="0.3">
      <c r="A658" s="368"/>
      <c r="B658" s="368"/>
      <c r="C658" s="41">
        <v>15550</v>
      </c>
      <c r="D658" s="368"/>
      <c r="E658" s="368"/>
      <c r="F658" s="368"/>
      <c r="G658" s="368"/>
      <c r="H658" s="368"/>
      <c r="I658" s="368"/>
      <c r="J658" s="371"/>
      <c r="K658" s="368"/>
      <c r="L658" s="368"/>
      <c r="M658" s="359"/>
      <c r="N658" s="397"/>
      <c r="O658" s="368"/>
      <c r="P658" s="226">
        <v>44090</v>
      </c>
      <c r="Q658" s="368"/>
    </row>
    <row r="659" spans="1:20" ht="15" customHeight="1" thickBot="1" x14ac:dyDescent="0.35">
      <c r="A659" s="369"/>
      <c r="B659" s="369"/>
      <c r="C659" s="42">
        <v>7527</v>
      </c>
      <c r="D659" s="369"/>
      <c r="E659" s="369"/>
      <c r="F659" s="369"/>
      <c r="G659" s="369"/>
      <c r="H659" s="369"/>
      <c r="I659" s="369"/>
      <c r="J659" s="372"/>
      <c r="K659" s="369"/>
      <c r="L659" s="369"/>
      <c r="M659" s="360"/>
      <c r="N659" s="398"/>
      <c r="O659" s="369"/>
      <c r="P659" s="262"/>
      <c r="Q659" s="369"/>
    </row>
    <row r="660" spans="1:20" ht="15" hidden="1" customHeight="1" x14ac:dyDescent="0.3">
      <c r="A660" s="367">
        <v>81</v>
      </c>
      <c r="B660" s="367" t="s">
        <v>174</v>
      </c>
      <c r="C660" s="40">
        <v>-9270</v>
      </c>
      <c r="D660" s="370">
        <v>0</v>
      </c>
      <c r="E660" s="367" t="s">
        <v>13</v>
      </c>
      <c r="F660" s="367">
        <v>1450</v>
      </c>
      <c r="G660" s="367">
        <v>1200</v>
      </c>
      <c r="H660" s="367" t="s">
        <v>50</v>
      </c>
      <c r="I660" s="367" t="s">
        <v>13</v>
      </c>
      <c r="J660" s="367" t="s">
        <v>13</v>
      </c>
      <c r="K660" s="367" t="s">
        <v>13</v>
      </c>
      <c r="L660" s="367" t="s">
        <v>13</v>
      </c>
      <c r="M660" s="358" t="s">
        <v>14</v>
      </c>
      <c r="N660" s="396" t="s">
        <v>234</v>
      </c>
      <c r="O660" s="367" t="s">
        <v>27</v>
      </c>
      <c r="P660" s="65"/>
      <c r="Q660" s="367" t="s">
        <v>176</v>
      </c>
      <c r="T660" s="200">
        <v>1</v>
      </c>
    </row>
    <row r="661" spans="1:20" ht="15" customHeight="1" x14ac:dyDescent="0.3">
      <c r="A661" s="368"/>
      <c r="B661" s="368"/>
      <c r="C661" s="41">
        <v>16350</v>
      </c>
      <c r="D661" s="371"/>
      <c r="E661" s="368"/>
      <c r="F661" s="368"/>
      <c r="G661" s="368"/>
      <c r="H661" s="368"/>
      <c r="I661" s="368"/>
      <c r="J661" s="368"/>
      <c r="K661" s="368"/>
      <c r="L661" s="368"/>
      <c r="M661" s="359"/>
      <c r="N661" s="397"/>
      <c r="O661" s="368"/>
      <c r="P661" s="226">
        <v>44066</v>
      </c>
      <c r="Q661" s="368"/>
    </row>
    <row r="662" spans="1:20" ht="15" customHeight="1" thickBot="1" x14ac:dyDescent="0.35">
      <c r="A662" s="369"/>
      <c r="B662" s="369"/>
      <c r="C662" s="42">
        <v>7527</v>
      </c>
      <c r="D662" s="372"/>
      <c r="E662" s="369"/>
      <c r="F662" s="369"/>
      <c r="G662" s="369"/>
      <c r="H662" s="369"/>
      <c r="I662" s="369"/>
      <c r="J662" s="369"/>
      <c r="K662" s="369"/>
      <c r="L662" s="369"/>
      <c r="M662" s="360"/>
      <c r="N662" s="398"/>
      <c r="O662" s="369"/>
      <c r="P662" s="67"/>
      <c r="Q662" s="369"/>
    </row>
    <row r="663" spans="1:20" ht="15" hidden="1" customHeight="1" x14ac:dyDescent="0.3">
      <c r="A663" s="367">
        <v>82</v>
      </c>
      <c r="B663" s="367" t="s">
        <v>174</v>
      </c>
      <c r="C663" s="40">
        <v>-9095</v>
      </c>
      <c r="D663" s="370">
        <v>0</v>
      </c>
      <c r="E663" s="367" t="s">
        <v>13</v>
      </c>
      <c r="F663" s="367">
        <v>1450</v>
      </c>
      <c r="G663" s="367">
        <v>1200</v>
      </c>
      <c r="H663" s="367" t="s">
        <v>50</v>
      </c>
      <c r="I663" s="367" t="s">
        <v>13</v>
      </c>
      <c r="J663" s="367" t="s">
        <v>13</v>
      </c>
      <c r="K663" s="367" t="s">
        <v>13</v>
      </c>
      <c r="L663" s="367" t="s">
        <v>13</v>
      </c>
      <c r="M663" s="358" t="s">
        <v>14</v>
      </c>
      <c r="N663" s="396" t="s">
        <v>234</v>
      </c>
      <c r="O663" s="367" t="s">
        <v>27</v>
      </c>
      <c r="P663" s="65"/>
      <c r="Q663" s="367" t="s">
        <v>176</v>
      </c>
      <c r="T663" s="200">
        <v>1</v>
      </c>
    </row>
    <row r="664" spans="1:20" ht="15" customHeight="1" x14ac:dyDescent="0.3">
      <c r="A664" s="368"/>
      <c r="B664" s="368"/>
      <c r="C664" s="41">
        <v>16525</v>
      </c>
      <c r="D664" s="371"/>
      <c r="E664" s="368"/>
      <c r="F664" s="368"/>
      <c r="G664" s="368"/>
      <c r="H664" s="368"/>
      <c r="I664" s="368"/>
      <c r="J664" s="368"/>
      <c r="K664" s="368"/>
      <c r="L664" s="368"/>
      <c r="M664" s="359"/>
      <c r="N664" s="397"/>
      <c r="O664" s="368"/>
      <c r="P664" s="226">
        <v>44066</v>
      </c>
      <c r="Q664" s="368"/>
    </row>
    <row r="665" spans="1:20" ht="15" customHeight="1" thickBot="1" x14ac:dyDescent="0.35">
      <c r="A665" s="369"/>
      <c r="B665" s="369"/>
      <c r="C665" s="42">
        <v>7527</v>
      </c>
      <c r="D665" s="372"/>
      <c r="E665" s="369"/>
      <c r="F665" s="369"/>
      <c r="G665" s="369"/>
      <c r="H665" s="369"/>
      <c r="I665" s="369"/>
      <c r="J665" s="369"/>
      <c r="K665" s="369"/>
      <c r="L665" s="369"/>
      <c r="M665" s="360"/>
      <c r="N665" s="398"/>
      <c r="O665" s="369"/>
      <c r="P665" s="67"/>
      <c r="Q665" s="369"/>
    </row>
    <row r="666" spans="1:20" ht="15" hidden="1" customHeight="1" x14ac:dyDescent="0.3">
      <c r="A666" s="367">
        <v>83</v>
      </c>
      <c r="B666" s="367" t="s">
        <v>174</v>
      </c>
      <c r="C666" s="40">
        <v>-9630</v>
      </c>
      <c r="D666" s="370">
        <v>0</v>
      </c>
      <c r="E666" s="367" t="s">
        <v>13</v>
      </c>
      <c r="F666" s="367">
        <v>1450</v>
      </c>
      <c r="G666" s="367">
        <v>1200</v>
      </c>
      <c r="H666" s="367" t="s">
        <v>25</v>
      </c>
      <c r="I666" s="367" t="s">
        <v>13</v>
      </c>
      <c r="J666" s="367" t="s">
        <v>13</v>
      </c>
      <c r="K666" s="367" t="s">
        <v>13</v>
      </c>
      <c r="L666" s="367" t="s">
        <v>13</v>
      </c>
      <c r="M666" s="358" t="s">
        <v>14</v>
      </c>
      <c r="N666" s="396" t="s">
        <v>234</v>
      </c>
      <c r="O666" s="367" t="s">
        <v>27</v>
      </c>
      <c r="P666" s="65"/>
      <c r="Q666" s="367" t="s">
        <v>176</v>
      </c>
      <c r="T666" s="200">
        <v>1</v>
      </c>
    </row>
    <row r="667" spans="1:20" ht="15" customHeight="1" x14ac:dyDescent="0.3">
      <c r="A667" s="368"/>
      <c r="B667" s="368"/>
      <c r="C667" s="40">
        <v>16150</v>
      </c>
      <c r="D667" s="371"/>
      <c r="E667" s="368"/>
      <c r="F667" s="368"/>
      <c r="G667" s="368"/>
      <c r="H667" s="368"/>
      <c r="I667" s="368"/>
      <c r="J667" s="368"/>
      <c r="K667" s="368"/>
      <c r="L667" s="368"/>
      <c r="M667" s="359"/>
      <c r="N667" s="397"/>
      <c r="O667" s="368"/>
      <c r="P667" s="226">
        <v>44066</v>
      </c>
      <c r="Q667" s="368"/>
    </row>
    <row r="668" spans="1:20" ht="15" customHeight="1" thickBot="1" x14ac:dyDescent="0.35">
      <c r="A668" s="369"/>
      <c r="B668" s="369"/>
      <c r="C668" s="42">
        <v>7527</v>
      </c>
      <c r="D668" s="372"/>
      <c r="E668" s="369"/>
      <c r="F668" s="369"/>
      <c r="G668" s="369"/>
      <c r="H668" s="369"/>
      <c r="I668" s="369"/>
      <c r="J668" s="369"/>
      <c r="K668" s="369"/>
      <c r="L668" s="369"/>
      <c r="M668" s="360"/>
      <c r="N668" s="398"/>
      <c r="O668" s="369"/>
      <c r="P668" s="67"/>
      <c r="Q668" s="369"/>
    </row>
    <row r="669" spans="1:20" ht="15" hidden="1" customHeight="1" x14ac:dyDescent="0.3">
      <c r="A669" s="367">
        <v>84</v>
      </c>
      <c r="B669" s="367" t="s">
        <v>174</v>
      </c>
      <c r="C669" s="40">
        <v>-9500</v>
      </c>
      <c r="D669" s="370">
        <v>0</v>
      </c>
      <c r="E669" s="367" t="s">
        <v>13</v>
      </c>
      <c r="F669" s="367">
        <v>1450</v>
      </c>
      <c r="G669" s="367">
        <v>1200</v>
      </c>
      <c r="H669" s="367" t="s">
        <v>25</v>
      </c>
      <c r="I669" s="367" t="s">
        <v>13</v>
      </c>
      <c r="J669" s="367" t="s">
        <v>13</v>
      </c>
      <c r="K669" s="367" t="s">
        <v>13</v>
      </c>
      <c r="L669" s="367" t="s">
        <v>13</v>
      </c>
      <c r="M669" s="358" t="s">
        <v>14</v>
      </c>
      <c r="N669" s="396" t="s">
        <v>234</v>
      </c>
      <c r="O669" s="367" t="s">
        <v>27</v>
      </c>
      <c r="P669" s="65"/>
      <c r="Q669" s="367" t="s">
        <v>176</v>
      </c>
      <c r="T669" s="200">
        <v>1</v>
      </c>
    </row>
    <row r="670" spans="1:20" ht="15" customHeight="1" x14ac:dyDescent="0.3">
      <c r="A670" s="368"/>
      <c r="B670" s="368"/>
      <c r="C670" s="40">
        <v>12300</v>
      </c>
      <c r="D670" s="371"/>
      <c r="E670" s="368"/>
      <c r="F670" s="368"/>
      <c r="G670" s="368"/>
      <c r="H670" s="368"/>
      <c r="I670" s="368"/>
      <c r="J670" s="368"/>
      <c r="K670" s="368"/>
      <c r="L670" s="368"/>
      <c r="M670" s="359"/>
      <c r="N670" s="397"/>
      <c r="O670" s="368"/>
      <c r="P670" s="226">
        <v>44066</v>
      </c>
      <c r="Q670" s="368"/>
    </row>
    <row r="671" spans="1:20" ht="15" customHeight="1" thickBot="1" x14ac:dyDescent="0.35">
      <c r="A671" s="369"/>
      <c r="B671" s="369"/>
      <c r="C671" s="42">
        <v>7527</v>
      </c>
      <c r="D671" s="372"/>
      <c r="E671" s="369"/>
      <c r="F671" s="369"/>
      <c r="G671" s="369"/>
      <c r="H671" s="369"/>
      <c r="I671" s="369"/>
      <c r="J671" s="369"/>
      <c r="K671" s="369"/>
      <c r="L671" s="369"/>
      <c r="M671" s="360"/>
      <c r="N671" s="398"/>
      <c r="O671" s="369"/>
      <c r="P671" s="67"/>
      <c r="Q671" s="369"/>
    </row>
    <row r="672" spans="1:20" ht="15" hidden="1" customHeight="1" x14ac:dyDescent="0.3">
      <c r="A672" s="367">
        <v>85</v>
      </c>
      <c r="B672" s="367" t="s">
        <v>174</v>
      </c>
      <c r="C672" s="40">
        <v>-9500</v>
      </c>
      <c r="D672" s="370">
        <v>0</v>
      </c>
      <c r="E672" s="367" t="s">
        <v>13</v>
      </c>
      <c r="F672" s="367">
        <v>1450</v>
      </c>
      <c r="G672" s="367">
        <v>1200</v>
      </c>
      <c r="H672" s="367" t="s">
        <v>12</v>
      </c>
      <c r="I672" s="367" t="s">
        <v>13</v>
      </c>
      <c r="J672" s="367" t="s">
        <v>13</v>
      </c>
      <c r="K672" s="367" t="s">
        <v>13</v>
      </c>
      <c r="L672" s="367" t="s">
        <v>13</v>
      </c>
      <c r="M672" s="358" t="s">
        <v>14</v>
      </c>
      <c r="N672" s="396" t="s">
        <v>234</v>
      </c>
      <c r="O672" s="367" t="s">
        <v>27</v>
      </c>
      <c r="P672" s="65"/>
      <c r="Q672" s="367" t="s">
        <v>244</v>
      </c>
      <c r="T672" s="200">
        <v>1</v>
      </c>
    </row>
    <row r="673" spans="1:20" ht="15" customHeight="1" x14ac:dyDescent="0.3">
      <c r="A673" s="368"/>
      <c r="B673" s="368"/>
      <c r="C673" s="40">
        <v>11000</v>
      </c>
      <c r="D673" s="371"/>
      <c r="E673" s="368"/>
      <c r="F673" s="368"/>
      <c r="G673" s="368"/>
      <c r="H673" s="368"/>
      <c r="I673" s="368"/>
      <c r="J673" s="368"/>
      <c r="K673" s="368"/>
      <c r="L673" s="368"/>
      <c r="M673" s="359"/>
      <c r="N673" s="397"/>
      <c r="O673" s="368"/>
      <c r="P673" s="226">
        <v>44066</v>
      </c>
      <c r="Q673" s="368"/>
    </row>
    <row r="674" spans="1:20" ht="15" customHeight="1" thickBot="1" x14ac:dyDescent="0.35">
      <c r="A674" s="369"/>
      <c r="B674" s="369"/>
      <c r="C674" s="42">
        <v>7527</v>
      </c>
      <c r="D674" s="372"/>
      <c r="E674" s="369"/>
      <c r="F674" s="369"/>
      <c r="G674" s="369"/>
      <c r="H674" s="369"/>
      <c r="I674" s="369"/>
      <c r="J674" s="369"/>
      <c r="K674" s="369"/>
      <c r="L674" s="369"/>
      <c r="M674" s="360"/>
      <c r="N674" s="398"/>
      <c r="O674" s="369"/>
      <c r="P674" s="67"/>
      <c r="Q674" s="369"/>
    </row>
    <row r="675" spans="1:20" ht="15" hidden="1" customHeight="1" x14ac:dyDescent="0.3">
      <c r="A675" s="373">
        <v>86</v>
      </c>
      <c r="B675" s="373" t="s">
        <v>64</v>
      </c>
      <c r="C675" s="49">
        <v>-9500</v>
      </c>
      <c r="D675" s="373">
        <v>1</v>
      </c>
      <c r="E675" s="373" t="s">
        <v>245</v>
      </c>
      <c r="F675" s="373">
        <v>1450</v>
      </c>
      <c r="G675" s="373">
        <v>1200</v>
      </c>
      <c r="H675" s="373" t="s">
        <v>12</v>
      </c>
      <c r="I675" s="373">
        <v>350</v>
      </c>
      <c r="J675" s="376" t="s">
        <v>45</v>
      </c>
      <c r="K675" s="373">
        <v>90</v>
      </c>
      <c r="L675" s="373">
        <v>46</v>
      </c>
      <c r="M675" s="379" t="s">
        <v>14</v>
      </c>
      <c r="N675" s="408" t="s">
        <v>234</v>
      </c>
      <c r="O675" s="373" t="s">
        <v>27</v>
      </c>
      <c r="P675" s="83"/>
      <c r="Q675" s="373" t="s">
        <v>246</v>
      </c>
      <c r="T675" s="288">
        <v>1</v>
      </c>
    </row>
    <row r="676" spans="1:20" ht="15" customHeight="1" x14ac:dyDescent="0.3">
      <c r="A676" s="374"/>
      <c r="B676" s="374"/>
      <c r="C676" s="49">
        <v>7800</v>
      </c>
      <c r="D676" s="374"/>
      <c r="E676" s="374"/>
      <c r="F676" s="374"/>
      <c r="G676" s="374"/>
      <c r="H676" s="374"/>
      <c r="I676" s="374"/>
      <c r="J676" s="377"/>
      <c r="K676" s="374"/>
      <c r="L676" s="374"/>
      <c r="M676" s="380"/>
      <c r="N676" s="409"/>
      <c r="O676" s="374"/>
      <c r="P676" s="84"/>
      <c r="Q676" s="374"/>
    </row>
    <row r="677" spans="1:20" ht="15" customHeight="1" thickBot="1" x14ac:dyDescent="0.35">
      <c r="A677" s="375"/>
      <c r="B677" s="375"/>
      <c r="C677" s="50">
        <v>7527</v>
      </c>
      <c r="D677" s="375"/>
      <c r="E677" s="375"/>
      <c r="F677" s="375"/>
      <c r="G677" s="375"/>
      <c r="H677" s="375"/>
      <c r="I677" s="375"/>
      <c r="J677" s="378"/>
      <c r="K677" s="375"/>
      <c r="L677" s="375"/>
      <c r="M677" s="381"/>
      <c r="N677" s="410"/>
      <c r="O677" s="375"/>
      <c r="P677" s="85"/>
      <c r="Q677" s="375"/>
    </row>
    <row r="678" spans="1:20" ht="15" hidden="1" customHeight="1" x14ac:dyDescent="0.3">
      <c r="A678" s="367">
        <v>87</v>
      </c>
      <c r="B678" s="367" t="s">
        <v>59</v>
      </c>
      <c r="C678" s="40">
        <v>-5600</v>
      </c>
      <c r="D678" s="367">
        <v>1</v>
      </c>
      <c r="E678" s="367" t="s">
        <v>239</v>
      </c>
      <c r="F678" s="367">
        <v>1450</v>
      </c>
      <c r="G678" s="367">
        <v>1200</v>
      </c>
      <c r="H678" s="367" t="s">
        <v>44</v>
      </c>
      <c r="I678" s="367">
        <v>350</v>
      </c>
      <c r="J678" s="370" t="s">
        <v>45</v>
      </c>
      <c r="K678" s="367">
        <v>40</v>
      </c>
      <c r="L678" s="367">
        <v>95.5</v>
      </c>
      <c r="M678" s="358" t="s">
        <v>14</v>
      </c>
      <c r="N678" s="396" t="s">
        <v>234</v>
      </c>
      <c r="O678" s="367" t="s">
        <v>27</v>
      </c>
      <c r="P678" s="261"/>
      <c r="Q678" s="367" t="s">
        <v>247</v>
      </c>
      <c r="T678" s="200">
        <v>1</v>
      </c>
    </row>
    <row r="679" spans="1:20" ht="15" customHeight="1" x14ac:dyDescent="0.3">
      <c r="A679" s="368"/>
      <c r="B679" s="368"/>
      <c r="C679" s="40">
        <v>11000</v>
      </c>
      <c r="D679" s="368"/>
      <c r="E679" s="368"/>
      <c r="F679" s="368"/>
      <c r="G679" s="368"/>
      <c r="H679" s="368"/>
      <c r="I679" s="368"/>
      <c r="J679" s="371"/>
      <c r="K679" s="368"/>
      <c r="L679" s="368"/>
      <c r="M679" s="359"/>
      <c r="N679" s="397"/>
      <c r="O679" s="368"/>
      <c r="P679" s="226">
        <v>44090</v>
      </c>
      <c r="Q679" s="368"/>
    </row>
    <row r="680" spans="1:20" ht="15" customHeight="1" thickBot="1" x14ac:dyDescent="0.35">
      <c r="A680" s="369"/>
      <c r="B680" s="369"/>
      <c r="C680" s="42">
        <v>7527</v>
      </c>
      <c r="D680" s="369"/>
      <c r="E680" s="369"/>
      <c r="F680" s="369"/>
      <c r="G680" s="369"/>
      <c r="H680" s="369"/>
      <c r="I680" s="369"/>
      <c r="J680" s="372"/>
      <c r="K680" s="369"/>
      <c r="L680" s="369"/>
      <c r="M680" s="360"/>
      <c r="N680" s="398"/>
      <c r="O680" s="369"/>
      <c r="P680" s="262"/>
      <c r="Q680" s="369"/>
    </row>
    <row r="681" spans="1:20" ht="15" hidden="1" customHeight="1" x14ac:dyDescent="0.3">
      <c r="A681" s="373">
        <v>88</v>
      </c>
      <c r="B681" s="373" t="s">
        <v>56</v>
      </c>
      <c r="C681" s="49">
        <v>-5570</v>
      </c>
      <c r="D681" s="373">
        <v>1</v>
      </c>
      <c r="E681" s="373" t="s">
        <v>248</v>
      </c>
      <c r="F681" s="373">
        <v>1450</v>
      </c>
      <c r="G681" s="373">
        <v>1200</v>
      </c>
      <c r="H681" s="373" t="s">
        <v>61</v>
      </c>
      <c r="I681" s="373">
        <v>150</v>
      </c>
      <c r="J681" s="376" t="s">
        <v>45</v>
      </c>
      <c r="K681" s="373">
        <v>50</v>
      </c>
      <c r="L681" s="373">
        <v>76.5</v>
      </c>
      <c r="M681" s="379" t="s">
        <v>14</v>
      </c>
      <c r="N681" s="408" t="s">
        <v>234</v>
      </c>
      <c r="O681" s="373" t="s">
        <v>27</v>
      </c>
      <c r="P681" s="83"/>
      <c r="Q681" s="373" t="s">
        <v>249</v>
      </c>
      <c r="T681" s="288">
        <v>1</v>
      </c>
    </row>
    <row r="682" spans="1:20" ht="15" customHeight="1" x14ac:dyDescent="0.3">
      <c r="A682" s="374"/>
      <c r="B682" s="374"/>
      <c r="C682" s="49">
        <v>6700</v>
      </c>
      <c r="D682" s="374"/>
      <c r="E682" s="374"/>
      <c r="F682" s="374"/>
      <c r="G682" s="374"/>
      <c r="H682" s="374"/>
      <c r="I682" s="374"/>
      <c r="J682" s="377"/>
      <c r="K682" s="374"/>
      <c r="L682" s="374"/>
      <c r="M682" s="380"/>
      <c r="N682" s="409"/>
      <c r="O682" s="374"/>
      <c r="P682" s="84"/>
      <c r="Q682" s="374"/>
    </row>
    <row r="683" spans="1:20" ht="15" customHeight="1" thickBot="1" x14ac:dyDescent="0.35">
      <c r="A683" s="375"/>
      <c r="B683" s="375"/>
      <c r="C683" s="50">
        <v>7527</v>
      </c>
      <c r="D683" s="375"/>
      <c r="E683" s="375"/>
      <c r="F683" s="375"/>
      <c r="G683" s="375"/>
      <c r="H683" s="375"/>
      <c r="I683" s="375"/>
      <c r="J683" s="378"/>
      <c r="K683" s="375"/>
      <c r="L683" s="375"/>
      <c r="M683" s="381"/>
      <c r="N683" s="410"/>
      <c r="O683" s="375"/>
      <c r="P683" s="85"/>
      <c r="Q683" s="375"/>
    </row>
    <row r="684" spans="1:20" ht="15" hidden="1" customHeight="1" x14ac:dyDescent="0.3">
      <c r="A684" s="373">
        <v>89</v>
      </c>
      <c r="B684" s="373" t="s">
        <v>59</v>
      </c>
      <c r="C684" s="49">
        <v>-10200</v>
      </c>
      <c r="D684" s="373">
        <v>1</v>
      </c>
      <c r="E684" s="373" t="s">
        <v>250</v>
      </c>
      <c r="F684" s="373">
        <v>1450</v>
      </c>
      <c r="G684" s="373">
        <v>1200</v>
      </c>
      <c r="H684" s="373" t="s">
        <v>251</v>
      </c>
      <c r="I684" s="373">
        <v>150</v>
      </c>
      <c r="J684" s="376" t="s">
        <v>45</v>
      </c>
      <c r="K684" s="373">
        <v>50</v>
      </c>
      <c r="L684" s="373">
        <v>126.5</v>
      </c>
      <c r="M684" s="379" t="s">
        <v>14</v>
      </c>
      <c r="N684" s="408" t="s">
        <v>234</v>
      </c>
      <c r="O684" s="373" t="s">
        <v>27</v>
      </c>
      <c r="P684" s="83"/>
      <c r="Q684" s="373" t="s">
        <v>252</v>
      </c>
      <c r="T684" s="288">
        <v>1</v>
      </c>
    </row>
    <row r="685" spans="1:20" ht="15" customHeight="1" x14ac:dyDescent="0.3">
      <c r="A685" s="374"/>
      <c r="B685" s="374"/>
      <c r="C685" s="49">
        <v>7790</v>
      </c>
      <c r="D685" s="374"/>
      <c r="E685" s="374"/>
      <c r="F685" s="374"/>
      <c r="G685" s="374"/>
      <c r="H685" s="374"/>
      <c r="I685" s="374"/>
      <c r="J685" s="377"/>
      <c r="K685" s="374"/>
      <c r="L685" s="374"/>
      <c r="M685" s="380"/>
      <c r="N685" s="409"/>
      <c r="O685" s="374"/>
      <c r="P685" s="84"/>
      <c r="Q685" s="374"/>
    </row>
    <row r="686" spans="1:20" ht="15" customHeight="1" thickBot="1" x14ac:dyDescent="0.35">
      <c r="A686" s="375"/>
      <c r="B686" s="375"/>
      <c r="C686" s="50">
        <v>7527</v>
      </c>
      <c r="D686" s="375"/>
      <c r="E686" s="375"/>
      <c r="F686" s="375"/>
      <c r="G686" s="375"/>
      <c r="H686" s="375"/>
      <c r="I686" s="375"/>
      <c r="J686" s="378"/>
      <c r="K686" s="375"/>
      <c r="L686" s="375"/>
      <c r="M686" s="381"/>
      <c r="N686" s="410"/>
      <c r="O686" s="375"/>
      <c r="P686" s="85"/>
      <c r="Q686" s="375"/>
    </row>
    <row r="687" spans="1:20" ht="15" hidden="1" customHeight="1" x14ac:dyDescent="0.3">
      <c r="A687" s="367">
        <v>90</v>
      </c>
      <c r="B687" s="367" t="s">
        <v>59</v>
      </c>
      <c r="C687" s="40">
        <v>-4575</v>
      </c>
      <c r="D687" s="367">
        <v>1</v>
      </c>
      <c r="E687" s="367" t="s">
        <v>250</v>
      </c>
      <c r="F687" s="367">
        <v>1450</v>
      </c>
      <c r="G687" s="367">
        <v>1200</v>
      </c>
      <c r="H687" s="367" t="s">
        <v>251</v>
      </c>
      <c r="I687" s="367">
        <v>150</v>
      </c>
      <c r="J687" s="370" t="s">
        <v>45</v>
      </c>
      <c r="K687" s="367">
        <v>50</v>
      </c>
      <c r="L687" s="367">
        <v>126.5</v>
      </c>
      <c r="M687" s="358" t="s">
        <v>14</v>
      </c>
      <c r="N687" s="396" t="s">
        <v>234</v>
      </c>
      <c r="O687" s="367" t="s">
        <v>27</v>
      </c>
      <c r="P687" s="65"/>
      <c r="Q687" s="367" t="s">
        <v>252</v>
      </c>
      <c r="T687" s="200">
        <v>1</v>
      </c>
    </row>
    <row r="688" spans="1:20" ht="15" customHeight="1" x14ac:dyDescent="0.3">
      <c r="A688" s="368"/>
      <c r="B688" s="368"/>
      <c r="C688" s="41">
        <v>11690</v>
      </c>
      <c r="D688" s="368"/>
      <c r="E688" s="368"/>
      <c r="F688" s="368"/>
      <c r="G688" s="368"/>
      <c r="H688" s="368"/>
      <c r="I688" s="368"/>
      <c r="J688" s="371"/>
      <c r="K688" s="368"/>
      <c r="L688" s="368"/>
      <c r="M688" s="359"/>
      <c r="N688" s="397"/>
      <c r="O688" s="368"/>
      <c r="P688" s="226">
        <v>44066</v>
      </c>
      <c r="Q688" s="368"/>
    </row>
    <row r="689" spans="1:20" ht="15" customHeight="1" thickBot="1" x14ac:dyDescent="0.35">
      <c r="A689" s="369"/>
      <c r="B689" s="369"/>
      <c r="C689" s="42">
        <v>7527</v>
      </c>
      <c r="D689" s="369"/>
      <c r="E689" s="369"/>
      <c r="F689" s="369"/>
      <c r="G689" s="369"/>
      <c r="H689" s="369"/>
      <c r="I689" s="369"/>
      <c r="J689" s="372"/>
      <c r="K689" s="369"/>
      <c r="L689" s="369"/>
      <c r="M689" s="360"/>
      <c r="N689" s="398"/>
      <c r="O689" s="369"/>
      <c r="P689" s="67"/>
      <c r="Q689" s="369"/>
    </row>
    <row r="690" spans="1:20" ht="15" hidden="1" customHeight="1" x14ac:dyDescent="0.3">
      <c r="A690" s="367">
        <v>91</v>
      </c>
      <c r="B690" s="367" t="s">
        <v>174</v>
      </c>
      <c r="C690" s="40">
        <v>-13390</v>
      </c>
      <c r="D690" s="370">
        <v>0</v>
      </c>
      <c r="E690" s="367" t="s">
        <v>13</v>
      </c>
      <c r="F690" s="367">
        <v>1450</v>
      </c>
      <c r="G690" s="367">
        <v>1200</v>
      </c>
      <c r="H690" s="367" t="s">
        <v>50</v>
      </c>
      <c r="I690" s="367" t="s">
        <v>13</v>
      </c>
      <c r="J690" s="367" t="s">
        <v>13</v>
      </c>
      <c r="K690" s="367" t="s">
        <v>13</v>
      </c>
      <c r="L690" s="367" t="s">
        <v>13</v>
      </c>
      <c r="M690" s="358" t="s">
        <v>14</v>
      </c>
      <c r="N690" s="396" t="s">
        <v>253</v>
      </c>
      <c r="O690" s="367" t="s">
        <v>27</v>
      </c>
      <c r="P690" s="65"/>
      <c r="Q690" s="367" t="s">
        <v>176</v>
      </c>
      <c r="T690" s="200">
        <v>1</v>
      </c>
    </row>
    <row r="691" spans="1:20" ht="15" customHeight="1" x14ac:dyDescent="0.3">
      <c r="A691" s="368"/>
      <c r="B691" s="368"/>
      <c r="C691" s="41">
        <v>13500</v>
      </c>
      <c r="D691" s="371"/>
      <c r="E691" s="368"/>
      <c r="F691" s="368"/>
      <c r="G691" s="368"/>
      <c r="H691" s="368"/>
      <c r="I691" s="368"/>
      <c r="J691" s="368"/>
      <c r="K691" s="368"/>
      <c r="L691" s="368"/>
      <c r="M691" s="359"/>
      <c r="N691" s="397"/>
      <c r="O691" s="368"/>
      <c r="P691" s="226">
        <v>44066</v>
      </c>
      <c r="Q691" s="368"/>
    </row>
    <row r="692" spans="1:20" ht="15" customHeight="1" thickBot="1" x14ac:dyDescent="0.35">
      <c r="A692" s="369"/>
      <c r="B692" s="369"/>
      <c r="C692" s="42">
        <v>7527</v>
      </c>
      <c r="D692" s="372"/>
      <c r="E692" s="369"/>
      <c r="F692" s="369"/>
      <c r="G692" s="369"/>
      <c r="H692" s="369"/>
      <c r="I692" s="369"/>
      <c r="J692" s="369"/>
      <c r="K692" s="369"/>
      <c r="L692" s="369"/>
      <c r="M692" s="360"/>
      <c r="N692" s="398"/>
      <c r="O692" s="369"/>
      <c r="P692" s="67"/>
      <c r="Q692" s="369"/>
    </row>
    <row r="693" spans="1:20" ht="15" hidden="1" customHeight="1" x14ac:dyDescent="0.3">
      <c r="A693" s="367">
        <v>92</v>
      </c>
      <c r="B693" s="367" t="s">
        <v>174</v>
      </c>
      <c r="C693" s="40">
        <v>-13690</v>
      </c>
      <c r="D693" s="370">
        <v>0</v>
      </c>
      <c r="E693" s="367" t="s">
        <v>13</v>
      </c>
      <c r="F693" s="367">
        <v>1450</v>
      </c>
      <c r="G693" s="367">
        <v>1200</v>
      </c>
      <c r="H693" s="367" t="s">
        <v>50</v>
      </c>
      <c r="I693" s="367" t="s">
        <v>13</v>
      </c>
      <c r="J693" s="367" t="s">
        <v>13</v>
      </c>
      <c r="K693" s="367" t="s">
        <v>13</v>
      </c>
      <c r="L693" s="367" t="s">
        <v>13</v>
      </c>
      <c r="M693" s="358" t="s">
        <v>14</v>
      </c>
      <c r="N693" s="396" t="s">
        <v>253</v>
      </c>
      <c r="O693" s="367" t="s">
        <v>27</v>
      </c>
      <c r="P693" s="65"/>
      <c r="Q693" s="367" t="s">
        <v>176</v>
      </c>
      <c r="T693" s="200">
        <v>1</v>
      </c>
    </row>
    <row r="694" spans="1:20" ht="15" customHeight="1" x14ac:dyDescent="0.3">
      <c r="A694" s="368"/>
      <c r="B694" s="368"/>
      <c r="C694" s="41">
        <v>13500</v>
      </c>
      <c r="D694" s="371"/>
      <c r="E694" s="368"/>
      <c r="F694" s="368"/>
      <c r="G694" s="368"/>
      <c r="H694" s="368"/>
      <c r="I694" s="368"/>
      <c r="J694" s="368"/>
      <c r="K694" s="368"/>
      <c r="L694" s="368"/>
      <c r="M694" s="359"/>
      <c r="N694" s="397"/>
      <c r="O694" s="368"/>
      <c r="P694" s="226">
        <v>44066</v>
      </c>
      <c r="Q694" s="368"/>
    </row>
    <row r="695" spans="1:20" ht="15" customHeight="1" thickBot="1" x14ac:dyDescent="0.35">
      <c r="A695" s="369"/>
      <c r="B695" s="369"/>
      <c r="C695" s="42">
        <v>7527</v>
      </c>
      <c r="D695" s="372"/>
      <c r="E695" s="369"/>
      <c r="F695" s="369"/>
      <c r="G695" s="369"/>
      <c r="H695" s="369"/>
      <c r="I695" s="369"/>
      <c r="J695" s="369"/>
      <c r="K695" s="369"/>
      <c r="L695" s="369"/>
      <c r="M695" s="360"/>
      <c r="N695" s="398"/>
      <c r="O695" s="369"/>
      <c r="P695" s="67"/>
      <c r="Q695" s="369"/>
    </row>
    <row r="696" spans="1:20" ht="15" hidden="1" customHeight="1" x14ac:dyDescent="0.3">
      <c r="A696" s="367">
        <v>93</v>
      </c>
      <c r="B696" s="367" t="s">
        <v>174</v>
      </c>
      <c r="C696" s="40">
        <v>-14190</v>
      </c>
      <c r="D696" s="370">
        <v>0</v>
      </c>
      <c r="E696" s="367" t="s">
        <v>13</v>
      </c>
      <c r="F696" s="367">
        <v>1450</v>
      </c>
      <c r="G696" s="367">
        <v>1200</v>
      </c>
      <c r="H696" s="367" t="s">
        <v>50</v>
      </c>
      <c r="I696" s="367" t="s">
        <v>13</v>
      </c>
      <c r="J696" s="367" t="s">
        <v>13</v>
      </c>
      <c r="K696" s="367" t="s">
        <v>13</v>
      </c>
      <c r="L696" s="367" t="s">
        <v>13</v>
      </c>
      <c r="M696" s="358" t="s">
        <v>14</v>
      </c>
      <c r="N696" s="396" t="s">
        <v>253</v>
      </c>
      <c r="O696" s="367" t="s">
        <v>27</v>
      </c>
      <c r="P696" s="65"/>
      <c r="Q696" s="367" t="s">
        <v>176</v>
      </c>
      <c r="T696" s="200">
        <v>1</v>
      </c>
    </row>
    <row r="697" spans="1:20" ht="15" customHeight="1" x14ac:dyDescent="0.3">
      <c r="A697" s="368"/>
      <c r="B697" s="368"/>
      <c r="C697" s="41">
        <v>13500</v>
      </c>
      <c r="D697" s="371"/>
      <c r="E697" s="368"/>
      <c r="F697" s="368"/>
      <c r="G697" s="368"/>
      <c r="H697" s="368"/>
      <c r="I697" s="368"/>
      <c r="J697" s="368"/>
      <c r="K697" s="368"/>
      <c r="L697" s="368"/>
      <c r="M697" s="359"/>
      <c r="N697" s="397"/>
      <c r="O697" s="368"/>
      <c r="P697" s="226">
        <v>44066</v>
      </c>
      <c r="Q697" s="368"/>
    </row>
    <row r="698" spans="1:20" ht="15" customHeight="1" thickBot="1" x14ac:dyDescent="0.35">
      <c r="A698" s="369"/>
      <c r="B698" s="369"/>
      <c r="C698" s="42">
        <v>7527</v>
      </c>
      <c r="D698" s="372"/>
      <c r="E698" s="369"/>
      <c r="F698" s="369"/>
      <c r="G698" s="369"/>
      <c r="H698" s="369"/>
      <c r="I698" s="369"/>
      <c r="J698" s="369"/>
      <c r="K698" s="369"/>
      <c r="L698" s="369"/>
      <c r="M698" s="360"/>
      <c r="N698" s="398"/>
      <c r="O698" s="369"/>
      <c r="P698" s="67"/>
      <c r="Q698" s="369"/>
    </row>
    <row r="699" spans="1:20" ht="15" hidden="1" customHeight="1" x14ac:dyDescent="0.3">
      <c r="A699" s="367">
        <v>94</v>
      </c>
      <c r="B699" s="367" t="s">
        <v>174</v>
      </c>
      <c r="C699" s="40">
        <v>-11860</v>
      </c>
      <c r="D699" s="370">
        <v>0</v>
      </c>
      <c r="E699" s="367" t="s">
        <v>13</v>
      </c>
      <c r="F699" s="367">
        <v>1450</v>
      </c>
      <c r="G699" s="367">
        <v>1200</v>
      </c>
      <c r="H699" s="367" t="s">
        <v>25</v>
      </c>
      <c r="I699" s="367" t="s">
        <v>13</v>
      </c>
      <c r="J699" s="367" t="s">
        <v>13</v>
      </c>
      <c r="K699" s="367" t="s">
        <v>13</v>
      </c>
      <c r="L699" s="367" t="s">
        <v>13</v>
      </c>
      <c r="M699" s="358" t="s">
        <v>14</v>
      </c>
      <c r="N699" s="396" t="s">
        <v>253</v>
      </c>
      <c r="O699" s="367" t="s">
        <v>27</v>
      </c>
      <c r="P699" s="65"/>
      <c r="Q699" s="367" t="s">
        <v>176</v>
      </c>
    </row>
    <row r="700" spans="1:20" ht="15" customHeight="1" x14ac:dyDescent="0.3">
      <c r="A700" s="368"/>
      <c r="B700" s="368"/>
      <c r="C700" s="41">
        <v>16870</v>
      </c>
      <c r="D700" s="371"/>
      <c r="E700" s="368"/>
      <c r="F700" s="368"/>
      <c r="G700" s="368"/>
      <c r="H700" s="368"/>
      <c r="I700" s="368"/>
      <c r="J700" s="368"/>
      <c r="K700" s="368"/>
      <c r="L700" s="368"/>
      <c r="M700" s="359"/>
      <c r="N700" s="397"/>
      <c r="O700" s="368"/>
      <c r="P700" s="226">
        <v>44066</v>
      </c>
      <c r="Q700" s="368"/>
      <c r="T700" s="200">
        <v>1</v>
      </c>
    </row>
    <row r="701" spans="1:20" ht="15" customHeight="1" thickBot="1" x14ac:dyDescent="0.35">
      <c r="A701" s="369"/>
      <c r="B701" s="369"/>
      <c r="C701" s="42">
        <v>7527</v>
      </c>
      <c r="D701" s="372"/>
      <c r="E701" s="369"/>
      <c r="F701" s="369"/>
      <c r="G701" s="369"/>
      <c r="H701" s="369"/>
      <c r="I701" s="369"/>
      <c r="J701" s="369"/>
      <c r="K701" s="369"/>
      <c r="L701" s="369"/>
      <c r="M701" s="360"/>
      <c r="N701" s="398"/>
      <c r="O701" s="369"/>
      <c r="P701" s="67"/>
      <c r="Q701" s="369"/>
    </row>
    <row r="702" spans="1:20" ht="15" hidden="1" customHeight="1" x14ac:dyDescent="0.3">
      <c r="A702" s="367">
        <v>95</v>
      </c>
      <c r="B702" s="367" t="s">
        <v>160</v>
      </c>
      <c r="C702" s="40">
        <v>-12250</v>
      </c>
      <c r="D702" s="367">
        <v>1</v>
      </c>
      <c r="E702" s="367" t="s">
        <v>63</v>
      </c>
      <c r="F702" s="367">
        <v>1450</v>
      </c>
      <c r="G702" s="367">
        <v>1200</v>
      </c>
      <c r="H702" s="367" t="s">
        <v>61</v>
      </c>
      <c r="I702" s="367">
        <v>100</v>
      </c>
      <c r="J702" s="370" t="s">
        <v>45</v>
      </c>
      <c r="K702" s="367">
        <v>30</v>
      </c>
      <c r="L702" s="367">
        <v>39.5</v>
      </c>
      <c r="M702" s="358" t="s">
        <v>14</v>
      </c>
      <c r="N702" s="396" t="s">
        <v>253</v>
      </c>
      <c r="O702" s="367" t="s">
        <v>27</v>
      </c>
      <c r="P702" s="197"/>
      <c r="Q702" s="367" t="s">
        <v>254</v>
      </c>
      <c r="R702" s="186">
        <v>44071</v>
      </c>
    </row>
    <row r="703" spans="1:20" ht="15" customHeight="1" x14ac:dyDescent="0.3">
      <c r="A703" s="368"/>
      <c r="B703" s="368"/>
      <c r="C703" s="41">
        <v>14725</v>
      </c>
      <c r="D703" s="368"/>
      <c r="E703" s="368"/>
      <c r="F703" s="368"/>
      <c r="G703" s="368"/>
      <c r="H703" s="368"/>
      <c r="I703" s="368"/>
      <c r="J703" s="371"/>
      <c r="K703" s="368"/>
      <c r="L703" s="368"/>
      <c r="M703" s="359"/>
      <c r="N703" s="397"/>
      <c r="O703" s="368"/>
      <c r="P703" s="226">
        <v>44071</v>
      </c>
      <c r="Q703" s="368"/>
      <c r="T703" s="200">
        <v>1</v>
      </c>
    </row>
    <row r="704" spans="1:20" ht="15" customHeight="1" thickBot="1" x14ac:dyDescent="0.35">
      <c r="A704" s="369"/>
      <c r="B704" s="369"/>
      <c r="C704" s="42">
        <v>7527</v>
      </c>
      <c r="D704" s="369"/>
      <c r="E704" s="369"/>
      <c r="F704" s="369"/>
      <c r="G704" s="369"/>
      <c r="H704" s="369"/>
      <c r="I704" s="369"/>
      <c r="J704" s="372"/>
      <c r="K704" s="369"/>
      <c r="L704" s="369"/>
      <c r="M704" s="360"/>
      <c r="N704" s="398"/>
      <c r="O704" s="369"/>
      <c r="P704" s="199"/>
      <c r="Q704" s="369"/>
    </row>
    <row r="705" spans="1:20" ht="15" hidden="1" customHeight="1" x14ac:dyDescent="0.3">
      <c r="A705" s="367">
        <v>96</v>
      </c>
      <c r="B705" s="367" t="s">
        <v>160</v>
      </c>
      <c r="C705" s="40">
        <v>-12900</v>
      </c>
      <c r="D705" s="367">
        <v>1</v>
      </c>
      <c r="E705" s="367" t="s">
        <v>63</v>
      </c>
      <c r="F705" s="367">
        <v>1450</v>
      </c>
      <c r="G705" s="367">
        <v>1200</v>
      </c>
      <c r="H705" s="367" t="s">
        <v>61</v>
      </c>
      <c r="I705" s="367">
        <v>100</v>
      </c>
      <c r="J705" s="370" t="s">
        <v>45</v>
      </c>
      <c r="K705" s="367">
        <v>30</v>
      </c>
      <c r="L705" s="367">
        <v>39.5</v>
      </c>
      <c r="M705" s="358" t="s">
        <v>14</v>
      </c>
      <c r="N705" s="396" t="s">
        <v>253</v>
      </c>
      <c r="O705" s="367" t="s">
        <v>27</v>
      </c>
      <c r="P705" s="197"/>
      <c r="Q705" s="367" t="s">
        <v>254</v>
      </c>
      <c r="R705" s="186">
        <v>44071</v>
      </c>
    </row>
    <row r="706" spans="1:20" ht="15" customHeight="1" x14ac:dyDescent="0.3">
      <c r="A706" s="368"/>
      <c r="B706" s="368"/>
      <c r="C706" s="41">
        <v>14580</v>
      </c>
      <c r="D706" s="368"/>
      <c r="E706" s="368"/>
      <c r="F706" s="368"/>
      <c r="G706" s="368"/>
      <c r="H706" s="368"/>
      <c r="I706" s="368"/>
      <c r="J706" s="371"/>
      <c r="K706" s="368"/>
      <c r="L706" s="368"/>
      <c r="M706" s="359"/>
      <c r="N706" s="397"/>
      <c r="O706" s="368"/>
      <c r="P706" s="226">
        <v>44071</v>
      </c>
      <c r="Q706" s="368"/>
      <c r="T706" s="200">
        <v>1</v>
      </c>
    </row>
    <row r="707" spans="1:20" ht="15" customHeight="1" thickBot="1" x14ac:dyDescent="0.35">
      <c r="A707" s="369"/>
      <c r="B707" s="369"/>
      <c r="C707" s="42">
        <v>7527</v>
      </c>
      <c r="D707" s="369"/>
      <c r="E707" s="369"/>
      <c r="F707" s="369"/>
      <c r="G707" s="369"/>
      <c r="H707" s="369"/>
      <c r="I707" s="369"/>
      <c r="J707" s="372"/>
      <c r="K707" s="369"/>
      <c r="L707" s="369"/>
      <c r="M707" s="360"/>
      <c r="N707" s="398"/>
      <c r="O707" s="369"/>
      <c r="P707" s="199"/>
      <c r="Q707" s="369"/>
    </row>
    <row r="708" spans="1:20" ht="15" hidden="1" customHeight="1" x14ac:dyDescent="0.3">
      <c r="A708" s="367">
        <v>97</v>
      </c>
      <c r="B708" s="367" t="s">
        <v>191</v>
      </c>
      <c r="C708" s="40">
        <v>-12600</v>
      </c>
      <c r="D708" s="367">
        <v>1</v>
      </c>
      <c r="E708" s="367" t="s">
        <v>255</v>
      </c>
      <c r="F708" s="367">
        <v>1450</v>
      </c>
      <c r="G708" s="367">
        <v>1200</v>
      </c>
      <c r="H708" s="367" t="s">
        <v>50</v>
      </c>
      <c r="I708" s="367">
        <v>150</v>
      </c>
      <c r="J708" s="370" t="s">
        <v>45</v>
      </c>
      <c r="K708" s="367">
        <v>30</v>
      </c>
      <c r="L708" s="367">
        <v>6.5</v>
      </c>
      <c r="M708" s="358" t="s">
        <v>14</v>
      </c>
      <c r="N708" s="396" t="s">
        <v>234</v>
      </c>
      <c r="O708" s="367" t="s">
        <v>27</v>
      </c>
      <c r="P708" s="322"/>
      <c r="Q708" s="367" t="s">
        <v>256</v>
      </c>
      <c r="T708" s="200">
        <v>1</v>
      </c>
    </row>
    <row r="709" spans="1:20" ht="15" customHeight="1" x14ac:dyDescent="0.3">
      <c r="A709" s="368"/>
      <c r="B709" s="368"/>
      <c r="C709" s="41">
        <v>12150</v>
      </c>
      <c r="D709" s="368"/>
      <c r="E709" s="368"/>
      <c r="F709" s="368"/>
      <c r="G709" s="368"/>
      <c r="H709" s="368"/>
      <c r="I709" s="368"/>
      <c r="J709" s="371"/>
      <c r="K709" s="368"/>
      <c r="L709" s="368"/>
      <c r="M709" s="359"/>
      <c r="N709" s="397"/>
      <c r="O709" s="368"/>
      <c r="P709" s="226">
        <v>44097</v>
      </c>
      <c r="Q709" s="368"/>
    </row>
    <row r="710" spans="1:20" ht="15" customHeight="1" thickBot="1" x14ac:dyDescent="0.35">
      <c r="A710" s="369"/>
      <c r="B710" s="369"/>
      <c r="C710" s="42">
        <v>7527</v>
      </c>
      <c r="D710" s="369"/>
      <c r="E710" s="369"/>
      <c r="F710" s="369"/>
      <c r="G710" s="369"/>
      <c r="H710" s="369"/>
      <c r="I710" s="369"/>
      <c r="J710" s="372"/>
      <c r="K710" s="369"/>
      <c r="L710" s="369"/>
      <c r="M710" s="360"/>
      <c r="N710" s="398"/>
      <c r="O710" s="369"/>
      <c r="P710" s="323"/>
      <c r="Q710" s="369"/>
    </row>
    <row r="711" spans="1:20" ht="15" hidden="1" customHeight="1" x14ac:dyDescent="0.3">
      <c r="A711" s="367">
        <v>98</v>
      </c>
      <c r="B711" s="367" t="s">
        <v>191</v>
      </c>
      <c r="C711" s="40">
        <v>-12600</v>
      </c>
      <c r="D711" s="367">
        <v>1</v>
      </c>
      <c r="E711" s="367" t="s">
        <v>255</v>
      </c>
      <c r="F711" s="367">
        <v>1450</v>
      </c>
      <c r="G711" s="367">
        <v>1200</v>
      </c>
      <c r="H711" s="367" t="s">
        <v>50</v>
      </c>
      <c r="I711" s="367">
        <v>150</v>
      </c>
      <c r="J711" s="370" t="s">
        <v>45</v>
      </c>
      <c r="K711" s="367">
        <v>30</v>
      </c>
      <c r="L711" s="367">
        <v>6.5</v>
      </c>
      <c r="M711" s="358" t="s">
        <v>14</v>
      </c>
      <c r="N711" s="396" t="s">
        <v>234</v>
      </c>
      <c r="O711" s="367" t="s">
        <v>27</v>
      </c>
      <c r="P711" s="322"/>
      <c r="Q711" s="367" t="s">
        <v>256</v>
      </c>
      <c r="T711" s="200">
        <v>1</v>
      </c>
    </row>
    <row r="712" spans="1:20" ht="15" customHeight="1" x14ac:dyDescent="0.3">
      <c r="A712" s="368"/>
      <c r="B712" s="368"/>
      <c r="C712" s="41">
        <v>11900</v>
      </c>
      <c r="D712" s="368"/>
      <c r="E712" s="368"/>
      <c r="F712" s="368"/>
      <c r="G712" s="368"/>
      <c r="H712" s="368"/>
      <c r="I712" s="368"/>
      <c r="J712" s="371"/>
      <c r="K712" s="368"/>
      <c r="L712" s="368"/>
      <c r="M712" s="359"/>
      <c r="N712" s="397"/>
      <c r="O712" s="368"/>
      <c r="P712" s="226">
        <v>44097</v>
      </c>
      <c r="Q712" s="368"/>
    </row>
    <row r="713" spans="1:20" ht="15" customHeight="1" thickBot="1" x14ac:dyDescent="0.35">
      <c r="A713" s="369"/>
      <c r="B713" s="369"/>
      <c r="C713" s="42">
        <v>7527</v>
      </c>
      <c r="D713" s="369"/>
      <c r="E713" s="369"/>
      <c r="F713" s="369"/>
      <c r="G713" s="369"/>
      <c r="H713" s="369"/>
      <c r="I713" s="369"/>
      <c r="J713" s="372"/>
      <c r="K713" s="369"/>
      <c r="L713" s="369"/>
      <c r="M713" s="360"/>
      <c r="N713" s="398"/>
      <c r="O713" s="369"/>
      <c r="P713" s="323"/>
      <c r="Q713" s="369"/>
    </row>
    <row r="714" spans="1:20" ht="15" hidden="1" customHeight="1" x14ac:dyDescent="0.3">
      <c r="A714" s="367">
        <v>99</v>
      </c>
      <c r="B714" s="367" t="s">
        <v>174</v>
      </c>
      <c r="C714" s="40">
        <v>-12600</v>
      </c>
      <c r="D714" s="370">
        <v>0</v>
      </c>
      <c r="E714" s="367" t="s">
        <v>13</v>
      </c>
      <c r="F714" s="367">
        <v>1450</v>
      </c>
      <c r="G714" s="367">
        <v>1200</v>
      </c>
      <c r="H714" s="367" t="s">
        <v>55</v>
      </c>
      <c r="I714" s="367" t="s">
        <v>13</v>
      </c>
      <c r="J714" s="367" t="s">
        <v>13</v>
      </c>
      <c r="K714" s="367" t="s">
        <v>13</v>
      </c>
      <c r="L714" s="367" t="s">
        <v>13</v>
      </c>
      <c r="M714" s="358" t="s">
        <v>14</v>
      </c>
      <c r="N714" s="396" t="s">
        <v>234</v>
      </c>
      <c r="O714" s="367" t="s">
        <v>27</v>
      </c>
      <c r="P714" s="65"/>
      <c r="Q714" s="367" t="s">
        <v>176</v>
      </c>
      <c r="T714" s="200">
        <v>1</v>
      </c>
    </row>
    <row r="715" spans="1:20" ht="15" customHeight="1" x14ac:dyDescent="0.3">
      <c r="A715" s="368"/>
      <c r="B715" s="368"/>
      <c r="C715" s="41">
        <v>10850</v>
      </c>
      <c r="D715" s="371"/>
      <c r="E715" s="368"/>
      <c r="F715" s="368"/>
      <c r="G715" s="368"/>
      <c r="H715" s="368"/>
      <c r="I715" s="368"/>
      <c r="J715" s="368"/>
      <c r="K715" s="368"/>
      <c r="L715" s="368"/>
      <c r="M715" s="359"/>
      <c r="N715" s="397"/>
      <c r="O715" s="368"/>
      <c r="P715" s="226">
        <v>44066</v>
      </c>
      <c r="Q715" s="368"/>
    </row>
    <row r="716" spans="1:20" ht="15" customHeight="1" thickBot="1" x14ac:dyDescent="0.35">
      <c r="A716" s="369"/>
      <c r="B716" s="369"/>
      <c r="C716" s="42">
        <v>7527</v>
      </c>
      <c r="D716" s="372"/>
      <c r="E716" s="369"/>
      <c r="F716" s="369"/>
      <c r="G716" s="369"/>
      <c r="H716" s="369"/>
      <c r="I716" s="369"/>
      <c r="J716" s="369"/>
      <c r="K716" s="369"/>
      <c r="L716" s="369"/>
      <c r="M716" s="360"/>
      <c r="N716" s="398"/>
      <c r="O716" s="369"/>
      <c r="P716" s="67"/>
      <c r="Q716" s="369"/>
    </row>
    <row r="717" spans="1:20" ht="15" hidden="1" customHeight="1" x14ac:dyDescent="0.3">
      <c r="A717" s="373">
        <v>100</v>
      </c>
      <c r="B717" s="373" t="s">
        <v>64</v>
      </c>
      <c r="C717" s="49">
        <v>-14000</v>
      </c>
      <c r="D717" s="373">
        <v>1</v>
      </c>
      <c r="E717" s="373" t="s">
        <v>245</v>
      </c>
      <c r="F717" s="373">
        <v>1450</v>
      </c>
      <c r="G717" s="373">
        <v>1200</v>
      </c>
      <c r="H717" s="373" t="s">
        <v>12</v>
      </c>
      <c r="I717" s="373">
        <v>350</v>
      </c>
      <c r="J717" s="376" t="s">
        <v>45</v>
      </c>
      <c r="K717" s="373">
        <v>90</v>
      </c>
      <c r="L717" s="373">
        <v>46</v>
      </c>
      <c r="M717" s="379" t="s">
        <v>14</v>
      </c>
      <c r="N717" s="408" t="s">
        <v>234</v>
      </c>
      <c r="O717" s="373" t="s">
        <v>27</v>
      </c>
      <c r="P717" s="83"/>
      <c r="Q717" s="373" t="s">
        <v>246</v>
      </c>
      <c r="T717" s="288">
        <v>1</v>
      </c>
    </row>
    <row r="718" spans="1:20" ht="15" customHeight="1" x14ac:dyDescent="0.3">
      <c r="A718" s="374"/>
      <c r="B718" s="374"/>
      <c r="C718" s="51">
        <v>9000</v>
      </c>
      <c r="D718" s="374"/>
      <c r="E718" s="374"/>
      <c r="F718" s="374"/>
      <c r="G718" s="374"/>
      <c r="H718" s="374"/>
      <c r="I718" s="374"/>
      <c r="J718" s="377"/>
      <c r="K718" s="374"/>
      <c r="L718" s="374"/>
      <c r="M718" s="380"/>
      <c r="N718" s="409"/>
      <c r="O718" s="374"/>
      <c r="P718" s="84"/>
      <c r="Q718" s="374"/>
    </row>
    <row r="719" spans="1:20" ht="15" customHeight="1" thickBot="1" x14ac:dyDescent="0.35">
      <c r="A719" s="375"/>
      <c r="B719" s="375"/>
      <c r="C719" s="50">
        <v>7527</v>
      </c>
      <c r="D719" s="375"/>
      <c r="E719" s="375"/>
      <c r="F719" s="375"/>
      <c r="G719" s="375"/>
      <c r="H719" s="375"/>
      <c r="I719" s="375"/>
      <c r="J719" s="378"/>
      <c r="K719" s="375"/>
      <c r="L719" s="375"/>
      <c r="M719" s="381"/>
      <c r="N719" s="410"/>
      <c r="O719" s="375"/>
      <c r="P719" s="85"/>
      <c r="Q719" s="375"/>
    </row>
    <row r="720" spans="1:20" ht="15" hidden="1" customHeight="1" x14ac:dyDescent="0.3">
      <c r="A720" s="367">
        <v>101</v>
      </c>
      <c r="B720" s="367" t="s">
        <v>241</v>
      </c>
      <c r="C720" s="40">
        <v>-12600</v>
      </c>
      <c r="D720" s="367">
        <v>1</v>
      </c>
      <c r="E720" s="367" t="s">
        <v>242</v>
      </c>
      <c r="F720" s="367">
        <v>1450</v>
      </c>
      <c r="G720" s="367">
        <v>1200</v>
      </c>
      <c r="H720" s="367" t="s">
        <v>55</v>
      </c>
      <c r="I720" s="367">
        <v>300</v>
      </c>
      <c r="J720" s="370" t="s">
        <v>45</v>
      </c>
      <c r="K720" s="367">
        <v>100</v>
      </c>
      <c r="L720" s="367">
        <v>-50</v>
      </c>
      <c r="M720" s="358" t="s">
        <v>14</v>
      </c>
      <c r="N720" s="396" t="s">
        <v>234</v>
      </c>
      <c r="O720" s="367" t="s">
        <v>27</v>
      </c>
      <c r="P720" s="65"/>
      <c r="Q720" s="367" t="s">
        <v>243</v>
      </c>
      <c r="T720" s="200">
        <v>1</v>
      </c>
    </row>
    <row r="721" spans="1:20" ht="15" customHeight="1" x14ac:dyDescent="0.3">
      <c r="A721" s="368"/>
      <c r="B721" s="368"/>
      <c r="C721" s="41">
        <v>8850</v>
      </c>
      <c r="D721" s="368"/>
      <c r="E721" s="368"/>
      <c r="F721" s="368"/>
      <c r="G721" s="368"/>
      <c r="H721" s="368"/>
      <c r="I721" s="368"/>
      <c r="J721" s="371"/>
      <c r="K721" s="368"/>
      <c r="L721" s="368"/>
      <c r="M721" s="359"/>
      <c r="N721" s="397"/>
      <c r="O721" s="368"/>
      <c r="P721" s="226">
        <v>44066</v>
      </c>
      <c r="Q721" s="368"/>
    </row>
    <row r="722" spans="1:20" ht="15" customHeight="1" thickBot="1" x14ac:dyDescent="0.35">
      <c r="A722" s="369"/>
      <c r="B722" s="369"/>
      <c r="C722" s="42">
        <v>7527</v>
      </c>
      <c r="D722" s="369"/>
      <c r="E722" s="369"/>
      <c r="F722" s="369"/>
      <c r="G722" s="369"/>
      <c r="H722" s="369"/>
      <c r="I722" s="369"/>
      <c r="J722" s="372"/>
      <c r="K722" s="369"/>
      <c r="L722" s="369"/>
      <c r="M722" s="360"/>
      <c r="N722" s="398"/>
      <c r="O722" s="369"/>
      <c r="P722" s="67"/>
      <c r="Q722" s="369"/>
    </row>
    <row r="723" spans="1:20" ht="15" hidden="1" customHeight="1" x14ac:dyDescent="0.3">
      <c r="A723" s="373">
        <v>102</v>
      </c>
      <c r="B723" s="373" t="s">
        <v>257</v>
      </c>
      <c r="C723" s="49">
        <v>-12550</v>
      </c>
      <c r="D723" s="373">
        <v>1</v>
      </c>
      <c r="E723" s="373" t="s">
        <v>245</v>
      </c>
      <c r="F723" s="373">
        <v>1450</v>
      </c>
      <c r="G723" s="373">
        <v>1200</v>
      </c>
      <c r="H723" s="373" t="s">
        <v>19</v>
      </c>
      <c r="I723" s="373">
        <v>350</v>
      </c>
      <c r="J723" s="376" t="s">
        <v>45</v>
      </c>
      <c r="K723" s="373">
        <v>90</v>
      </c>
      <c r="L723" s="373">
        <v>-32</v>
      </c>
      <c r="M723" s="379" t="s">
        <v>14</v>
      </c>
      <c r="N723" s="408" t="s">
        <v>234</v>
      </c>
      <c r="O723" s="373" t="s">
        <v>27</v>
      </c>
      <c r="P723" s="83"/>
      <c r="Q723" s="373" t="s">
        <v>243</v>
      </c>
    </row>
    <row r="724" spans="1:20" ht="15" customHeight="1" x14ac:dyDescent="0.3">
      <c r="A724" s="374"/>
      <c r="B724" s="374"/>
      <c r="C724" s="49">
        <v>7800</v>
      </c>
      <c r="D724" s="374"/>
      <c r="E724" s="374"/>
      <c r="F724" s="374"/>
      <c r="G724" s="374"/>
      <c r="H724" s="374"/>
      <c r="I724" s="374"/>
      <c r="J724" s="377"/>
      <c r="K724" s="374"/>
      <c r="L724" s="374"/>
      <c r="M724" s="380"/>
      <c r="N724" s="409"/>
      <c r="O724" s="374"/>
      <c r="P724" s="84"/>
      <c r="Q724" s="374"/>
      <c r="T724" s="288">
        <v>1</v>
      </c>
    </row>
    <row r="725" spans="1:20" ht="15" customHeight="1" thickBot="1" x14ac:dyDescent="0.35">
      <c r="A725" s="375"/>
      <c r="B725" s="375"/>
      <c r="C725" s="50">
        <v>7527</v>
      </c>
      <c r="D725" s="375"/>
      <c r="E725" s="375"/>
      <c r="F725" s="375"/>
      <c r="G725" s="375"/>
      <c r="H725" s="375"/>
      <c r="I725" s="375"/>
      <c r="J725" s="378"/>
      <c r="K725" s="375"/>
      <c r="L725" s="375"/>
      <c r="M725" s="381"/>
      <c r="N725" s="410"/>
      <c r="O725" s="375"/>
      <c r="P725" s="85"/>
      <c r="Q725" s="375"/>
    </row>
    <row r="726" spans="1:20" ht="15" hidden="1" customHeight="1" x14ac:dyDescent="0.3">
      <c r="A726" s="367">
        <v>103</v>
      </c>
      <c r="B726" s="367" t="s">
        <v>174</v>
      </c>
      <c r="C726" s="40">
        <v>-16650</v>
      </c>
      <c r="D726" s="370">
        <v>0</v>
      </c>
      <c r="E726" s="367" t="s">
        <v>13</v>
      </c>
      <c r="F726" s="367">
        <v>1450</v>
      </c>
      <c r="G726" s="367">
        <v>1200</v>
      </c>
      <c r="H726" s="367" t="s">
        <v>50</v>
      </c>
      <c r="I726" s="367" t="s">
        <v>13</v>
      </c>
      <c r="J726" s="367" t="s">
        <v>13</v>
      </c>
      <c r="K726" s="367" t="s">
        <v>13</v>
      </c>
      <c r="L726" s="367" t="s">
        <v>13</v>
      </c>
      <c r="M726" s="358" t="s">
        <v>14</v>
      </c>
      <c r="N726" s="396" t="s">
        <v>253</v>
      </c>
      <c r="O726" s="367" t="s">
        <v>27</v>
      </c>
      <c r="P726" s="65"/>
      <c r="Q726" s="367" t="s">
        <v>176</v>
      </c>
    </row>
    <row r="727" spans="1:20" ht="15" customHeight="1" x14ac:dyDescent="0.3">
      <c r="A727" s="368"/>
      <c r="B727" s="368"/>
      <c r="C727" s="40">
        <v>11705</v>
      </c>
      <c r="D727" s="371"/>
      <c r="E727" s="368"/>
      <c r="F727" s="368"/>
      <c r="G727" s="368"/>
      <c r="H727" s="368"/>
      <c r="I727" s="368"/>
      <c r="J727" s="368"/>
      <c r="K727" s="368"/>
      <c r="L727" s="368"/>
      <c r="M727" s="359"/>
      <c r="N727" s="397"/>
      <c r="O727" s="368"/>
      <c r="P727" s="226">
        <v>44066</v>
      </c>
      <c r="Q727" s="368"/>
      <c r="T727" s="200">
        <v>1</v>
      </c>
    </row>
    <row r="728" spans="1:20" ht="15" customHeight="1" thickBot="1" x14ac:dyDescent="0.35">
      <c r="A728" s="369"/>
      <c r="B728" s="369"/>
      <c r="C728" s="42">
        <v>7527</v>
      </c>
      <c r="D728" s="372"/>
      <c r="E728" s="369"/>
      <c r="F728" s="369"/>
      <c r="G728" s="369"/>
      <c r="H728" s="369"/>
      <c r="I728" s="369"/>
      <c r="J728" s="369"/>
      <c r="K728" s="369"/>
      <c r="L728" s="369"/>
      <c r="M728" s="360"/>
      <c r="N728" s="398"/>
      <c r="O728" s="369"/>
      <c r="P728" s="67"/>
      <c r="Q728" s="369"/>
    </row>
    <row r="729" spans="1:20" ht="15" hidden="1" customHeight="1" x14ac:dyDescent="0.3">
      <c r="A729" s="367">
        <v>104</v>
      </c>
      <c r="B729" s="367" t="s">
        <v>174</v>
      </c>
      <c r="C729" s="40">
        <v>-18150</v>
      </c>
      <c r="D729" s="370">
        <v>0</v>
      </c>
      <c r="E729" s="367" t="s">
        <v>13</v>
      </c>
      <c r="F729" s="367">
        <v>1450</v>
      </c>
      <c r="G729" s="367">
        <v>1200</v>
      </c>
      <c r="H729" s="367" t="s">
        <v>50</v>
      </c>
      <c r="I729" s="367" t="s">
        <v>13</v>
      </c>
      <c r="J729" s="367" t="s">
        <v>13</v>
      </c>
      <c r="K729" s="367" t="s">
        <v>13</v>
      </c>
      <c r="L729" s="367" t="s">
        <v>13</v>
      </c>
      <c r="M729" s="358" t="s">
        <v>14</v>
      </c>
      <c r="N729" s="396" t="s">
        <v>253</v>
      </c>
      <c r="O729" s="367" t="s">
        <v>27</v>
      </c>
      <c r="P729" s="65"/>
      <c r="Q729" s="367" t="s">
        <v>176</v>
      </c>
      <c r="T729" s="200">
        <v>1</v>
      </c>
    </row>
    <row r="730" spans="1:20" ht="15" customHeight="1" x14ac:dyDescent="0.3">
      <c r="A730" s="368"/>
      <c r="B730" s="368"/>
      <c r="C730" s="40">
        <v>8750</v>
      </c>
      <c r="D730" s="371"/>
      <c r="E730" s="368"/>
      <c r="F730" s="368"/>
      <c r="G730" s="368"/>
      <c r="H730" s="368"/>
      <c r="I730" s="368"/>
      <c r="J730" s="368"/>
      <c r="K730" s="368"/>
      <c r="L730" s="368"/>
      <c r="M730" s="359"/>
      <c r="N730" s="397"/>
      <c r="O730" s="368"/>
      <c r="P730" s="226">
        <v>44066</v>
      </c>
      <c r="Q730" s="368"/>
    </row>
    <row r="731" spans="1:20" ht="15" customHeight="1" thickBot="1" x14ac:dyDescent="0.35">
      <c r="A731" s="369"/>
      <c r="B731" s="369"/>
      <c r="C731" s="42">
        <v>7527</v>
      </c>
      <c r="D731" s="372"/>
      <c r="E731" s="369"/>
      <c r="F731" s="369"/>
      <c r="G731" s="369"/>
      <c r="H731" s="369"/>
      <c r="I731" s="369"/>
      <c r="J731" s="369"/>
      <c r="K731" s="369"/>
      <c r="L731" s="369"/>
      <c r="M731" s="360"/>
      <c r="N731" s="398"/>
      <c r="O731" s="369"/>
      <c r="P731" s="67"/>
      <c r="Q731" s="369"/>
    </row>
    <row r="732" spans="1:20" ht="15" hidden="1" customHeight="1" x14ac:dyDescent="0.3">
      <c r="A732" s="367">
        <v>105</v>
      </c>
      <c r="B732" s="367" t="s">
        <v>174</v>
      </c>
      <c r="C732" s="40">
        <v>-17850</v>
      </c>
      <c r="D732" s="370">
        <v>0</v>
      </c>
      <c r="E732" s="367" t="s">
        <v>13</v>
      </c>
      <c r="F732" s="367">
        <v>1450</v>
      </c>
      <c r="G732" s="367">
        <v>1200</v>
      </c>
      <c r="H732" s="367" t="s">
        <v>50</v>
      </c>
      <c r="I732" s="367" t="s">
        <v>13</v>
      </c>
      <c r="J732" s="367" t="s">
        <v>13</v>
      </c>
      <c r="K732" s="367" t="s">
        <v>13</v>
      </c>
      <c r="L732" s="367" t="s">
        <v>13</v>
      </c>
      <c r="M732" s="358" t="s">
        <v>14</v>
      </c>
      <c r="N732" s="396" t="s">
        <v>253</v>
      </c>
      <c r="O732" s="367" t="s">
        <v>27</v>
      </c>
      <c r="P732" s="65"/>
      <c r="Q732" s="367" t="s">
        <v>176</v>
      </c>
    </row>
    <row r="733" spans="1:20" ht="15" customHeight="1" x14ac:dyDescent="0.3">
      <c r="A733" s="368"/>
      <c r="B733" s="368"/>
      <c r="C733" s="40">
        <v>8750</v>
      </c>
      <c r="D733" s="371"/>
      <c r="E733" s="368"/>
      <c r="F733" s="368"/>
      <c r="G733" s="368"/>
      <c r="H733" s="368"/>
      <c r="I733" s="368"/>
      <c r="J733" s="368"/>
      <c r="K733" s="368"/>
      <c r="L733" s="368"/>
      <c r="M733" s="359"/>
      <c r="N733" s="397"/>
      <c r="O733" s="368"/>
      <c r="P733" s="226">
        <v>44066</v>
      </c>
      <c r="Q733" s="368"/>
      <c r="T733" s="200">
        <v>1</v>
      </c>
    </row>
    <row r="734" spans="1:20" ht="15" customHeight="1" thickBot="1" x14ac:dyDescent="0.35">
      <c r="A734" s="369"/>
      <c r="B734" s="369"/>
      <c r="C734" s="42">
        <v>7527</v>
      </c>
      <c r="D734" s="372"/>
      <c r="E734" s="369"/>
      <c r="F734" s="369"/>
      <c r="G734" s="369"/>
      <c r="H734" s="369"/>
      <c r="I734" s="369"/>
      <c r="J734" s="369"/>
      <c r="K734" s="369"/>
      <c r="L734" s="369"/>
      <c r="M734" s="360"/>
      <c r="N734" s="398"/>
      <c r="O734" s="369"/>
      <c r="P734" s="67"/>
      <c r="Q734" s="369"/>
    </row>
    <row r="735" spans="1:20" ht="15" hidden="1" customHeight="1" x14ac:dyDescent="0.3">
      <c r="A735" s="367">
        <v>106</v>
      </c>
      <c r="B735" s="367" t="s">
        <v>179</v>
      </c>
      <c r="C735" s="40">
        <v>-17850</v>
      </c>
      <c r="D735" s="367">
        <v>1</v>
      </c>
      <c r="E735" s="367" t="s">
        <v>161</v>
      </c>
      <c r="F735" s="367">
        <v>1450</v>
      </c>
      <c r="G735" s="367">
        <v>1200</v>
      </c>
      <c r="H735" s="367" t="s">
        <v>50</v>
      </c>
      <c r="I735" s="367">
        <v>60</v>
      </c>
      <c r="J735" s="367">
        <f>-1.33/2.73</f>
        <v>-0.48717948717948723</v>
      </c>
      <c r="K735" s="367">
        <v>30</v>
      </c>
      <c r="L735" s="367">
        <v>3</v>
      </c>
      <c r="M735" s="358" t="s">
        <v>14</v>
      </c>
      <c r="N735" s="396" t="s">
        <v>253</v>
      </c>
      <c r="O735" s="367" t="s">
        <v>27</v>
      </c>
      <c r="P735" s="65"/>
      <c r="Q735" s="367" t="s">
        <v>258</v>
      </c>
    </row>
    <row r="736" spans="1:20" ht="15" customHeight="1" x14ac:dyDescent="0.3">
      <c r="A736" s="368"/>
      <c r="B736" s="368"/>
      <c r="C736" s="40">
        <v>8450</v>
      </c>
      <c r="D736" s="368"/>
      <c r="E736" s="368"/>
      <c r="F736" s="368"/>
      <c r="G736" s="368"/>
      <c r="H736" s="368"/>
      <c r="I736" s="368"/>
      <c r="J736" s="368"/>
      <c r="K736" s="368"/>
      <c r="L736" s="368"/>
      <c r="M736" s="359"/>
      <c r="N736" s="397"/>
      <c r="O736" s="368"/>
      <c r="P736" s="226">
        <v>44066</v>
      </c>
      <c r="Q736" s="368"/>
      <c r="T736" s="200">
        <v>1</v>
      </c>
    </row>
    <row r="737" spans="1:20" ht="15" customHeight="1" thickBot="1" x14ac:dyDescent="0.35">
      <c r="A737" s="369"/>
      <c r="B737" s="369"/>
      <c r="C737" s="42">
        <v>7527</v>
      </c>
      <c r="D737" s="369"/>
      <c r="E737" s="369"/>
      <c r="F737" s="369"/>
      <c r="G737" s="369"/>
      <c r="H737" s="369"/>
      <c r="I737" s="369"/>
      <c r="J737" s="369"/>
      <c r="K737" s="369"/>
      <c r="L737" s="369"/>
      <c r="M737" s="360"/>
      <c r="N737" s="398"/>
      <c r="O737" s="369"/>
      <c r="P737" s="67"/>
      <c r="Q737" s="369"/>
    </row>
    <row r="738" spans="1:20" ht="15" hidden="1" customHeight="1" x14ac:dyDescent="0.3">
      <c r="A738" s="367">
        <v>107</v>
      </c>
      <c r="B738" s="367" t="s">
        <v>179</v>
      </c>
      <c r="C738" s="40">
        <v>-18150</v>
      </c>
      <c r="D738" s="367">
        <v>1</v>
      </c>
      <c r="E738" s="367" t="s">
        <v>161</v>
      </c>
      <c r="F738" s="367">
        <v>1450</v>
      </c>
      <c r="G738" s="367">
        <v>1200</v>
      </c>
      <c r="H738" s="367" t="s">
        <v>50</v>
      </c>
      <c r="I738" s="367">
        <v>60</v>
      </c>
      <c r="J738" s="367" t="s">
        <v>259</v>
      </c>
      <c r="K738" s="367">
        <v>30</v>
      </c>
      <c r="L738" s="367">
        <v>3</v>
      </c>
      <c r="M738" s="358" t="s">
        <v>14</v>
      </c>
      <c r="N738" s="396" t="s">
        <v>253</v>
      </c>
      <c r="O738" s="367" t="s">
        <v>27</v>
      </c>
      <c r="P738" s="65"/>
      <c r="Q738" s="367" t="s">
        <v>258</v>
      </c>
    </row>
    <row r="739" spans="1:20" ht="15" customHeight="1" x14ac:dyDescent="0.3">
      <c r="A739" s="368"/>
      <c r="B739" s="368"/>
      <c r="C739" s="40">
        <v>8450</v>
      </c>
      <c r="D739" s="368"/>
      <c r="E739" s="368"/>
      <c r="F739" s="368"/>
      <c r="G739" s="368"/>
      <c r="H739" s="368"/>
      <c r="I739" s="368"/>
      <c r="J739" s="368"/>
      <c r="K739" s="368"/>
      <c r="L739" s="368"/>
      <c r="M739" s="359"/>
      <c r="N739" s="397"/>
      <c r="O739" s="368"/>
      <c r="P739" s="226">
        <v>44066</v>
      </c>
      <c r="Q739" s="368"/>
    </row>
    <row r="740" spans="1:20" ht="15" customHeight="1" thickBot="1" x14ac:dyDescent="0.35">
      <c r="A740" s="369"/>
      <c r="B740" s="369"/>
      <c r="C740" s="42">
        <v>7527</v>
      </c>
      <c r="D740" s="369"/>
      <c r="E740" s="369"/>
      <c r="F740" s="369"/>
      <c r="G740" s="369"/>
      <c r="H740" s="369"/>
      <c r="I740" s="369"/>
      <c r="J740" s="369"/>
      <c r="K740" s="369"/>
      <c r="L740" s="369"/>
      <c r="M740" s="360"/>
      <c r="N740" s="398"/>
      <c r="O740" s="369"/>
      <c r="P740" s="67"/>
      <c r="Q740" s="369"/>
      <c r="T740" s="200">
        <v>1</v>
      </c>
    </row>
    <row r="741" spans="1:20" ht="15" hidden="1" customHeight="1" x14ac:dyDescent="0.3">
      <c r="A741" s="373">
        <v>108</v>
      </c>
      <c r="B741" s="373" t="s">
        <v>191</v>
      </c>
      <c r="C741" s="49">
        <v>-16915</v>
      </c>
      <c r="D741" s="373">
        <v>1</v>
      </c>
      <c r="E741" s="373" t="s">
        <v>161</v>
      </c>
      <c r="F741" s="373">
        <v>1450</v>
      </c>
      <c r="G741" s="373">
        <v>1200</v>
      </c>
      <c r="H741" s="373" t="s">
        <v>25</v>
      </c>
      <c r="I741" s="373">
        <v>150</v>
      </c>
      <c r="J741" s="376" t="s">
        <v>45</v>
      </c>
      <c r="K741" s="373">
        <v>40</v>
      </c>
      <c r="L741" s="373">
        <v>17.5</v>
      </c>
      <c r="M741" s="379" t="s">
        <v>14</v>
      </c>
      <c r="N741" s="408" t="s">
        <v>253</v>
      </c>
      <c r="O741" s="373" t="s">
        <v>27</v>
      </c>
      <c r="P741" s="83"/>
      <c r="Q741" s="373" t="s">
        <v>260</v>
      </c>
    </row>
    <row r="742" spans="1:20" ht="15" customHeight="1" x14ac:dyDescent="0.3">
      <c r="A742" s="374"/>
      <c r="B742" s="374"/>
      <c r="C742" s="51">
        <v>8735</v>
      </c>
      <c r="D742" s="374"/>
      <c r="E742" s="374"/>
      <c r="F742" s="374"/>
      <c r="G742" s="374"/>
      <c r="H742" s="374"/>
      <c r="I742" s="374"/>
      <c r="J742" s="377"/>
      <c r="K742" s="374"/>
      <c r="L742" s="374"/>
      <c r="M742" s="380"/>
      <c r="N742" s="409"/>
      <c r="O742" s="374"/>
      <c r="P742" s="84"/>
      <c r="Q742" s="374"/>
      <c r="T742" s="288">
        <v>1</v>
      </c>
    </row>
    <row r="743" spans="1:20" ht="15" customHeight="1" thickBot="1" x14ac:dyDescent="0.35">
      <c r="A743" s="375"/>
      <c r="B743" s="375"/>
      <c r="C743" s="50">
        <v>7527</v>
      </c>
      <c r="D743" s="375"/>
      <c r="E743" s="375"/>
      <c r="F743" s="375"/>
      <c r="G743" s="375"/>
      <c r="H743" s="375"/>
      <c r="I743" s="375"/>
      <c r="J743" s="378"/>
      <c r="K743" s="375"/>
      <c r="L743" s="375"/>
      <c r="M743" s="381"/>
      <c r="N743" s="410"/>
      <c r="O743" s="375"/>
      <c r="P743" s="85"/>
      <c r="Q743" s="375"/>
    </row>
    <row r="744" spans="1:20" ht="15" hidden="1" customHeight="1" x14ac:dyDescent="0.3">
      <c r="A744" s="367">
        <v>109</v>
      </c>
      <c r="B744" s="367" t="s">
        <v>174</v>
      </c>
      <c r="C744" s="40">
        <v>-16910</v>
      </c>
      <c r="D744" s="370">
        <v>0</v>
      </c>
      <c r="E744" s="367"/>
      <c r="F744" s="367">
        <v>1450</v>
      </c>
      <c r="G744" s="367">
        <v>1200</v>
      </c>
      <c r="H744" s="370" t="s">
        <v>187</v>
      </c>
      <c r="I744" s="367" t="s">
        <v>13</v>
      </c>
      <c r="J744" s="367" t="s">
        <v>13</v>
      </c>
      <c r="K744" s="367" t="s">
        <v>13</v>
      </c>
      <c r="L744" s="367" t="s">
        <v>13</v>
      </c>
      <c r="M744" s="358" t="s">
        <v>14</v>
      </c>
      <c r="N744" s="396" t="s">
        <v>253</v>
      </c>
      <c r="O744" s="367" t="s">
        <v>27</v>
      </c>
      <c r="P744" s="65"/>
      <c r="Q744" s="367" t="s">
        <v>244</v>
      </c>
    </row>
    <row r="745" spans="1:20" ht="15" customHeight="1" x14ac:dyDescent="0.3">
      <c r="A745" s="368"/>
      <c r="B745" s="368"/>
      <c r="C745" s="41">
        <v>8135</v>
      </c>
      <c r="D745" s="371"/>
      <c r="E745" s="368"/>
      <c r="F745" s="368"/>
      <c r="G745" s="368"/>
      <c r="H745" s="371"/>
      <c r="I745" s="368"/>
      <c r="J745" s="368"/>
      <c r="K745" s="368"/>
      <c r="L745" s="368"/>
      <c r="M745" s="359"/>
      <c r="N745" s="397"/>
      <c r="O745" s="368"/>
      <c r="P745" s="226">
        <v>44066</v>
      </c>
      <c r="Q745" s="368"/>
      <c r="T745" s="200">
        <v>1</v>
      </c>
    </row>
    <row r="746" spans="1:20" ht="15" customHeight="1" thickBot="1" x14ac:dyDescent="0.35">
      <c r="A746" s="369"/>
      <c r="B746" s="369"/>
      <c r="C746" s="42">
        <v>7527</v>
      </c>
      <c r="D746" s="372"/>
      <c r="E746" s="369"/>
      <c r="F746" s="369"/>
      <c r="G746" s="369"/>
      <c r="H746" s="372"/>
      <c r="I746" s="369"/>
      <c r="J746" s="369"/>
      <c r="K746" s="369"/>
      <c r="L746" s="369"/>
      <c r="M746" s="360"/>
      <c r="N746" s="398"/>
      <c r="O746" s="369"/>
      <c r="P746" s="67"/>
      <c r="Q746" s="369"/>
    </row>
    <row r="747" spans="1:20" ht="30" hidden="1" customHeight="1" thickBot="1" x14ac:dyDescent="0.35">
      <c r="A747" s="370">
        <v>110</v>
      </c>
      <c r="B747" s="39" t="s">
        <v>261</v>
      </c>
      <c r="C747" s="37">
        <v>-7340</v>
      </c>
      <c r="D747" s="370">
        <v>3</v>
      </c>
      <c r="E747" s="39" t="s">
        <v>66</v>
      </c>
      <c r="F747" s="367">
        <v>1450</v>
      </c>
      <c r="G747" s="367">
        <v>1200</v>
      </c>
      <c r="H747" s="370" t="s">
        <v>50</v>
      </c>
      <c r="I747" s="39">
        <v>60</v>
      </c>
      <c r="J747" s="39">
        <f>-1.76/-2.29</f>
        <v>0.76855895196506552</v>
      </c>
      <c r="K747" s="370" t="s">
        <v>193</v>
      </c>
      <c r="L747" s="367" t="s">
        <v>13</v>
      </c>
      <c r="M747" s="358" t="s">
        <v>14</v>
      </c>
      <c r="N747" s="399" t="s">
        <v>234</v>
      </c>
      <c r="O747" s="367" t="s">
        <v>27</v>
      </c>
      <c r="P747" s="184"/>
      <c r="Q747" s="367" t="s">
        <v>262</v>
      </c>
      <c r="R747" s="186">
        <v>44068</v>
      </c>
      <c r="T747" s="200">
        <v>1</v>
      </c>
    </row>
    <row r="748" spans="1:20" ht="30" customHeight="1" thickBot="1" x14ac:dyDescent="0.35">
      <c r="A748" s="371"/>
      <c r="B748" s="39" t="s">
        <v>261</v>
      </c>
      <c r="C748" s="38">
        <v>3650</v>
      </c>
      <c r="D748" s="371"/>
      <c r="E748" s="39" t="s">
        <v>66</v>
      </c>
      <c r="F748" s="368"/>
      <c r="G748" s="368"/>
      <c r="H748" s="371"/>
      <c r="I748" s="39">
        <v>60</v>
      </c>
      <c r="J748" s="39">
        <f>-1.76/-2.29</f>
        <v>0.76855895196506552</v>
      </c>
      <c r="K748" s="371"/>
      <c r="L748" s="368"/>
      <c r="M748" s="359"/>
      <c r="N748" s="400"/>
      <c r="O748" s="368"/>
      <c r="P748" s="226">
        <v>44068</v>
      </c>
      <c r="Q748" s="368"/>
    </row>
    <row r="749" spans="1:20" ht="30" customHeight="1" thickBot="1" x14ac:dyDescent="0.35">
      <c r="A749" s="372"/>
      <c r="B749" s="39" t="s">
        <v>261</v>
      </c>
      <c r="C749" s="39">
        <v>7527</v>
      </c>
      <c r="D749" s="372"/>
      <c r="E749" s="39" t="s">
        <v>66</v>
      </c>
      <c r="F749" s="369"/>
      <c r="G749" s="369"/>
      <c r="H749" s="372"/>
      <c r="I749" s="39">
        <v>60</v>
      </c>
      <c r="J749" s="39">
        <f>-1.76/-2.29</f>
        <v>0.76855895196506552</v>
      </c>
      <c r="K749" s="372"/>
      <c r="L749" s="369"/>
      <c r="M749" s="360"/>
      <c r="N749" s="401"/>
      <c r="O749" s="369"/>
      <c r="P749" s="185"/>
      <c r="Q749" s="369"/>
    </row>
    <row r="750" spans="1:20" ht="15" hidden="1" customHeight="1" x14ac:dyDescent="0.3">
      <c r="A750" s="367">
        <v>111</v>
      </c>
      <c r="B750" s="367" t="s">
        <v>174</v>
      </c>
      <c r="C750" s="40">
        <v>-12440</v>
      </c>
      <c r="D750" s="370">
        <v>0</v>
      </c>
      <c r="E750" s="367" t="s">
        <v>13</v>
      </c>
      <c r="F750" s="367">
        <v>1450</v>
      </c>
      <c r="G750" s="367">
        <v>1200</v>
      </c>
      <c r="H750" s="367" t="s">
        <v>50</v>
      </c>
      <c r="I750" s="367" t="s">
        <v>13</v>
      </c>
      <c r="J750" s="367" t="s">
        <v>13</v>
      </c>
      <c r="K750" s="367" t="s">
        <v>13</v>
      </c>
      <c r="L750" s="367" t="s">
        <v>13</v>
      </c>
      <c r="M750" s="358" t="s">
        <v>14</v>
      </c>
      <c r="N750" s="396" t="s">
        <v>234</v>
      </c>
      <c r="O750" s="367" t="s">
        <v>27</v>
      </c>
      <c r="P750" s="65"/>
      <c r="Q750" s="367" t="s">
        <v>176</v>
      </c>
      <c r="T750" s="200">
        <v>1</v>
      </c>
    </row>
    <row r="751" spans="1:20" ht="15" customHeight="1" x14ac:dyDescent="0.3">
      <c r="A751" s="368"/>
      <c r="B751" s="368"/>
      <c r="C751" s="41">
        <v>3650</v>
      </c>
      <c r="D751" s="371"/>
      <c r="E751" s="368"/>
      <c r="F751" s="368"/>
      <c r="G751" s="368"/>
      <c r="H751" s="368"/>
      <c r="I751" s="368"/>
      <c r="J751" s="368"/>
      <c r="K751" s="368"/>
      <c r="L751" s="368"/>
      <c r="M751" s="359"/>
      <c r="N751" s="397"/>
      <c r="O751" s="368"/>
      <c r="P751" s="226">
        <v>44068</v>
      </c>
      <c r="Q751" s="368"/>
    </row>
    <row r="752" spans="1:20" ht="15" customHeight="1" thickBot="1" x14ac:dyDescent="0.35">
      <c r="A752" s="369"/>
      <c r="B752" s="369"/>
      <c r="C752" s="42">
        <v>7527</v>
      </c>
      <c r="D752" s="372"/>
      <c r="E752" s="369"/>
      <c r="F752" s="369"/>
      <c r="G752" s="369"/>
      <c r="H752" s="369"/>
      <c r="I752" s="369"/>
      <c r="J752" s="369"/>
      <c r="K752" s="369"/>
      <c r="L752" s="369"/>
      <c r="M752" s="360"/>
      <c r="N752" s="398"/>
      <c r="O752" s="369"/>
      <c r="P752" s="67"/>
      <c r="Q752" s="369"/>
    </row>
    <row r="753" spans="1:20" ht="15" hidden="1" customHeight="1" x14ac:dyDescent="0.3">
      <c r="A753" s="376">
        <v>112</v>
      </c>
      <c r="B753" s="376" t="s">
        <v>179</v>
      </c>
      <c r="C753" s="58">
        <v>-18250</v>
      </c>
      <c r="D753" s="376">
        <v>1</v>
      </c>
      <c r="E753" s="376" t="s">
        <v>49</v>
      </c>
      <c r="F753" s="373">
        <v>1450</v>
      </c>
      <c r="G753" s="373">
        <v>1200</v>
      </c>
      <c r="H753" s="376" t="s">
        <v>25</v>
      </c>
      <c r="I753" s="376">
        <v>150</v>
      </c>
      <c r="J753" s="376" t="s">
        <v>45</v>
      </c>
      <c r="K753" s="376">
        <v>40</v>
      </c>
      <c r="L753" s="373">
        <v>5</v>
      </c>
      <c r="M753" s="379" t="s">
        <v>14</v>
      </c>
      <c r="N753" s="402" t="s">
        <v>234</v>
      </c>
      <c r="O753" s="373" t="s">
        <v>27</v>
      </c>
      <c r="P753" s="83"/>
      <c r="Q753" s="373" t="s">
        <v>263</v>
      </c>
    </row>
    <row r="754" spans="1:20" ht="15" customHeight="1" x14ac:dyDescent="0.3">
      <c r="A754" s="377"/>
      <c r="B754" s="377"/>
      <c r="C754" s="59">
        <v>2400</v>
      </c>
      <c r="D754" s="377"/>
      <c r="E754" s="377"/>
      <c r="F754" s="374"/>
      <c r="G754" s="374"/>
      <c r="H754" s="377"/>
      <c r="I754" s="377"/>
      <c r="J754" s="377"/>
      <c r="K754" s="377"/>
      <c r="L754" s="374"/>
      <c r="M754" s="380"/>
      <c r="N754" s="403"/>
      <c r="O754" s="374"/>
      <c r="P754" s="84"/>
      <c r="Q754" s="374"/>
      <c r="T754" s="288">
        <v>1</v>
      </c>
    </row>
    <row r="755" spans="1:20" ht="15" customHeight="1" thickBot="1" x14ac:dyDescent="0.35">
      <c r="A755" s="378"/>
      <c r="B755" s="378"/>
      <c r="C755" s="57">
        <v>7527</v>
      </c>
      <c r="D755" s="378"/>
      <c r="E755" s="378"/>
      <c r="F755" s="375"/>
      <c r="G755" s="375"/>
      <c r="H755" s="378"/>
      <c r="I755" s="378"/>
      <c r="J755" s="378"/>
      <c r="K755" s="378"/>
      <c r="L755" s="375"/>
      <c r="M755" s="381"/>
      <c r="N755" s="404"/>
      <c r="O755" s="375"/>
      <c r="P755" s="85"/>
      <c r="Q755" s="375"/>
    </row>
    <row r="756" spans="1:20" ht="15" hidden="1" customHeight="1" x14ac:dyDescent="0.3">
      <c r="A756" s="367">
        <v>113</v>
      </c>
      <c r="B756" s="367" t="s">
        <v>174</v>
      </c>
      <c r="C756" s="40">
        <v>-18250</v>
      </c>
      <c r="D756" s="370">
        <v>0</v>
      </c>
      <c r="E756" s="367" t="s">
        <v>13</v>
      </c>
      <c r="F756" s="367">
        <v>1450</v>
      </c>
      <c r="G756" s="367">
        <v>1200</v>
      </c>
      <c r="H756" s="367" t="s">
        <v>25</v>
      </c>
      <c r="I756" s="367" t="s">
        <v>13</v>
      </c>
      <c r="J756" s="367" t="s">
        <v>13</v>
      </c>
      <c r="K756" s="367" t="s">
        <v>13</v>
      </c>
      <c r="L756" s="367" t="s">
        <v>13</v>
      </c>
      <c r="M756" s="358" t="s">
        <v>14</v>
      </c>
      <c r="N756" s="396" t="s">
        <v>234</v>
      </c>
      <c r="O756" s="367" t="s">
        <v>27</v>
      </c>
      <c r="P756" s="65"/>
      <c r="Q756" s="367" t="s">
        <v>176</v>
      </c>
    </row>
    <row r="757" spans="1:20" ht="15" customHeight="1" x14ac:dyDescent="0.3">
      <c r="A757" s="368"/>
      <c r="B757" s="368"/>
      <c r="C757" s="41">
        <v>1700</v>
      </c>
      <c r="D757" s="371"/>
      <c r="E757" s="368"/>
      <c r="F757" s="368"/>
      <c r="G757" s="368"/>
      <c r="H757" s="368"/>
      <c r="I757" s="368"/>
      <c r="J757" s="368"/>
      <c r="K757" s="368"/>
      <c r="L757" s="368"/>
      <c r="M757" s="359"/>
      <c r="N757" s="397"/>
      <c r="O757" s="368"/>
      <c r="P757" s="226">
        <v>44066</v>
      </c>
      <c r="Q757" s="368"/>
      <c r="T757" s="200">
        <v>1</v>
      </c>
    </row>
    <row r="758" spans="1:20" ht="15" customHeight="1" thickBot="1" x14ac:dyDescent="0.35">
      <c r="A758" s="369"/>
      <c r="B758" s="369"/>
      <c r="C758" s="42">
        <v>7527</v>
      </c>
      <c r="D758" s="372"/>
      <c r="E758" s="369"/>
      <c r="F758" s="369"/>
      <c r="G758" s="369"/>
      <c r="H758" s="369"/>
      <c r="I758" s="369"/>
      <c r="J758" s="369"/>
      <c r="K758" s="369"/>
      <c r="L758" s="369"/>
      <c r="M758" s="360"/>
      <c r="N758" s="398"/>
      <c r="O758" s="369"/>
      <c r="P758" s="67"/>
      <c r="Q758" s="369"/>
    </row>
    <row r="759" spans="1:20" ht="15" hidden="1" customHeight="1" x14ac:dyDescent="0.3">
      <c r="A759" s="367">
        <v>114</v>
      </c>
      <c r="B759" s="367" t="s">
        <v>174</v>
      </c>
      <c r="C759" s="40">
        <v>-18300</v>
      </c>
      <c r="D759" s="370">
        <v>0</v>
      </c>
      <c r="E759" s="367" t="s">
        <v>13</v>
      </c>
      <c r="F759" s="367">
        <v>1450</v>
      </c>
      <c r="G759" s="367">
        <v>1200</v>
      </c>
      <c r="H759" s="367" t="s">
        <v>25</v>
      </c>
      <c r="I759" s="367" t="s">
        <v>13</v>
      </c>
      <c r="J759" s="367" t="s">
        <v>13</v>
      </c>
      <c r="K759" s="367" t="s">
        <v>13</v>
      </c>
      <c r="L759" s="367" t="s">
        <v>13</v>
      </c>
      <c r="M759" s="358" t="s">
        <v>14</v>
      </c>
      <c r="N759" s="396" t="s">
        <v>234</v>
      </c>
      <c r="O759" s="367" t="s">
        <v>27</v>
      </c>
      <c r="P759" s="65"/>
      <c r="Q759" s="367" t="s">
        <v>176</v>
      </c>
    </row>
    <row r="760" spans="1:20" ht="15" customHeight="1" x14ac:dyDescent="0.3">
      <c r="A760" s="368"/>
      <c r="B760" s="368"/>
      <c r="C760" s="41">
        <v>-2800</v>
      </c>
      <c r="D760" s="371"/>
      <c r="E760" s="368"/>
      <c r="F760" s="368"/>
      <c r="G760" s="368"/>
      <c r="H760" s="368"/>
      <c r="I760" s="368"/>
      <c r="J760" s="368"/>
      <c r="K760" s="368"/>
      <c r="L760" s="368"/>
      <c r="M760" s="359"/>
      <c r="N760" s="397"/>
      <c r="O760" s="368"/>
      <c r="P760" s="226">
        <v>44066</v>
      </c>
      <c r="Q760" s="368"/>
      <c r="T760" s="200">
        <v>1</v>
      </c>
    </row>
    <row r="761" spans="1:20" ht="15" customHeight="1" thickBot="1" x14ac:dyDescent="0.35">
      <c r="A761" s="369"/>
      <c r="B761" s="369"/>
      <c r="C761" s="42">
        <v>7527</v>
      </c>
      <c r="D761" s="372"/>
      <c r="E761" s="369"/>
      <c r="F761" s="369"/>
      <c r="G761" s="369"/>
      <c r="H761" s="369"/>
      <c r="I761" s="369"/>
      <c r="J761" s="369"/>
      <c r="K761" s="369"/>
      <c r="L761" s="369"/>
      <c r="M761" s="360"/>
      <c r="N761" s="398"/>
      <c r="O761" s="369"/>
      <c r="P761" s="67"/>
      <c r="Q761" s="369"/>
    </row>
    <row r="762" spans="1:20" ht="15" hidden="1" customHeight="1" x14ac:dyDescent="0.3">
      <c r="A762" s="367">
        <v>115</v>
      </c>
      <c r="B762" s="367" t="s">
        <v>174</v>
      </c>
      <c r="C762" s="40">
        <v>-17950</v>
      </c>
      <c r="D762" s="370">
        <v>0</v>
      </c>
      <c r="E762" s="367" t="s">
        <v>13</v>
      </c>
      <c r="F762" s="367">
        <v>1450</v>
      </c>
      <c r="G762" s="367">
        <v>1200</v>
      </c>
      <c r="H762" s="367" t="s">
        <v>25</v>
      </c>
      <c r="I762" s="367" t="s">
        <v>13</v>
      </c>
      <c r="J762" s="367" t="s">
        <v>13</v>
      </c>
      <c r="K762" s="367" t="s">
        <v>13</v>
      </c>
      <c r="L762" s="367" t="s">
        <v>13</v>
      </c>
      <c r="M762" s="358" t="s">
        <v>14</v>
      </c>
      <c r="N762" s="396" t="s">
        <v>234</v>
      </c>
      <c r="O762" s="367" t="s">
        <v>27</v>
      </c>
      <c r="P762" s="65"/>
      <c r="Q762" s="367" t="s">
        <v>176</v>
      </c>
    </row>
    <row r="763" spans="1:20" ht="15" customHeight="1" x14ac:dyDescent="0.3">
      <c r="A763" s="368"/>
      <c r="B763" s="368"/>
      <c r="C763" s="41">
        <v>-2800</v>
      </c>
      <c r="D763" s="371"/>
      <c r="E763" s="368"/>
      <c r="F763" s="368"/>
      <c r="G763" s="368"/>
      <c r="H763" s="368"/>
      <c r="I763" s="368"/>
      <c r="J763" s="368"/>
      <c r="K763" s="368"/>
      <c r="L763" s="368"/>
      <c r="M763" s="359"/>
      <c r="N763" s="397"/>
      <c r="O763" s="368"/>
      <c r="P763" s="226">
        <v>44066</v>
      </c>
      <c r="Q763" s="368"/>
    </row>
    <row r="764" spans="1:20" ht="15" customHeight="1" thickBot="1" x14ac:dyDescent="0.35">
      <c r="A764" s="369"/>
      <c r="B764" s="369"/>
      <c r="C764" s="42">
        <v>7527</v>
      </c>
      <c r="D764" s="372"/>
      <c r="E764" s="369"/>
      <c r="F764" s="369"/>
      <c r="G764" s="369"/>
      <c r="H764" s="369"/>
      <c r="I764" s="369"/>
      <c r="J764" s="369"/>
      <c r="K764" s="369"/>
      <c r="L764" s="369"/>
      <c r="M764" s="360"/>
      <c r="N764" s="398"/>
      <c r="O764" s="369"/>
      <c r="P764" s="67"/>
      <c r="Q764" s="369"/>
      <c r="T764" s="200">
        <v>1</v>
      </c>
    </row>
    <row r="765" spans="1:20" ht="15" hidden="1" customHeight="1" x14ac:dyDescent="0.3">
      <c r="A765" s="370">
        <v>116</v>
      </c>
      <c r="B765" s="370" t="s">
        <v>160</v>
      </c>
      <c r="C765" s="37">
        <v>-17555</v>
      </c>
      <c r="D765" s="370">
        <v>1</v>
      </c>
      <c r="E765" s="370" t="s">
        <v>264</v>
      </c>
      <c r="F765" s="367">
        <v>1450</v>
      </c>
      <c r="G765" s="367">
        <v>1200</v>
      </c>
      <c r="H765" s="370" t="s">
        <v>25</v>
      </c>
      <c r="I765" s="370">
        <v>100</v>
      </c>
      <c r="J765" s="370" t="s">
        <v>45</v>
      </c>
      <c r="K765" s="367">
        <v>30</v>
      </c>
      <c r="L765" s="367">
        <v>5.5</v>
      </c>
      <c r="M765" s="358" t="s">
        <v>14</v>
      </c>
      <c r="N765" s="399" t="s">
        <v>234</v>
      </c>
      <c r="O765" s="367" t="s">
        <v>27</v>
      </c>
      <c r="P765" s="316"/>
      <c r="Q765" s="367" t="s">
        <v>265</v>
      </c>
    </row>
    <row r="766" spans="1:20" ht="15" customHeight="1" x14ac:dyDescent="0.3">
      <c r="A766" s="371"/>
      <c r="B766" s="371"/>
      <c r="C766" s="38">
        <v>-2460</v>
      </c>
      <c r="D766" s="371"/>
      <c r="E766" s="371"/>
      <c r="F766" s="368"/>
      <c r="G766" s="368"/>
      <c r="H766" s="371"/>
      <c r="I766" s="371"/>
      <c r="J766" s="371"/>
      <c r="K766" s="368"/>
      <c r="L766" s="368"/>
      <c r="M766" s="359"/>
      <c r="N766" s="400"/>
      <c r="O766" s="368"/>
      <c r="P766" s="226">
        <v>44096</v>
      </c>
      <c r="Q766" s="368"/>
      <c r="R766" s="186">
        <v>44096</v>
      </c>
      <c r="T766" s="200">
        <v>1</v>
      </c>
    </row>
    <row r="767" spans="1:20" ht="15" customHeight="1" thickBot="1" x14ac:dyDescent="0.35">
      <c r="A767" s="372"/>
      <c r="B767" s="372"/>
      <c r="C767" s="39">
        <v>7527</v>
      </c>
      <c r="D767" s="372"/>
      <c r="E767" s="372"/>
      <c r="F767" s="369"/>
      <c r="G767" s="369"/>
      <c r="H767" s="372"/>
      <c r="I767" s="372"/>
      <c r="J767" s="372"/>
      <c r="K767" s="369"/>
      <c r="L767" s="369"/>
      <c r="M767" s="360"/>
      <c r="N767" s="401"/>
      <c r="O767" s="369"/>
      <c r="P767" s="317"/>
      <c r="Q767" s="369"/>
    </row>
    <row r="768" spans="1:20" ht="15" hidden="1" customHeight="1" x14ac:dyDescent="0.3">
      <c r="A768" s="373">
        <v>117</v>
      </c>
      <c r="B768" s="373" t="s">
        <v>160</v>
      </c>
      <c r="C768" s="49">
        <v>-16500</v>
      </c>
      <c r="D768" s="373">
        <v>1</v>
      </c>
      <c r="E768" s="373" t="s">
        <v>264</v>
      </c>
      <c r="F768" s="373">
        <v>1450</v>
      </c>
      <c r="G768" s="373">
        <v>1200</v>
      </c>
      <c r="H768" s="373" t="s">
        <v>25</v>
      </c>
      <c r="I768" s="373">
        <v>100</v>
      </c>
      <c r="J768" s="376" t="s">
        <v>45</v>
      </c>
      <c r="K768" s="373">
        <v>30</v>
      </c>
      <c r="L768" s="373">
        <v>5.5</v>
      </c>
      <c r="M768" s="379" t="s">
        <v>14</v>
      </c>
      <c r="N768" s="408" t="s">
        <v>234</v>
      </c>
      <c r="O768" s="373" t="s">
        <v>27</v>
      </c>
      <c r="P768" s="271"/>
      <c r="Q768" s="373" t="s">
        <v>265</v>
      </c>
    </row>
    <row r="769" spans="1:20" ht="15" customHeight="1" x14ac:dyDescent="0.3">
      <c r="A769" s="374"/>
      <c r="B769" s="374"/>
      <c r="C769" s="51">
        <v>-2800</v>
      </c>
      <c r="D769" s="374"/>
      <c r="E769" s="374"/>
      <c r="F769" s="374"/>
      <c r="G769" s="374"/>
      <c r="H769" s="374"/>
      <c r="I769" s="374"/>
      <c r="J769" s="377"/>
      <c r="K769" s="374"/>
      <c r="L769" s="374"/>
      <c r="M769" s="380"/>
      <c r="N769" s="409"/>
      <c r="O769" s="374"/>
      <c r="P769" s="240">
        <v>44079</v>
      </c>
      <c r="Q769" s="374"/>
      <c r="R769" s="186">
        <v>44079</v>
      </c>
      <c r="T769" s="288">
        <v>1</v>
      </c>
    </row>
    <row r="770" spans="1:20" ht="15" customHeight="1" thickBot="1" x14ac:dyDescent="0.35">
      <c r="A770" s="375"/>
      <c r="B770" s="375"/>
      <c r="C770" s="50">
        <v>7527</v>
      </c>
      <c r="D770" s="375"/>
      <c r="E770" s="375"/>
      <c r="F770" s="375"/>
      <c r="G770" s="375"/>
      <c r="H770" s="375"/>
      <c r="I770" s="375"/>
      <c r="J770" s="378"/>
      <c r="K770" s="375"/>
      <c r="L770" s="375"/>
      <c r="M770" s="381"/>
      <c r="N770" s="410"/>
      <c r="O770" s="375"/>
      <c r="P770" s="273"/>
      <c r="Q770" s="375"/>
    </row>
    <row r="771" spans="1:20" ht="15" hidden="1" customHeight="1" x14ac:dyDescent="0.3">
      <c r="A771" s="367">
        <v>118</v>
      </c>
      <c r="B771" s="367" t="s">
        <v>174</v>
      </c>
      <c r="C771" s="40">
        <v>-15100</v>
      </c>
      <c r="D771" s="370">
        <v>0</v>
      </c>
      <c r="E771" s="367" t="s">
        <v>13</v>
      </c>
      <c r="F771" s="367">
        <v>1450</v>
      </c>
      <c r="G771" s="367">
        <v>1200</v>
      </c>
      <c r="H771" s="367" t="s">
        <v>19</v>
      </c>
      <c r="I771" s="367" t="s">
        <v>13</v>
      </c>
      <c r="J771" s="367" t="s">
        <v>13</v>
      </c>
      <c r="K771" s="367" t="s">
        <v>13</v>
      </c>
      <c r="L771" s="367" t="s">
        <v>13</v>
      </c>
      <c r="M771" s="358" t="s">
        <v>14</v>
      </c>
      <c r="N771" s="396" t="s">
        <v>234</v>
      </c>
      <c r="O771" s="367" t="s">
        <v>27</v>
      </c>
      <c r="P771" s="65"/>
      <c r="Q771" s="367" t="s">
        <v>176</v>
      </c>
      <c r="T771" s="200">
        <v>1</v>
      </c>
    </row>
    <row r="772" spans="1:20" ht="15" customHeight="1" x14ac:dyDescent="0.3">
      <c r="A772" s="368"/>
      <c r="B772" s="368"/>
      <c r="C772" s="41">
        <v>1425</v>
      </c>
      <c r="D772" s="371"/>
      <c r="E772" s="368"/>
      <c r="F772" s="368"/>
      <c r="G772" s="368"/>
      <c r="H772" s="368"/>
      <c r="I772" s="368"/>
      <c r="J772" s="368"/>
      <c r="K772" s="368"/>
      <c r="L772" s="368"/>
      <c r="M772" s="359"/>
      <c r="N772" s="397"/>
      <c r="O772" s="368"/>
      <c r="P772" s="226">
        <v>44066</v>
      </c>
      <c r="Q772" s="368"/>
    </row>
    <row r="773" spans="1:20" ht="15" customHeight="1" thickBot="1" x14ac:dyDescent="0.35">
      <c r="A773" s="369"/>
      <c r="B773" s="369"/>
      <c r="C773" s="42">
        <v>7527</v>
      </c>
      <c r="D773" s="372"/>
      <c r="E773" s="369"/>
      <c r="F773" s="369"/>
      <c r="G773" s="369"/>
      <c r="H773" s="369"/>
      <c r="I773" s="369"/>
      <c r="J773" s="369"/>
      <c r="K773" s="369"/>
      <c r="L773" s="369"/>
      <c r="M773" s="360"/>
      <c r="N773" s="398"/>
      <c r="O773" s="369"/>
      <c r="P773" s="67"/>
      <c r="Q773" s="369"/>
    </row>
    <row r="774" spans="1:20" ht="15" hidden="1" customHeight="1" x14ac:dyDescent="0.3">
      <c r="A774" s="367">
        <v>119</v>
      </c>
      <c r="B774" s="367" t="s">
        <v>174</v>
      </c>
      <c r="C774" s="40">
        <v>-15100</v>
      </c>
      <c r="D774" s="370">
        <v>0</v>
      </c>
      <c r="E774" s="367" t="s">
        <v>13</v>
      </c>
      <c r="F774" s="367">
        <v>1450</v>
      </c>
      <c r="G774" s="367">
        <v>1200</v>
      </c>
      <c r="H774" s="367" t="s">
        <v>19</v>
      </c>
      <c r="I774" s="367" t="s">
        <v>13</v>
      </c>
      <c r="J774" s="367" t="s">
        <v>13</v>
      </c>
      <c r="K774" s="367" t="s">
        <v>13</v>
      </c>
      <c r="L774" s="367" t="s">
        <v>13</v>
      </c>
      <c r="M774" s="358" t="s">
        <v>14</v>
      </c>
      <c r="N774" s="396" t="s">
        <v>234</v>
      </c>
      <c r="O774" s="367" t="s">
        <v>27</v>
      </c>
      <c r="P774" s="65"/>
      <c r="Q774" s="367" t="s">
        <v>176</v>
      </c>
      <c r="T774" s="200">
        <v>1</v>
      </c>
    </row>
    <row r="775" spans="1:20" ht="15" customHeight="1" x14ac:dyDescent="0.3">
      <c r="A775" s="368"/>
      <c r="B775" s="368"/>
      <c r="C775" s="41">
        <v>1800</v>
      </c>
      <c r="D775" s="371"/>
      <c r="E775" s="368"/>
      <c r="F775" s="368"/>
      <c r="G775" s="368"/>
      <c r="H775" s="368"/>
      <c r="I775" s="368"/>
      <c r="J775" s="368"/>
      <c r="K775" s="368"/>
      <c r="L775" s="368"/>
      <c r="M775" s="359"/>
      <c r="N775" s="397"/>
      <c r="O775" s="368"/>
      <c r="P775" s="226">
        <v>44066</v>
      </c>
      <c r="Q775" s="368"/>
    </row>
    <row r="776" spans="1:20" ht="15" customHeight="1" thickBot="1" x14ac:dyDescent="0.35">
      <c r="A776" s="369"/>
      <c r="B776" s="369"/>
      <c r="C776" s="42">
        <v>7527</v>
      </c>
      <c r="D776" s="372"/>
      <c r="E776" s="369"/>
      <c r="F776" s="369"/>
      <c r="G776" s="369"/>
      <c r="H776" s="369"/>
      <c r="I776" s="369"/>
      <c r="J776" s="369"/>
      <c r="K776" s="369"/>
      <c r="L776" s="369"/>
      <c r="M776" s="360"/>
      <c r="N776" s="398"/>
      <c r="O776" s="369"/>
      <c r="P776" s="67"/>
      <c r="Q776" s="369"/>
    </row>
    <row r="777" spans="1:20" ht="15" hidden="1" customHeight="1" x14ac:dyDescent="0.3">
      <c r="A777" s="367">
        <v>120</v>
      </c>
      <c r="B777" s="367" t="s">
        <v>174</v>
      </c>
      <c r="C777" s="40">
        <v>-14540</v>
      </c>
      <c r="D777" s="370">
        <v>0</v>
      </c>
      <c r="E777" s="367" t="s">
        <v>13</v>
      </c>
      <c r="F777" s="367">
        <v>1450</v>
      </c>
      <c r="G777" s="367">
        <v>1200</v>
      </c>
      <c r="H777" s="367" t="s">
        <v>19</v>
      </c>
      <c r="I777" s="367" t="s">
        <v>13</v>
      </c>
      <c r="J777" s="367" t="s">
        <v>13</v>
      </c>
      <c r="K777" s="367" t="s">
        <v>13</v>
      </c>
      <c r="L777" s="367" t="s">
        <v>13</v>
      </c>
      <c r="M777" s="358" t="s">
        <v>14</v>
      </c>
      <c r="N777" s="396" t="s">
        <v>234</v>
      </c>
      <c r="O777" s="367" t="s">
        <v>27</v>
      </c>
      <c r="P777" s="65"/>
      <c r="Q777" s="367" t="s">
        <v>176</v>
      </c>
    </row>
    <row r="778" spans="1:20" ht="15" customHeight="1" x14ac:dyDescent="0.3">
      <c r="A778" s="368"/>
      <c r="B778" s="368"/>
      <c r="C778" s="41">
        <v>3340</v>
      </c>
      <c r="D778" s="371"/>
      <c r="E778" s="368"/>
      <c r="F778" s="368"/>
      <c r="G778" s="368"/>
      <c r="H778" s="368"/>
      <c r="I778" s="368"/>
      <c r="J778" s="368"/>
      <c r="K778" s="368"/>
      <c r="L778" s="368"/>
      <c r="M778" s="359"/>
      <c r="N778" s="397"/>
      <c r="O778" s="368"/>
      <c r="P778" s="226">
        <v>44066</v>
      </c>
      <c r="Q778" s="368"/>
      <c r="T778" s="200">
        <v>1</v>
      </c>
    </row>
    <row r="779" spans="1:20" ht="15" customHeight="1" thickBot="1" x14ac:dyDescent="0.35">
      <c r="A779" s="369"/>
      <c r="B779" s="369"/>
      <c r="C779" s="42">
        <v>7527</v>
      </c>
      <c r="D779" s="372"/>
      <c r="E779" s="369"/>
      <c r="F779" s="369"/>
      <c r="G779" s="369"/>
      <c r="H779" s="369"/>
      <c r="I779" s="369"/>
      <c r="J779" s="369"/>
      <c r="K779" s="369"/>
      <c r="L779" s="369"/>
      <c r="M779" s="360"/>
      <c r="N779" s="398"/>
      <c r="O779" s="369"/>
      <c r="P779" s="67"/>
      <c r="Q779" s="369"/>
    </row>
    <row r="780" spans="1:20" ht="15" hidden="1" customHeight="1" x14ac:dyDescent="0.3">
      <c r="A780" s="367">
        <v>121</v>
      </c>
      <c r="B780" s="367" t="s">
        <v>48</v>
      </c>
      <c r="C780" s="40">
        <v>-15100</v>
      </c>
      <c r="D780" s="367">
        <v>1</v>
      </c>
      <c r="E780" s="367" t="s">
        <v>63</v>
      </c>
      <c r="F780" s="367">
        <v>1450</v>
      </c>
      <c r="G780" s="367">
        <v>1200</v>
      </c>
      <c r="H780" s="367" t="s">
        <v>61</v>
      </c>
      <c r="I780" s="367">
        <v>190</v>
      </c>
      <c r="J780" s="370" t="s">
        <v>45</v>
      </c>
      <c r="K780" s="367">
        <v>60</v>
      </c>
      <c r="L780" s="367">
        <v>9.5</v>
      </c>
      <c r="M780" s="358" t="s">
        <v>14</v>
      </c>
      <c r="N780" s="396" t="s">
        <v>234</v>
      </c>
      <c r="O780" s="367" t="s">
        <v>27</v>
      </c>
      <c r="P780" s="187"/>
      <c r="Q780" s="367" t="s">
        <v>254</v>
      </c>
      <c r="R780" s="186">
        <v>44069</v>
      </c>
      <c r="T780" s="200">
        <v>1</v>
      </c>
    </row>
    <row r="781" spans="1:20" ht="15" customHeight="1" x14ac:dyDescent="0.3">
      <c r="A781" s="368"/>
      <c r="B781" s="368"/>
      <c r="C781" s="41">
        <v>825</v>
      </c>
      <c r="D781" s="368"/>
      <c r="E781" s="368"/>
      <c r="F781" s="368"/>
      <c r="G781" s="368"/>
      <c r="H781" s="368"/>
      <c r="I781" s="368"/>
      <c r="J781" s="371"/>
      <c r="K781" s="368"/>
      <c r="L781" s="368"/>
      <c r="M781" s="359"/>
      <c r="N781" s="397"/>
      <c r="O781" s="368"/>
      <c r="P781" s="226">
        <v>44069</v>
      </c>
      <c r="Q781" s="368"/>
    </row>
    <row r="782" spans="1:20" ht="15" customHeight="1" thickBot="1" x14ac:dyDescent="0.35">
      <c r="A782" s="369"/>
      <c r="B782" s="369"/>
      <c r="C782" s="42">
        <v>7527</v>
      </c>
      <c r="D782" s="369"/>
      <c r="E782" s="369"/>
      <c r="F782" s="369"/>
      <c r="G782" s="369"/>
      <c r="H782" s="369"/>
      <c r="I782" s="369"/>
      <c r="J782" s="372"/>
      <c r="K782" s="369"/>
      <c r="L782" s="369"/>
      <c r="M782" s="360"/>
      <c r="N782" s="398"/>
      <c r="O782" s="369"/>
      <c r="P782" s="189"/>
      <c r="Q782" s="369"/>
    </row>
    <row r="783" spans="1:20" ht="15" hidden="1" customHeight="1" x14ac:dyDescent="0.3">
      <c r="A783" s="367">
        <v>122</v>
      </c>
      <c r="B783" s="367" t="s">
        <v>174</v>
      </c>
      <c r="C783" s="40">
        <v>-14850</v>
      </c>
      <c r="D783" s="370">
        <v>0</v>
      </c>
      <c r="E783" s="367" t="s">
        <v>13</v>
      </c>
      <c r="F783" s="367">
        <v>1450</v>
      </c>
      <c r="G783" s="367">
        <v>1200</v>
      </c>
      <c r="H783" s="367" t="s">
        <v>50</v>
      </c>
      <c r="I783" s="367" t="s">
        <v>13</v>
      </c>
      <c r="J783" s="367" t="s">
        <v>13</v>
      </c>
      <c r="K783" s="367" t="s">
        <v>13</v>
      </c>
      <c r="L783" s="367" t="s">
        <v>13</v>
      </c>
      <c r="M783" s="358" t="s">
        <v>14</v>
      </c>
      <c r="N783" s="396" t="s">
        <v>234</v>
      </c>
      <c r="O783" s="367" t="s">
        <v>27</v>
      </c>
      <c r="P783" s="65"/>
      <c r="Q783" s="367" t="s">
        <v>176</v>
      </c>
    </row>
    <row r="784" spans="1:20" ht="15" customHeight="1" x14ac:dyDescent="0.3">
      <c r="A784" s="368"/>
      <c r="B784" s="368"/>
      <c r="C784" s="41">
        <v>0</v>
      </c>
      <c r="D784" s="371"/>
      <c r="E784" s="368"/>
      <c r="F784" s="368"/>
      <c r="G784" s="368"/>
      <c r="H784" s="368"/>
      <c r="I784" s="368"/>
      <c r="J784" s="368"/>
      <c r="K784" s="368"/>
      <c r="L784" s="368"/>
      <c r="M784" s="359"/>
      <c r="N784" s="397"/>
      <c r="O784" s="368"/>
      <c r="P784" s="226">
        <v>44066</v>
      </c>
      <c r="Q784" s="368"/>
    </row>
    <row r="785" spans="1:20" ht="15" customHeight="1" thickBot="1" x14ac:dyDescent="0.35">
      <c r="A785" s="369"/>
      <c r="B785" s="369"/>
      <c r="C785" s="42">
        <v>7527</v>
      </c>
      <c r="D785" s="372"/>
      <c r="E785" s="369"/>
      <c r="F785" s="369"/>
      <c r="G785" s="369"/>
      <c r="H785" s="369"/>
      <c r="I785" s="369"/>
      <c r="J785" s="369"/>
      <c r="K785" s="369"/>
      <c r="L785" s="369"/>
      <c r="M785" s="360"/>
      <c r="N785" s="398"/>
      <c r="O785" s="369"/>
      <c r="P785" s="67"/>
      <c r="Q785" s="369"/>
      <c r="T785" s="200">
        <v>1</v>
      </c>
    </row>
    <row r="786" spans="1:20" ht="15" hidden="1" customHeight="1" x14ac:dyDescent="0.3">
      <c r="A786" s="367">
        <v>123</v>
      </c>
      <c r="B786" s="367" t="s">
        <v>174</v>
      </c>
      <c r="C786" s="40">
        <v>-19875</v>
      </c>
      <c r="D786" s="370">
        <v>0</v>
      </c>
      <c r="E786" s="367" t="s">
        <v>13</v>
      </c>
      <c r="F786" s="367">
        <v>1450</v>
      </c>
      <c r="G786" s="367">
        <v>1200</v>
      </c>
      <c r="H786" s="367" t="s">
        <v>25</v>
      </c>
      <c r="I786" s="367" t="s">
        <v>13</v>
      </c>
      <c r="J786" s="367" t="s">
        <v>13</v>
      </c>
      <c r="K786" s="367" t="s">
        <v>13</v>
      </c>
      <c r="L786" s="367" t="s">
        <v>13</v>
      </c>
      <c r="M786" s="358" t="s">
        <v>14</v>
      </c>
      <c r="N786" s="396" t="s">
        <v>253</v>
      </c>
      <c r="O786" s="367" t="s">
        <v>27</v>
      </c>
      <c r="P786" s="65"/>
      <c r="Q786" s="367" t="s">
        <v>176</v>
      </c>
      <c r="R786" s="186">
        <v>44068</v>
      </c>
    </row>
    <row r="787" spans="1:20" ht="15" customHeight="1" x14ac:dyDescent="0.3">
      <c r="A787" s="368"/>
      <c r="B787" s="368"/>
      <c r="C787" s="41">
        <v>400</v>
      </c>
      <c r="D787" s="371"/>
      <c r="E787" s="368"/>
      <c r="F787" s="368"/>
      <c r="G787" s="368"/>
      <c r="H787" s="368"/>
      <c r="I787" s="368"/>
      <c r="J787" s="368"/>
      <c r="K787" s="368"/>
      <c r="L787" s="368"/>
      <c r="M787" s="359"/>
      <c r="N787" s="397"/>
      <c r="O787" s="368"/>
      <c r="P787" s="226">
        <v>44068</v>
      </c>
      <c r="Q787" s="368"/>
    </row>
    <row r="788" spans="1:20" ht="15" customHeight="1" thickBot="1" x14ac:dyDescent="0.35">
      <c r="A788" s="369"/>
      <c r="B788" s="369"/>
      <c r="C788" s="42">
        <v>7527</v>
      </c>
      <c r="D788" s="372"/>
      <c r="E788" s="369"/>
      <c r="F788" s="369"/>
      <c r="G788" s="369"/>
      <c r="H788" s="369"/>
      <c r="I788" s="369"/>
      <c r="J788" s="369"/>
      <c r="K788" s="369"/>
      <c r="L788" s="369"/>
      <c r="M788" s="360"/>
      <c r="N788" s="398"/>
      <c r="O788" s="369"/>
      <c r="P788" s="67"/>
      <c r="Q788" s="369"/>
      <c r="T788" s="200">
        <v>1</v>
      </c>
    </row>
    <row r="789" spans="1:20" ht="15" hidden="1" customHeight="1" x14ac:dyDescent="0.3">
      <c r="A789" s="367">
        <v>124</v>
      </c>
      <c r="B789" s="367" t="s">
        <v>174</v>
      </c>
      <c r="C789" s="40">
        <v>-19875</v>
      </c>
      <c r="D789" s="370">
        <v>0</v>
      </c>
      <c r="E789" s="367" t="s">
        <v>13</v>
      </c>
      <c r="F789" s="367">
        <v>1450</v>
      </c>
      <c r="G789" s="367">
        <v>1200</v>
      </c>
      <c r="H789" s="367" t="s">
        <v>25</v>
      </c>
      <c r="I789" s="367" t="s">
        <v>13</v>
      </c>
      <c r="J789" s="367" t="s">
        <v>13</v>
      </c>
      <c r="K789" s="367" t="s">
        <v>13</v>
      </c>
      <c r="L789" s="367" t="s">
        <v>13</v>
      </c>
      <c r="M789" s="358" t="s">
        <v>14</v>
      </c>
      <c r="N789" s="396" t="s">
        <v>253</v>
      </c>
      <c r="O789" s="367" t="s">
        <v>27</v>
      </c>
      <c r="P789" s="65"/>
      <c r="Q789" s="367" t="s">
        <v>176</v>
      </c>
    </row>
    <row r="790" spans="1:20" ht="15" customHeight="1" x14ac:dyDescent="0.3">
      <c r="A790" s="368"/>
      <c r="B790" s="368"/>
      <c r="C790" s="41">
        <v>-400</v>
      </c>
      <c r="D790" s="371"/>
      <c r="E790" s="368"/>
      <c r="F790" s="368"/>
      <c r="G790" s="368"/>
      <c r="H790" s="368"/>
      <c r="I790" s="368"/>
      <c r="J790" s="368"/>
      <c r="K790" s="368"/>
      <c r="L790" s="368"/>
      <c r="M790" s="359"/>
      <c r="N790" s="397"/>
      <c r="O790" s="368"/>
      <c r="P790" s="226">
        <v>44066</v>
      </c>
      <c r="Q790" s="368"/>
      <c r="T790" s="200">
        <v>1</v>
      </c>
    </row>
    <row r="791" spans="1:20" ht="15" customHeight="1" thickBot="1" x14ac:dyDescent="0.35">
      <c r="A791" s="369"/>
      <c r="B791" s="369"/>
      <c r="C791" s="42">
        <v>7527</v>
      </c>
      <c r="D791" s="372"/>
      <c r="E791" s="369"/>
      <c r="F791" s="369"/>
      <c r="G791" s="369"/>
      <c r="H791" s="369"/>
      <c r="I791" s="369"/>
      <c r="J791" s="369"/>
      <c r="K791" s="369"/>
      <c r="L791" s="369"/>
      <c r="M791" s="360"/>
      <c r="N791" s="398"/>
      <c r="O791" s="369"/>
      <c r="P791" s="67"/>
      <c r="Q791" s="369"/>
    </row>
    <row r="792" spans="1:20" ht="15" hidden="1" customHeight="1" x14ac:dyDescent="0.3">
      <c r="A792" s="367">
        <v>125</v>
      </c>
      <c r="B792" s="367" t="s">
        <v>174</v>
      </c>
      <c r="C792" s="40">
        <v>9025</v>
      </c>
      <c r="D792" s="370">
        <v>0</v>
      </c>
      <c r="E792" s="367" t="s">
        <v>13</v>
      </c>
      <c r="F792" s="367">
        <v>1450</v>
      </c>
      <c r="G792" s="367">
        <v>1200</v>
      </c>
      <c r="H792" s="370" t="s">
        <v>187</v>
      </c>
      <c r="I792" s="367" t="s">
        <v>13</v>
      </c>
      <c r="J792" s="367" t="s">
        <v>13</v>
      </c>
      <c r="K792" s="367" t="s">
        <v>13</v>
      </c>
      <c r="L792" s="367" t="s">
        <v>13</v>
      </c>
      <c r="M792" s="358" t="s">
        <v>14</v>
      </c>
      <c r="N792" s="396" t="s">
        <v>234</v>
      </c>
      <c r="O792" s="367" t="s">
        <v>27</v>
      </c>
      <c r="P792" s="65"/>
      <c r="Q792" s="367" t="s">
        <v>244</v>
      </c>
    </row>
    <row r="793" spans="1:20" ht="15" customHeight="1" x14ac:dyDescent="0.3">
      <c r="A793" s="368"/>
      <c r="B793" s="368"/>
      <c r="C793" s="41">
        <v>17680</v>
      </c>
      <c r="D793" s="371"/>
      <c r="E793" s="368"/>
      <c r="F793" s="368"/>
      <c r="G793" s="368"/>
      <c r="H793" s="371"/>
      <c r="I793" s="368"/>
      <c r="J793" s="368"/>
      <c r="K793" s="368"/>
      <c r="L793" s="368"/>
      <c r="M793" s="359"/>
      <c r="N793" s="397"/>
      <c r="O793" s="368"/>
      <c r="P793" s="226">
        <v>44066</v>
      </c>
      <c r="Q793" s="368"/>
      <c r="T793" s="200">
        <v>1</v>
      </c>
    </row>
    <row r="794" spans="1:20" ht="15" customHeight="1" thickBot="1" x14ac:dyDescent="0.35">
      <c r="A794" s="369"/>
      <c r="B794" s="369"/>
      <c r="C794" s="42">
        <v>7527</v>
      </c>
      <c r="D794" s="372"/>
      <c r="E794" s="369"/>
      <c r="F794" s="369"/>
      <c r="G794" s="369"/>
      <c r="H794" s="372"/>
      <c r="I794" s="369"/>
      <c r="J794" s="369"/>
      <c r="K794" s="369"/>
      <c r="L794" s="369"/>
      <c r="M794" s="360"/>
      <c r="N794" s="398"/>
      <c r="O794" s="369"/>
      <c r="P794" s="67"/>
      <c r="Q794" s="369"/>
    </row>
    <row r="795" spans="1:20" ht="15" hidden="1" customHeight="1" x14ac:dyDescent="0.3">
      <c r="A795" s="367">
        <v>126</v>
      </c>
      <c r="B795" s="367" t="s">
        <v>174</v>
      </c>
      <c r="C795" s="40">
        <v>8830</v>
      </c>
      <c r="D795" s="370">
        <v>0</v>
      </c>
      <c r="E795" s="367" t="s">
        <v>13</v>
      </c>
      <c r="F795" s="367">
        <v>1450</v>
      </c>
      <c r="G795" s="367">
        <v>1200</v>
      </c>
      <c r="H795" s="370" t="s">
        <v>187</v>
      </c>
      <c r="I795" s="367" t="s">
        <v>13</v>
      </c>
      <c r="J795" s="367" t="s">
        <v>13</v>
      </c>
      <c r="K795" s="367" t="s">
        <v>13</v>
      </c>
      <c r="L795" s="367" t="s">
        <v>13</v>
      </c>
      <c r="M795" s="358" t="s">
        <v>14</v>
      </c>
      <c r="N795" s="396" t="s">
        <v>234</v>
      </c>
      <c r="O795" s="367" t="s">
        <v>27</v>
      </c>
      <c r="P795" s="65"/>
      <c r="Q795" s="367" t="s">
        <v>244</v>
      </c>
    </row>
    <row r="796" spans="1:20" ht="15" customHeight="1" x14ac:dyDescent="0.3">
      <c r="A796" s="368"/>
      <c r="B796" s="368"/>
      <c r="C796" s="41">
        <v>17220</v>
      </c>
      <c r="D796" s="371"/>
      <c r="E796" s="368"/>
      <c r="F796" s="368"/>
      <c r="G796" s="368"/>
      <c r="H796" s="371"/>
      <c r="I796" s="368"/>
      <c r="J796" s="368"/>
      <c r="K796" s="368"/>
      <c r="L796" s="368"/>
      <c r="M796" s="359"/>
      <c r="N796" s="397"/>
      <c r="O796" s="368"/>
      <c r="P796" s="226">
        <v>44066</v>
      </c>
      <c r="Q796" s="368"/>
      <c r="T796" s="200">
        <v>1</v>
      </c>
    </row>
    <row r="797" spans="1:20" ht="15" customHeight="1" thickBot="1" x14ac:dyDescent="0.35">
      <c r="A797" s="369"/>
      <c r="B797" s="369"/>
      <c r="C797" s="42">
        <v>7527</v>
      </c>
      <c r="D797" s="372"/>
      <c r="E797" s="369"/>
      <c r="F797" s="369"/>
      <c r="G797" s="369"/>
      <c r="H797" s="372"/>
      <c r="I797" s="369"/>
      <c r="J797" s="369"/>
      <c r="K797" s="369"/>
      <c r="L797" s="369"/>
      <c r="M797" s="360"/>
      <c r="N797" s="398"/>
      <c r="O797" s="369"/>
      <c r="P797" s="67"/>
      <c r="Q797" s="369"/>
    </row>
    <row r="798" spans="1:20" ht="15" hidden="1" customHeight="1" x14ac:dyDescent="0.3">
      <c r="A798" s="367">
        <v>127</v>
      </c>
      <c r="B798" s="367" t="s">
        <v>174</v>
      </c>
      <c r="C798" s="40">
        <v>8370</v>
      </c>
      <c r="D798" s="370">
        <v>0</v>
      </c>
      <c r="E798" s="367" t="s">
        <v>13</v>
      </c>
      <c r="F798" s="367">
        <v>1450</v>
      </c>
      <c r="G798" s="367">
        <v>1200</v>
      </c>
      <c r="H798" s="370" t="s">
        <v>187</v>
      </c>
      <c r="I798" s="367" t="s">
        <v>13</v>
      </c>
      <c r="J798" s="367" t="s">
        <v>13</v>
      </c>
      <c r="K798" s="367" t="s">
        <v>13</v>
      </c>
      <c r="L798" s="367" t="s">
        <v>13</v>
      </c>
      <c r="M798" s="358" t="s">
        <v>14</v>
      </c>
      <c r="N798" s="396" t="s">
        <v>234</v>
      </c>
      <c r="O798" s="367" t="s">
        <v>27</v>
      </c>
      <c r="P798" s="65"/>
      <c r="Q798" s="367" t="s">
        <v>244</v>
      </c>
      <c r="T798" s="200">
        <v>1</v>
      </c>
    </row>
    <row r="799" spans="1:20" ht="15" customHeight="1" x14ac:dyDescent="0.3">
      <c r="A799" s="368"/>
      <c r="B799" s="368"/>
      <c r="C799" s="41">
        <v>17415</v>
      </c>
      <c r="D799" s="371"/>
      <c r="E799" s="368"/>
      <c r="F799" s="368"/>
      <c r="G799" s="368"/>
      <c r="H799" s="371"/>
      <c r="I799" s="368"/>
      <c r="J799" s="368"/>
      <c r="K799" s="368"/>
      <c r="L799" s="368"/>
      <c r="M799" s="359"/>
      <c r="N799" s="397"/>
      <c r="O799" s="368"/>
      <c r="P799" s="226">
        <v>44066</v>
      </c>
      <c r="Q799" s="368"/>
    </row>
    <row r="800" spans="1:20" ht="15" customHeight="1" thickBot="1" x14ac:dyDescent="0.35">
      <c r="A800" s="369"/>
      <c r="B800" s="369"/>
      <c r="C800" s="42">
        <v>7527</v>
      </c>
      <c r="D800" s="372"/>
      <c r="E800" s="369"/>
      <c r="F800" s="369"/>
      <c r="G800" s="369"/>
      <c r="H800" s="372"/>
      <c r="I800" s="369"/>
      <c r="J800" s="369"/>
      <c r="K800" s="369"/>
      <c r="L800" s="369"/>
      <c r="M800" s="360"/>
      <c r="N800" s="398"/>
      <c r="O800" s="369"/>
      <c r="P800" s="67"/>
      <c r="Q800" s="369"/>
    </row>
    <row r="801" spans="1:20" ht="15" hidden="1" customHeight="1" x14ac:dyDescent="0.3">
      <c r="A801" s="367">
        <v>128</v>
      </c>
      <c r="B801" s="367" t="s">
        <v>174</v>
      </c>
      <c r="C801" s="40">
        <v>8565</v>
      </c>
      <c r="D801" s="370">
        <v>0</v>
      </c>
      <c r="E801" s="367" t="s">
        <v>13</v>
      </c>
      <c r="F801" s="367">
        <v>1450</v>
      </c>
      <c r="G801" s="367">
        <v>1200</v>
      </c>
      <c r="H801" s="370" t="s">
        <v>187</v>
      </c>
      <c r="I801" s="367" t="s">
        <v>13</v>
      </c>
      <c r="J801" s="367" t="s">
        <v>13</v>
      </c>
      <c r="K801" s="367" t="s">
        <v>13</v>
      </c>
      <c r="L801" s="367" t="s">
        <v>13</v>
      </c>
      <c r="M801" s="358" t="s">
        <v>14</v>
      </c>
      <c r="N801" s="396" t="s">
        <v>234</v>
      </c>
      <c r="O801" s="367" t="s">
        <v>27</v>
      </c>
      <c r="P801" s="65"/>
      <c r="Q801" s="367" t="s">
        <v>244</v>
      </c>
    </row>
    <row r="802" spans="1:20" ht="15" customHeight="1" x14ac:dyDescent="0.3">
      <c r="A802" s="368"/>
      <c r="B802" s="368"/>
      <c r="C802" s="41">
        <v>17875</v>
      </c>
      <c r="D802" s="371"/>
      <c r="E802" s="368"/>
      <c r="F802" s="368"/>
      <c r="G802" s="368"/>
      <c r="H802" s="371"/>
      <c r="I802" s="368"/>
      <c r="J802" s="368"/>
      <c r="K802" s="368"/>
      <c r="L802" s="368"/>
      <c r="M802" s="359"/>
      <c r="N802" s="397"/>
      <c r="O802" s="368"/>
      <c r="P802" s="226">
        <v>44066</v>
      </c>
      <c r="Q802" s="368"/>
      <c r="T802" s="200">
        <v>1</v>
      </c>
    </row>
    <row r="803" spans="1:20" ht="15" customHeight="1" thickBot="1" x14ac:dyDescent="0.35">
      <c r="A803" s="369"/>
      <c r="B803" s="369"/>
      <c r="C803" s="42">
        <v>7527</v>
      </c>
      <c r="D803" s="372"/>
      <c r="E803" s="369"/>
      <c r="F803" s="369"/>
      <c r="G803" s="369"/>
      <c r="H803" s="372"/>
      <c r="I803" s="369"/>
      <c r="J803" s="369"/>
      <c r="K803" s="369"/>
      <c r="L803" s="369"/>
      <c r="M803" s="360"/>
      <c r="N803" s="398"/>
      <c r="O803" s="369"/>
      <c r="P803" s="67"/>
      <c r="Q803" s="369"/>
    </row>
    <row r="804" spans="1:20" ht="15" hidden="1" customHeight="1" x14ac:dyDescent="0.3">
      <c r="A804" s="367">
        <v>129</v>
      </c>
      <c r="B804" s="367" t="s">
        <v>174</v>
      </c>
      <c r="C804" s="40">
        <v>7525</v>
      </c>
      <c r="D804" s="370">
        <v>0</v>
      </c>
      <c r="E804" s="367" t="s">
        <v>13</v>
      </c>
      <c r="F804" s="367">
        <v>1450</v>
      </c>
      <c r="G804" s="367">
        <v>1200</v>
      </c>
      <c r="H804" s="367" t="s">
        <v>50</v>
      </c>
      <c r="I804" s="367" t="s">
        <v>13</v>
      </c>
      <c r="J804" s="367" t="s">
        <v>13</v>
      </c>
      <c r="K804" s="367" t="s">
        <v>13</v>
      </c>
      <c r="L804" s="367" t="s">
        <v>13</v>
      </c>
      <c r="M804" s="358" t="s">
        <v>14</v>
      </c>
      <c r="N804" s="396" t="s">
        <v>234</v>
      </c>
      <c r="O804" s="367" t="s">
        <v>27</v>
      </c>
      <c r="P804" s="65"/>
      <c r="Q804" s="367" t="s">
        <v>176</v>
      </c>
    </row>
    <row r="805" spans="1:20" ht="15" customHeight="1" x14ac:dyDescent="0.3">
      <c r="A805" s="368"/>
      <c r="B805" s="368"/>
      <c r="C805" s="41">
        <v>17650</v>
      </c>
      <c r="D805" s="371"/>
      <c r="E805" s="368"/>
      <c r="F805" s="368"/>
      <c r="G805" s="368"/>
      <c r="H805" s="368"/>
      <c r="I805" s="368"/>
      <c r="J805" s="368"/>
      <c r="K805" s="368"/>
      <c r="L805" s="368"/>
      <c r="M805" s="359"/>
      <c r="N805" s="397"/>
      <c r="O805" s="368"/>
      <c r="P805" s="226">
        <v>44066</v>
      </c>
      <c r="Q805" s="368"/>
    </row>
    <row r="806" spans="1:20" ht="15" customHeight="1" thickBot="1" x14ac:dyDescent="0.35">
      <c r="A806" s="369"/>
      <c r="B806" s="369"/>
      <c r="C806" s="42">
        <v>7527</v>
      </c>
      <c r="D806" s="372"/>
      <c r="E806" s="369"/>
      <c r="F806" s="369"/>
      <c r="G806" s="369"/>
      <c r="H806" s="369"/>
      <c r="I806" s="369"/>
      <c r="J806" s="369"/>
      <c r="K806" s="369"/>
      <c r="L806" s="369"/>
      <c r="M806" s="360"/>
      <c r="N806" s="398"/>
      <c r="O806" s="369"/>
      <c r="P806" s="67"/>
      <c r="Q806" s="369"/>
      <c r="T806" s="200">
        <v>1</v>
      </c>
    </row>
    <row r="807" spans="1:20" ht="15" hidden="1" customHeight="1" x14ac:dyDescent="0.3">
      <c r="A807" s="367">
        <v>130</v>
      </c>
      <c r="B807" s="367" t="s">
        <v>174</v>
      </c>
      <c r="C807" s="40">
        <v>7325</v>
      </c>
      <c r="D807" s="370">
        <v>0</v>
      </c>
      <c r="E807" s="367" t="s">
        <v>13</v>
      </c>
      <c r="F807" s="367">
        <v>1450</v>
      </c>
      <c r="G807" s="367">
        <v>1200</v>
      </c>
      <c r="H807" s="367" t="s">
        <v>50</v>
      </c>
      <c r="I807" s="367" t="s">
        <v>13</v>
      </c>
      <c r="J807" s="367" t="s">
        <v>13</v>
      </c>
      <c r="K807" s="367" t="s">
        <v>13</v>
      </c>
      <c r="L807" s="367" t="s">
        <v>13</v>
      </c>
      <c r="M807" s="358" t="s">
        <v>14</v>
      </c>
      <c r="N807" s="396" t="s">
        <v>234</v>
      </c>
      <c r="O807" s="367" t="s">
        <v>27</v>
      </c>
      <c r="P807" s="65"/>
      <c r="Q807" s="367" t="s">
        <v>176</v>
      </c>
    </row>
    <row r="808" spans="1:20" ht="15" customHeight="1" x14ac:dyDescent="0.3">
      <c r="A808" s="368"/>
      <c r="B808" s="368"/>
      <c r="C808" s="41">
        <v>17505</v>
      </c>
      <c r="D808" s="371"/>
      <c r="E808" s="368"/>
      <c r="F808" s="368"/>
      <c r="G808" s="368"/>
      <c r="H808" s="368"/>
      <c r="I808" s="368"/>
      <c r="J808" s="368"/>
      <c r="K808" s="368"/>
      <c r="L808" s="368"/>
      <c r="M808" s="359"/>
      <c r="N808" s="397"/>
      <c r="O808" s="368"/>
      <c r="P808" s="226">
        <v>44066</v>
      </c>
      <c r="Q808" s="368"/>
      <c r="T808" s="200">
        <v>1</v>
      </c>
    </row>
    <row r="809" spans="1:20" ht="15" customHeight="1" thickBot="1" x14ac:dyDescent="0.35">
      <c r="A809" s="369"/>
      <c r="B809" s="369"/>
      <c r="C809" s="42">
        <v>7527</v>
      </c>
      <c r="D809" s="372"/>
      <c r="E809" s="369"/>
      <c r="F809" s="369"/>
      <c r="G809" s="369"/>
      <c r="H809" s="369"/>
      <c r="I809" s="369"/>
      <c r="J809" s="369"/>
      <c r="K809" s="369"/>
      <c r="L809" s="369"/>
      <c r="M809" s="360"/>
      <c r="N809" s="398"/>
      <c r="O809" s="369"/>
      <c r="P809" s="67"/>
      <c r="Q809" s="369"/>
    </row>
    <row r="810" spans="1:20" ht="15" hidden="1" customHeight="1" x14ac:dyDescent="0.3">
      <c r="A810" s="370">
        <v>131</v>
      </c>
      <c r="B810" s="370" t="s">
        <v>167</v>
      </c>
      <c r="C810" s="37">
        <v>7115</v>
      </c>
      <c r="D810" s="370">
        <v>2</v>
      </c>
      <c r="E810" s="370" t="s">
        <v>239</v>
      </c>
      <c r="F810" s="367">
        <v>1450</v>
      </c>
      <c r="G810" s="367">
        <v>1200</v>
      </c>
      <c r="H810" s="370" t="s">
        <v>50</v>
      </c>
      <c r="I810" s="370">
        <v>120</v>
      </c>
      <c r="J810" s="370" t="s">
        <v>45</v>
      </c>
      <c r="K810" s="370">
        <v>30</v>
      </c>
      <c r="L810" s="367" t="s">
        <v>13</v>
      </c>
      <c r="M810" s="358" t="s">
        <v>14</v>
      </c>
      <c r="N810" s="399" t="s">
        <v>234</v>
      </c>
      <c r="O810" s="367" t="s">
        <v>27</v>
      </c>
      <c r="P810" s="218"/>
      <c r="Q810" s="367" t="s">
        <v>266</v>
      </c>
      <c r="T810" s="200">
        <v>1</v>
      </c>
    </row>
    <row r="811" spans="1:20" ht="15" customHeight="1" thickBot="1" x14ac:dyDescent="0.35">
      <c r="A811" s="371"/>
      <c r="B811" s="372"/>
      <c r="C811" s="38">
        <v>17365</v>
      </c>
      <c r="D811" s="371"/>
      <c r="E811" s="372"/>
      <c r="F811" s="368"/>
      <c r="G811" s="368"/>
      <c r="H811" s="371"/>
      <c r="I811" s="372"/>
      <c r="J811" s="372"/>
      <c r="K811" s="372"/>
      <c r="L811" s="368"/>
      <c r="M811" s="359"/>
      <c r="N811" s="400"/>
      <c r="O811" s="368"/>
      <c r="P811" s="226">
        <v>44073</v>
      </c>
      <c r="Q811" s="368"/>
      <c r="R811" s="186">
        <v>44073</v>
      </c>
    </row>
    <row r="812" spans="1:20" ht="15" customHeight="1" thickBot="1" x14ac:dyDescent="0.35">
      <c r="A812" s="372"/>
      <c r="B812" s="39" t="s">
        <v>167</v>
      </c>
      <c r="C812" s="39">
        <v>7527</v>
      </c>
      <c r="D812" s="372"/>
      <c r="E812" s="39" t="s">
        <v>239</v>
      </c>
      <c r="F812" s="369"/>
      <c r="G812" s="369"/>
      <c r="H812" s="372"/>
      <c r="I812" s="39">
        <v>120</v>
      </c>
      <c r="J812" s="39" t="s">
        <v>45</v>
      </c>
      <c r="K812" s="39">
        <v>30</v>
      </c>
      <c r="L812" s="369"/>
      <c r="M812" s="360"/>
      <c r="N812" s="401"/>
      <c r="O812" s="369"/>
      <c r="P812" s="42"/>
      <c r="Q812" s="42"/>
    </row>
    <row r="813" spans="1:20" ht="15" hidden="1" customHeight="1" x14ac:dyDescent="0.3">
      <c r="A813" s="367">
        <v>132</v>
      </c>
      <c r="B813" s="367" t="s">
        <v>179</v>
      </c>
      <c r="C813" s="40">
        <v>6910</v>
      </c>
      <c r="D813" s="367">
        <v>1</v>
      </c>
      <c r="E813" s="367" t="s">
        <v>161</v>
      </c>
      <c r="F813" s="367">
        <v>1450</v>
      </c>
      <c r="G813" s="367">
        <v>1200</v>
      </c>
      <c r="H813" s="367" t="s">
        <v>50</v>
      </c>
      <c r="I813" s="367">
        <v>150</v>
      </c>
      <c r="J813" s="370" t="s">
        <v>45</v>
      </c>
      <c r="K813" s="367">
        <v>40</v>
      </c>
      <c r="L813" s="367">
        <v>-7</v>
      </c>
      <c r="M813" s="358" t="s">
        <v>14</v>
      </c>
      <c r="N813" s="396" t="s">
        <v>234</v>
      </c>
      <c r="O813" s="367" t="s">
        <v>27</v>
      </c>
      <c r="P813" s="65"/>
      <c r="Q813" s="367" t="s">
        <v>243</v>
      </c>
      <c r="T813" s="200">
        <v>1</v>
      </c>
    </row>
    <row r="814" spans="1:20" ht="15" customHeight="1" x14ac:dyDescent="0.3">
      <c r="A814" s="368"/>
      <c r="B814" s="368"/>
      <c r="C814" s="41">
        <v>17225</v>
      </c>
      <c r="D814" s="368"/>
      <c r="E814" s="368"/>
      <c r="F814" s="368"/>
      <c r="G814" s="368"/>
      <c r="H814" s="368"/>
      <c r="I814" s="368"/>
      <c r="J814" s="371"/>
      <c r="K814" s="368"/>
      <c r="L814" s="368"/>
      <c r="M814" s="359"/>
      <c r="N814" s="397"/>
      <c r="O814" s="368"/>
      <c r="P814" s="226">
        <v>44066</v>
      </c>
      <c r="Q814" s="368"/>
    </row>
    <row r="815" spans="1:20" ht="15" customHeight="1" thickBot="1" x14ac:dyDescent="0.35">
      <c r="A815" s="369"/>
      <c r="B815" s="369"/>
      <c r="C815" s="42">
        <v>7527</v>
      </c>
      <c r="D815" s="369"/>
      <c r="E815" s="369"/>
      <c r="F815" s="369"/>
      <c r="G815" s="369"/>
      <c r="H815" s="369"/>
      <c r="I815" s="369"/>
      <c r="J815" s="372"/>
      <c r="K815" s="369"/>
      <c r="L815" s="369"/>
      <c r="M815" s="360"/>
      <c r="N815" s="398"/>
      <c r="O815" s="369"/>
      <c r="P815" s="67"/>
      <c r="Q815" s="369"/>
    </row>
    <row r="816" spans="1:20" ht="15" hidden="1" customHeight="1" x14ac:dyDescent="0.3">
      <c r="A816" s="367">
        <v>133</v>
      </c>
      <c r="B816" s="367" t="s">
        <v>48</v>
      </c>
      <c r="C816" s="40">
        <v>12585</v>
      </c>
      <c r="D816" s="367">
        <v>1</v>
      </c>
      <c r="E816" s="367" t="s">
        <v>49</v>
      </c>
      <c r="F816" s="367">
        <v>1450</v>
      </c>
      <c r="G816" s="367">
        <v>1200</v>
      </c>
      <c r="H816" s="367" t="s">
        <v>25</v>
      </c>
      <c r="I816" s="367">
        <v>190</v>
      </c>
      <c r="J816" s="370" t="s">
        <v>45</v>
      </c>
      <c r="K816" s="367">
        <v>50</v>
      </c>
      <c r="L816" s="367">
        <v>-5</v>
      </c>
      <c r="M816" s="358" t="s">
        <v>14</v>
      </c>
      <c r="N816" s="396" t="s">
        <v>234</v>
      </c>
      <c r="O816" s="367" t="s">
        <v>27</v>
      </c>
      <c r="P816" s="65"/>
      <c r="Q816" s="367" t="s">
        <v>243</v>
      </c>
      <c r="T816" s="200">
        <v>1</v>
      </c>
    </row>
    <row r="817" spans="1:20" ht="15" customHeight="1" x14ac:dyDescent="0.3">
      <c r="A817" s="368"/>
      <c r="B817" s="368"/>
      <c r="C817" s="41">
        <v>15060</v>
      </c>
      <c r="D817" s="368"/>
      <c r="E817" s="368"/>
      <c r="F817" s="368"/>
      <c r="G817" s="368"/>
      <c r="H817" s="368"/>
      <c r="I817" s="368"/>
      <c r="J817" s="371"/>
      <c r="K817" s="368"/>
      <c r="L817" s="368"/>
      <c r="M817" s="359"/>
      <c r="N817" s="397"/>
      <c r="O817" s="368"/>
      <c r="P817" s="226">
        <v>44066</v>
      </c>
      <c r="Q817" s="368"/>
    </row>
    <row r="818" spans="1:20" ht="15" customHeight="1" thickBot="1" x14ac:dyDescent="0.35">
      <c r="A818" s="369"/>
      <c r="B818" s="369"/>
      <c r="C818" s="42">
        <v>7527</v>
      </c>
      <c r="D818" s="369"/>
      <c r="E818" s="369"/>
      <c r="F818" s="369"/>
      <c r="G818" s="369"/>
      <c r="H818" s="369"/>
      <c r="I818" s="369"/>
      <c r="J818" s="372"/>
      <c r="K818" s="369"/>
      <c r="L818" s="369"/>
      <c r="M818" s="360"/>
      <c r="N818" s="398"/>
      <c r="O818" s="369"/>
      <c r="P818" s="67"/>
      <c r="Q818" s="369"/>
    </row>
    <row r="819" spans="1:20" ht="15" hidden="1" customHeight="1" x14ac:dyDescent="0.3">
      <c r="A819" s="367">
        <v>134</v>
      </c>
      <c r="B819" s="367" t="s">
        <v>233</v>
      </c>
      <c r="C819" s="40">
        <v>11890</v>
      </c>
      <c r="D819" s="367">
        <v>1</v>
      </c>
      <c r="E819" s="367" t="s">
        <v>50</v>
      </c>
      <c r="F819" s="367">
        <v>1450</v>
      </c>
      <c r="G819" s="367">
        <v>1200</v>
      </c>
      <c r="H819" s="367" t="s">
        <v>44</v>
      </c>
      <c r="I819" s="367">
        <v>100</v>
      </c>
      <c r="J819" s="370" t="s">
        <v>45</v>
      </c>
      <c r="K819" s="367">
        <v>30</v>
      </c>
      <c r="L819" s="367">
        <v>70.5</v>
      </c>
      <c r="M819" s="358" t="s">
        <v>14</v>
      </c>
      <c r="N819" s="396" t="s">
        <v>234</v>
      </c>
      <c r="O819" s="367" t="s">
        <v>27</v>
      </c>
      <c r="P819" s="65"/>
      <c r="Q819" s="367" t="s">
        <v>267</v>
      </c>
      <c r="T819" s="200">
        <v>1</v>
      </c>
    </row>
    <row r="820" spans="1:20" ht="15" customHeight="1" x14ac:dyDescent="0.3">
      <c r="A820" s="368"/>
      <c r="B820" s="368"/>
      <c r="C820" s="41">
        <v>15245</v>
      </c>
      <c r="D820" s="368"/>
      <c r="E820" s="368"/>
      <c r="F820" s="368"/>
      <c r="G820" s="368"/>
      <c r="H820" s="368"/>
      <c r="I820" s="368"/>
      <c r="J820" s="371"/>
      <c r="K820" s="368"/>
      <c r="L820" s="368"/>
      <c r="M820" s="359"/>
      <c r="N820" s="397"/>
      <c r="O820" s="368"/>
      <c r="P820" s="226">
        <v>44066</v>
      </c>
      <c r="Q820" s="368"/>
    </row>
    <row r="821" spans="1:20" ht="15" customHeight="1" thickBot="1" x14ac:dyDescent="0.35">
      <c r="A821" s="369"/>
      <c r="B821" s="369"/>
      <c r="C821" s="42">
        <v>7527</v>
      </c>
      <c r="D821" s="369"/>
      <c r="E821" s="369"/>
      <c r="F821" s="369"/>
      <c r="G821" s="369"/>
      <c r="H821" s="369"/>
      <c r="I821" s="369"/>
      <c r="J821" s="372"/>
      <c r="K821" s="369"/>
      <c r="L821" s="369"/>
      <c r="M821" s="360"/>
      <c r="N821" s="398"/>
      <c r="O821" s="369"/>
      <c r="P821" s="67"/>
      <c r="Q821" s="369"/>
    </row>
    <row r="822" spans="1:20" ht="15" hidden="1" customHeight="1" x14ac:dyDescent="0.3">
      <c r="A822" s="367">
        <v>135</v>
      </c>
      <c r="B822" s="367" t="s">
        <v>233</v>
      </c>
      <c r="C822" s="40">
        <v>11565</v>
      </c>
      <c r="D822" s="367">
        <v>1</v>
      </c>
      <c r="E822" s="367" t="s">
        <v>50</v>
      </c>
      <c r="F822" s="367">
        <v>1450</v>
      </c>
      <c r="G822" s="367">
        <v>1200</v>
      </c>
      <c r="H822" s="367" t="s">
        <v>44</v>
      </c>
      <c r="I822" s="367">
        <v>100</v>
      </c>
      <c r="J822" s="370" t="s">
        <v>45</v>
      </c>
      <c r="K822" s="367">
        <v>30</v>
      </c>
      <c r="L822" s="367">
        <v>70.5</v>
      </c>
      <c r="M822" s="358" t="s">
        <v>14</v>
      </c>
      <c r="N822" s="396" t="s">
        <v>234</v>
      </c>
      <c r="O822" s="367" t="s">
        <v>27</v>
      </c>
      <c r="P822" s="65"/>
      <c r="Q822" s="367" t="s">
        <v>267</v>
      </c>
      <c r="T822" s="200">
        <v>1</v>
      </c>
    </row>
    <row r="823" spans="1:20" ht="15" customHeight="1" x14ac:dyDescent="0.3">
      <c r="A823" s="368"/>
      <c r="B823" s="368"/>
      <c r="C823" s="41">
        <v>14920</v>
      </c>
      <c r="D823" s="368"/>
      <c r="E823" s="368"/>
      <c r="F823" s="368"/>
      <c r="G823" s="368"/>
      <c r="H823" s="368"/>
      <c r="I823" s="368"/>
      <c r="J823" s="371"/>
      <c r="K823" s="368"/>
      <c r="L823" s="368"/>
      <c r="M823" s="359"/>
      <c r="N823" s="397"/>
      <c r="O823" s="368"/>
      <c r="P823" s="226">
        <v>44066</v>
      </c>
      <c r="Q823" s="368"/>
    </row>
    <row r="824" spans="1:20" ht="15" customHeight="1" thickBot="1" x14ac:dyDescent="0.35">
      <c r="A824" s="369"/>
      <c r="B824" s="369"/>
      <c r="C824" s="42">
        <v>7527</v>
      </c>
      <c r="D824" s="369"/>
      <c r="E824" s="369"/>
      <c r="F824" s="369"/>
      <c r="G824" s="369"/>
      <c r="H824" s="369"/>
      <c r="I824" s="369"/>
      <c r="J824" s="372"/>
      <c r="K824" s="369"/>
      <c r="L824" s="369"/>
      <c r="M824" s="360"/>
      <c r="N824" s="398"/>
      <c r="O824" s="369"/>
      <c r="P824" s="67"/>
      <c r="Q824" s="369"/>
    </row>
    <row r="825" spans="1:20" ht="15" hidden="1" customHeight="1" x14ac:dyDescent="0.3">
      <c r="A825" s="367">
        <v>136</v>
      </c>
      <c r="B825" s="367" t="s">
        <v>230</v>
      </c>
      <c r="C825" s="40">
        <v>9870</v>
      </c>
      <c r="D825" s="367">
        <v>1</v>
      </c>
      <c r="E825" s="367" t="s">
        <v>161</v>
      </c>
      <c r="F825" s="367">
        <v>1450</v>
      </c>
      <c r="G825" s="367">
        <v>1200</v>
      </c>
      <c r="H825" s="367" t="s">
        <v>50</v>
      </c>
      <c r="I825" s="367">
        <v>150</v>
      </c>
      <c r="J825" s="370" t="s">
        <v>45</v>
      </c>
      <c r="K825" s="367">
        <v>40</v>
      </c>
      <c r="L825" s="367">
        <v>-7</v>
      </c>
      <c r="M825" s="358" t="s">
        <v>14</v>
      </c>
      <c r="N825" s="396" t="s">
        <v>234</v>
      </c>
      <c r="O825" s="367" t="s">
        <v>27</v>
      </c>
      <c r="P825" s="65"/>
      <c r="Q825" s="367" t="s">
        <v>243</v>
      </c>
      <c r="R825" s="186">
        <v>44071</v>
      </c>
      <c r="T825" s="200">
        <v>1</v>
      </c>
    </row>
    <row r="826" spans="1:20" ht="15" customHeight="1" x14ac:dyDescent="0.3">
      <c r="A826" s="368"/>
      <c r="B826" s="368"/>
      <c r="C826" s="41">
        <v>12580</v>
      </c>
      <c r="D826" s="368"/>
      <c r="E826" s="368"/>
      <c r="F826" s="368"/>
      <c r="G826" s="368"/>
      <c r="H826" s="368"/>
      <c r="I826" s="368"/>
      <c r="J826" s="371"/>
      <c r="K826" s="368"/>
      <c r="L826" s="368"/>
      <c r="M826" s="359"/>
      <c r="N826" s="397"/>
      <c r="O826" s="368"/>
      <c r="P826" s="226">
        <v>44071</v>
      </c>
      <c r="Q826" s="368"/>
    </row>
    <row r="827" spans="1:20" ht="15" customHeight="1" thickBot="1" x14ac:dyDescent="0.35">
      <c r="A827" s="369"/>
      <c r="B827" s="369"/>
      <c r="C827" s="42">
        <v>7527</v>
      </c>
      <c r="D827" s="369"/>
      <c r="E827" s="369"/>
      <c r="F827" s="369"/>
      <c r="G827" s="369"/>
      <c r="H827" s="369"/>
      <c r="I827" s="369"/>
      <c r="J827" s="372"/>
      <c r="K827" s="369"/>
      <c r="L827" s="369"/>
      <c r="M827" s="360"/>
      <c r="N827" s="398"/>
      <c r="O827" s="369"/>
      <c r="P827" s="67"/>
      <c r="Q827" s="369"/>
    </row>
    <row r="828" spans="1:20" ht="15" hidden="1" customHeight="1" x14ac:dyDescent="0.3">
      <c r="A828" s="367">
        <v>137</v>
      </c>
      <c r="B828" s="367" t="s">
        <v>230</v>
      </c>
      <c r="C828" s="40">
        <v>9665</v>
      </c>
      <c r="D828" s="367">
        <v>1</v>
      </c>
      <c r="E828" s="367" t="s">
        <v>66</v>
      </c>
      <c r="F828" s="367">
        <v>1450</v>
      </c>
      <c r="G828" s="367">
        <v>1200</v>
      </c>
      <c r="H828" s="367" t="s">
        <v>50</v>
      </c>
      <c r="I828" s="367">
        <v>150</v>
      </c>
      <c r="J828" s="370" t="s">
        <v>45</v>
      </c>
      <c r="K828" s="367">
        <v>30</v>
      </c>
      <c r="L828" s="367">
        <v>10</v>
      </c>
      <c r="M828" s="358" t="s">
        <v>14</v>
      </c>
      <c r="N828" s="396" t="s">
        <v>234</v>
      </c>
      <c r="O828" s="367" t="s">
        <v>27</v>
      </c>
      <c r="P828" s="197"/>
      <c r="Q828" s="367" t="s">
        <v>238</v>
      </c>
      <c r="R828" s="186">
        <v>44071</v>
      </c>
      <c r="T828" s="200">
        <v>1</v>
      </c>
    </row>
    <row r="829" spans="1:20" ht="15" customHeight="1" x14ac:dyDescent="0.3">
      <c r="A829" s="368"/>
      <c r="B829" s="368"/>
      <c r="C829" s="41">
        <v>12435</v>
      </c>
      <c r="D829" s="368"/>
      <c r="E829" s="368"/>
      <c r="F829" s="368"/>
      <c r="G829" s="368"/>
      <c r="H829" s="368"/>
      <c r="I829" s="368"/>
      <c r="J829" s="371"/>
      <c r="K829" s="368"/>
      <c r="L829" s="368"/>
      <c r="M829" s="359"/>
      <c r="N829" s="397"/>
      <c r="O829" s="368"/>
      <c r="P829" s="226">
        <v>44071</v>
      </c>
      <c r="Q829" s="368"/>
    </row>
    <row r="830" spans="1:20" ht="15" customHeight="1" thickBot="1" x14ac:dyDescent="0.35">
      <c r="A830" s="369"/>
      <c r="B830" s="369"/>
      <c r="C830" s="42">
        <v>7527</v>
      </c>
      <c r="D830" s="369"/>
      <c r="E830" s="369"/>
      <c r="F830" s="369"/>
      <c r="G830" s="369"/>
      <c r="H830" s="369"/>
      <c r="I830" s="369"/>
      <c r="J830" s="372"/>
      <c r="K830" s="369"/>
      <c r="L830" s="369"/>
      <c r="M830" s="360"/>
      <c r="N830" s="398"/>
      <c r="O830" s="369"/>
      <c r="P830" s="199"/>
      <c r="Q830" s="369"/>
    </row>
    <row r="831" spans="1:20" ht="15" hidden="1" customHeight="1" x14ac:dyDescent="0.3">
      <c r="A831" s="367">
        <v>138</v>
      </c>
      <c r="B831" s="367" t="s">
        <v>179</v>
      </c>
      <c r="C831" s="40">
        <v>9460</v>
      </c>
      <c r="D831" s="367">
        <v>1</v>
      </c>
      <c r="E831" s="367" t="s">
        <v>66</v>
      </c>
      <c r="F831" s="367">
        <v>1450</v>
      </c>
      <c r="G831" s="367">
        <v>1200</v>
      </c>
      <c r="H831" s="367" t="s">
        <v>50</v>
      </c>
      <c r="I831" s="367">
        <v>60</v>
      </c>
      <c r="J831" s="411" t="s">
        <v>563</v>
      </c>
      <c r="K831" s="367">
        <v>30</v>
      </c>
      <c r="L831" s="367">
        <v>10</v>
      </c>
      <c r="M831" s="358" t="s">
        <v>14</v>
      </c>
      <c r="N831" s="396" t="s">
        <v>234</v>
      </c>
      <c r="O831" s="367" t="s">
        <v>27</v>
      </c>
      <c r="P831" s="65"/>
      <c r="Q831" s="367" t="s">
        <v>237</v>
      </c>
    </row>
    <row r="832" spans="1:20" ht="15" customHeight="1" x14ac:dyDescent="0.3">
      <c r="A832" s="368"/>
      <c r="B832" s="368"/>
      <c r="C832" s="40">
        <v>12290</v>
      </c>
      <c r="D832" s="368"/>
      <c r="E832" s="368"/>
      <c r="F832" s="368"/>
      <c r="G832" s="368"/>
      <c r="H832" s="368"/>
      <c r="I832" s="368"/>
      <c r="J832" s="412"/>
      <c r="K832" s="368"/>
      <c r="L832" s="368"/>
      <c r="M832" s="359"/>
      <c r="N832" s="397"/>
      <c r="O832" s="368"/>
      <c r="P832" s="226">
        <v>44066</v>
      </c>
      <c r="Q832" s="368"/>
      <c r="T832" s="200">
        <v>1</v>
      </c>
    </row>
    <row r="833" spans="1:20" ht="15" customHeight="1" thickBot="1" x14ac:dyDescent="0.35">
      <c r="A833" s="369"/>
      <c r="B833" s="369"/>
      <c r="C833" s="42">
        <v>7527</v>
      </c>
      <c r="D833" s="369"/>
      <c r="E833" s="369"/>
      <c r="F833" s="369"/>
      <c r="G833" s="369"/>
      <c r="H833" s="369"/>
      <c r="I833" s="369"/>
      <c r="J833" s="413"/>
      <c r="K833" s="369"/>
      <c r="L833" s="369"/>
      <c r="M833" s="360"/>
      <c r="N833" s="398"/>
      <c r="O833" s="369"/>
      <c r="P833" s="67"/>
      <c r="Q833" s="369"/>
    </row>
    <row r="834" spans="1:20" ht="15" hidden="1" customHeight="1" x14ac:dyDescent="0.3">
      <c r="A834" s="373">
        <v>139</v>
      </c>
      <c r="B834" s="373" t="s">
        <v>179</v>
      </c>
      <c r="C834" s="49">
        <v>9255</v>
      </c>
      <c r="D834" s="373">
        <v>1</v>
      </c>
      <c r="E834" s="373" t="s">
        <v>66</v>
      </c>
      <c r="F834" s="373">
        <v>1450</v>
      </c>
      <c r="G834" s="373">
        <v>1200</v>
      </c>
      <c r="H834" s="373" t="s">
        <v>50</v>
      </c>
      <c r="I834" s="373">
        <v>100</v>
      </c>
      <c r="J834" s="376" t="s">
        <v>45</v>
      </c>
      <c r="K834" s="373">
        <v>30</v>
      </c>
      <c r="L834" s="373">
        <v>10</v>
      </c>
      <c r="M834" s="379" t="s">
        <v>14</v>
      </c>
      <c r="N834" s="408" t="s">
        <v>234</v>
      </c>
      <c r="O834" s="373" t="s">
        <v>27</v>
      </c>
      <c r="P834" s="83"/>
      <c r="Q834" s="373" t="s">
        <v>238</v>
      </c>
    </row>
    <row r="835" spans="1:20" ht="15" customHeight="1" x14ac:dyDescent="0.3">
      <c r="A835" s="374"/>
      <c r="B835" s="374"/>
      <c r="C835" s="51">
        <v>12145</v>
      </c>
      <c r="D835" s="374"/>
      <c r="E835" s="374"/>
      <c r="F835" s="374"/>
      <c r="G835" s="374"/>
      <c r="H835" s="374"/>
      <c r="I835" s="374"/>
      <c r="J835" s="377"/>
      <c r="K835" s="374"/>
      <c r="L835" s="374"/>
      <c r="M835" s="380"/>
      <c r="N835" s="409"/>
      <c r="O835" s="374"/>
      <c r="P835" s="84"/>
      <c r="Q835" s="374"/>
      <c r="T835" s="288">
        <v>1</v>
      </c>
    </row>
    <row r="836" spans="1:20" ht="15" customHeight="1" thickBot="1" x14ac:dyDescent="0.35">
      <c r="A836" s="375"/>
      <c r="B836" s="375"/>
      <c r="C836" s="50">
        <v>7527</v>
      </c>
      <c r="D836" s="375"/>
      <c r="E836" s="375"/>
      <c r="F836" s="375"/>
      <c r="G836" s="375"/>
      <c r="H836" s="375"/>
      <c r="I836" s="375"/>
      <c r="J836" s="378"/>
      <c r="K836" s="375"/>
      <c r="L836" s="375"/>
      <c r="M836" s="381"/>
      <c r="N836" s="410"/>
      <c r="O836" s="375"/>
      <c r="P836" s="85"/>
      <c r="Q836" s="375"/>
    </row>
    <row r="837" spans="1:20" ht="15" hidden="1" customHeight="1" x14ac:dyDescent="0.3">
      <c r="A837" s="367">
        <v>140</v>
      </c>
      <c r="B837" s="367" t="s">
        <v>174</v>
      </c>
      <c r="C837" s="40">
        <v>4800</v>
      </c>
      <c r="D837" s="370">
        <v>0</v>
      </c>
      <c r="E837" s="367" t="s">
        <v>13</v>
      </c>
      <c r="F837" s="367">
        <v>1450</v>
      </c>
      <c r="G837" s="367">
        <v>1200</v>
      </c>
      <c r="H837" s="367" t="s">
        <v>25</v>
      </c>
      <c r="I837" s="367" t="s">
        <v>13</v>
      </c>
      <c r="J837" s="367" t="s">
        <v>13</v>
      </c>
      <c r="K837" s="367" t="s">
        <v>13</v>
      </c>
      <c r="L837" s="367" t="s">
        <v>13</v>
      </c>
      <c r="M837" s="358" t="s">
        <v>14</v>
      </c>
      <c r="N837" s="396" t="s">
        <v>234</v>
      </c>
      <c r="O837" s="367" t="s">
        <v>27</v>
      </c>
      <c r="P837" s="65"/>
      <c r="Q837" s="367" t="s">
        <v>176</v>
      </c>
      <c r="T837" s="200">
        <v>1</v>
      </c>
    </row>
    <row r="838" spans="1:20" ht="15" customHeight="1" x14ac:dyDescent="0.3">
      <c r="A838" s="368"/>
      <c r="B838" s="368"/>
      <c r="C838" s="41">
        <v>14890</v>
      </c>
      <c r="D838" s="371"/>
      <c r="E838" s="368"/>
      <c r="F838" s="368"/>
      <c r="G838" s="368"/>
      <c r="H838" s="368"/>
      <c r="I838" s="368"/>
      <c r="J838" s="368"/>
      <c r="K838" s="368"/>
      <c r="L838" s="368"/>
      <c r="M838" s="359"/>
      <c r="N838" s="397"/>
      <c r="O838" s="368"/>
      <c r="P838" s="226">
        <v>44066</v>
      </c>
      <c r="Q838" s="368"/>
    </row>
    <row r="839" spans="1:20" ht="15" customHeight="1" thickBot="1" x14ac:dyDescent="0.35">
      <c r="A839" s="369"/>
      <c r="B839" s="369"/>
      <c r="C839" s="42">
        <v>7527</v>
      </c>
      <c r="D839" s="372"/>
      <c r="E839" s="369"/>
      <c r="F839" s="369"/>
      <c r="G839" s="369"/>
      <c r="H839" s="369"/>
      <c r="I839" s="369"/>
      <c r="J839" s="369"/>
      <c r="K839" s="369"/>
      <c r="L839" s="369"/>
      <c r="M839" s="360"/>
      <c r="N839" s="398"/>
      <c r="O839" s="369"/>
      <c r="P839" s="67"/>
      <c r="Q839" s="369"/>
    </row>
    <row r="840" spans="1:20" ht="15" hidden="1" customHeight="1" x14ac:dyDescent="0.3">
      <c r="A840" s="370">
        <v>141</v>
      </c>
      <c r="B840" s="370" t="s">
        <v>62</v>
      </c>
      <c r="C840" s="37">
        <v>2085</v>
      </c>
      <c r="D840" s="370">
        <v>1</v>
      </c>
      <c r="E840" s="370" t="s">
        <v>250</v>
      </c>
      <c r="F840" s="367">
        <v>1450</v>
      </c>
      <c r="G840" s="367">
        <v>1200</v>
      </c>
      <c r="H840" s="370" t="s">
        <v>251</v>
      </c>
      <c r="I840" s="370">
        <v>350</v>
      </c>
      <c r="J840" s="370" t="s">
        <v>45</v>
      </c>
      <c r="K840" s="370">
        <v>70</v>
      </c>
      <c r="L840" s="367">
        <v>106.5</v>
      </c>
      <c r="M840" s="358" t="s">
        <v>14</v>
      </c>
      <c r="N840" s="399" t="s">
        <v>234</v>
      </c>
      <c r="O840" s="367" t="s">
        <v>27</v>
      </c>
      <c r="P840" s="65"/>
      <c r="Q840" s="367" t="s">
        <v>252</v>
      </c>
      <c r="T840" s="200">
        <v>1</v>
      </c>
    </row>
    <row r="841" spans="1:20" ht="15" customHeight="1" x14ac:dyDescent="0.3">
      <c r="A841" s="371"/>
      <c r="B841" s="371"/>
      <c r="C841" s="38">
        <v>12890</v>
      </c>
      <c r="D841" s="371"/>
      <c r="E841" s="371"/>
      <c r="F841" s="368"/>
      <c r="G841" s="368"/>
      <c r="H841" s="371"/>
      <c r="I841" s="371"/>
      <c r="J841" s="371"/>
      <c r="K841" s="371"/>
      <c r="L841" s="368"/>
      <c r="M841" s="359"/>
      <c r="N841" s="400"/>
      <c r="O841" s="368"/>
      <c r="P841" s="226">
        <v>44066</v>
      </c>
      <c r="Q841" s="368"/>
    </row>
    <row r="842" spans="1:20" ht="15" customHeight="1" thickBot="1" x14ac:dyDescent="0.35">
      <c r="A842" s="372"/>
      <c r="B842" s="372"/>
      <c r="C842" s="39">
        <v>7527</v>
      </c>
      <c r="D842" s="372"/>
      <c r="E842" s="372"/>
      <c r="F842" s="369"/>
      <c r="G842" s="369"/>
      <c r="H842" s="372"/>
      <c r="I842" s="372"/>
      <c r="J842" s="372"/>
      <c r="K842" s="372"/>
      <c r="L842" s="369"/>
      <c r="M842" s="360"/>
      <c r="N842" s="401"/>
      <c r="O842" s="369"/>
      <c r="P842" s="67"/>
      <c r="Q842" s="369"/>
    </row>
    <row r="843" spans="1:20" ht="15" hidden="1" customHeight="1" x14ac:dyDescent="0.3">
      <c r="A843" s="367">
        <v>142</v>
      </c>
      <c r="B843" s="367" t="s">
        <v>268</v>
      </c>
      <c r="C843" s="40">
        <v>950</v>
      </c>
      <c r="D843" s="367">
        <v>1</v>
      </c>
      <c r="E843" s="367" t="s">
        <v>269</v>
      </c>
      <c r="F843" s="367">
        <v>1450</v>
      </c>
      <c r="G843" s="367">
        <v>1200</v>
      </c>
      <c r="H843" s="367" t="s">
        <v>44</v>
      </c>
      <c r="I843" s="367">
        <v>300</v>
      </c>
      <c r="J843" s="370" t="s">
        <v>45</v>
      </c>
      <c r="K843" s="367">
        <v>100</v>
      </c>
      <c r="L843" s="367">
        <v>0.5</v>
      </c>
      <c r="M843" s="358" t="s">
        <v>14</v>
      </c>
      <c r="N843" s="396" t="s">
        <v>234</v>
      </c>
      <c r="O843" s="367" t="s">
        <v>27</v>
      </c>
      <c r="P843" s="261"/>
      <c r="Q843" s="367" t="s">
        <v>267</v>
      </c>
      <c r="T843" s="200">
        <v>1</v>
      </c>
    </row>
    <row r="844" spans="1:20" ht="15" customHeight="1" x14ac:dyDescent="0.3">
      <c r="A844" s="368"/>
      <c r="B844" s="368"/>
      <c r="C844" s="41">
        <v>10400</v>
      </c>
      <c r="D844" s="368"/>
      <c r="E844" s="368"/>
      <c r="F844" s="368"/>
      <c r="G844" s="368"/>
      <c r="H844" s="368"/>
      <c r="I844" s="368"/>
      <c r="J844" s="371"/>
      <c r="K844" s="368"/>
      <c r="L844" s="368"/>
      <c r="M844" s="359"/>
      <c r="N844" s="397"/>
      <c r="O844" s="368"/>
      <c r="P844" s="226">
        <v>44090</v>
      </c>
      <c r="Q844" s="368"/>
    </row>
    <row r="845" spans="1:20" ht="15" customHeight="1" thickBot="1" x14ac:dyDescent="0.35">
      <c r="A845" s="369"/>
      <c r="B845" s="369"/>
      <c r="C845" s="42">
        <v>7527</v>
      </c>
      <c r="D845" s="369"/>
      <c r="E845" s="369"/>
      <c r="F845" s="369"/>
      <c r="G845" s="369"/>
      <c r="H845" s="369"/>
      <c r="I845" s="369"/>
      <c r="J845" s="372"/>
      <c r="K845" s="369"/>
      <c r="L845" s="369"/>
      <c r="M845" s="360"/>
      <c r="N845" s="398"/>
      <c r="O845" s="369"/>
      <c r="P845" s="262"/>
      <c r="Q845" s="369"/>
    </row>
    <row r="846" spans="1:20" ht="15" hidden="1" customHeight="1" x14ac:dyDescent="0.3">
      <c r="A846" s="367">
        <v>143</v>
      </c>
      <c r="B846" s="367" t="s">
        <v>64</v>
      </c>
      <c r="C846" s="40">
        <v>-850</v>
      </c>
      <c r="D846" s="367">
        <v>1</v>
      </c>
      <c r="E846" s="367" t="s">
        <v>245</v>
      </c>
      <c r="F846" s="367">
        <v>1450</v>
      </c>
      <c r="G846" s="367">
        <v>1200</v>
      </c>
      <c r="H846" s="367" t="s">
        <v>12</v>
      </c>
      <c r="I846" s="367">
        <v>350</v>
      </c>
      <c r="J846" s="370" t="s">
        <v>45</v>
      </c>
      <c r="K846" s="367">
        <v>90</v>
      </c>
      <c r="L846" s="367">
        <v>46</v>
      </c>
      <c r="M846" s="358" t="s">
        <v>14</v>
      </c>
      <c r="N846" s="396" t="s">
        <v>234</v>
      </c>
      <c r="O846" s="367" t="s">
        <v>27</v>
      </c>
      <c r="P846" s="261"/>
      <c r="Q846" s="367" t="s">
        <v>246</v>
      </c>
    </row>
    <row r="847" spans="1:20" ht="15" customHeight="1" x14ac:dyDescent="0.3">
      <c r="A847" s="368"/>
      <c r="B847" s="368"/>
      <c r="C847" s="41">
        <v>10400</v>
      </c>
      <c r="D847" s="368"/>
      <c r="E847" s="368"/>
      <c r="F847" s="368"/>
      <c r="G847" s="368"/>
      <c r="H847" s="368"/>
      <c r="I847" s="368"/>
      <c r="J847" s="371"/>
      <c r="K847" s="368"/>
      <c r="L847" s="368"/>
      <c r="M847" s="359"/>
      <c r="N847" s="397"/>
      <c r="O847" s="368"/>
      <c r="P847" s="226">
        <v>44090</v>
      </c>
      <c r="Q847" s="368"/>
      <c r="T847" s="200">
        <v>1</v>
      </c>
    </row>
    <row r="848" spans="1:20" ht="15" customHeight="1" thickBot="1" x14ac:dyDescent="0.35">
      <c r="A848" s="369"/>
      <c r="B848" s="369"/>
      <c r="C848" s="42">
        <v>7527</v>
      </c>
      <c r="D848" s="369"/>
      <c r="E848" s="369"/>
      <c r="F848" s="369"/>
      <c r="G848" s="369"/>
      <c r="H848" s="369"/>
      <c r="I848" s="369"/>
      <c r="J848" s="372"/>
      <c r="K848" s="369"/>
      <c r="L848" s="369"/>
      <c r="M848" s="360"/>
      <c r="N848" s="398"/>
      <c r="O848" s="369"/>
      <c r="P848" s="262"/>
      <c r="Q848" s="369"/>
    </row>
    <row r="849" spans="1:20" ht="15" hidden="1" customHeight="1" x14ac:dyDescent="0.3">
      <c r="A849" s="367">
        <v>144</v>
      </c>
      <c r="B849" s="367" t="s">
        <v>64</v>
      </c>
      <c r="C849" s="40">
        <v>2050</v>
      </c>
      <c r="D849" s="367">
        <v>1</v>
      </c>
      <c r="E849" s="367" t="s">
        <v>245</v>
      </c>
      <c r="F849" s="367">
        <v>1450</v>
      </c>
      <c r="G849" s="367">
        <v>1200</v>
      </c>
      <c r="H849" s="367" t="s">
        <v>12</v>
      </c>
      <c r="I849" s="367">
        <v>350</v>
      </c>
      <c r="J849" s="370" t="s">
        <v>45</v>
      </c>
      <c r="K849" s="367">
        <v>90</v>
      </c>
      <c r="L849" s="367">
        <v>46</v>
      </c>
      <c r="M849" s="358" t="s">
        <v>14</v>
      </c>
      <c r="N849" s="396" t="s">
        <v>234</v>
      </c>
      <c r="O849" s="367" t="s">
        <v>27</v>
      </c>
      <c r="P849" s="65"/>
      <c r="Q849" s="367" t="s">
        <v>246</v>
      </c>
    </row>
    <row r="850" spans="1:20" ht="15" customHeight="1" x14ac:dyDescent="0.3">
      <c r="A850" s="368"/>
      <c r="B850" s="368"/>
      <c r="C850" s="41">
        <v>10400</v>
      </c>
      <c r="D850" s="368"/>
      <c r="E850" s="368"/>
      <c r="F850" s="368"/>
      <c r="G850" s="368"/>
      <c r="H850" s="368"/>
      <c r="I850" s="368"/>
      <c r="J850" s="371"/>
      <c r="K850" s="368"/>
      <c r="L850" s="368"/>
      <c r="M850" s="359"/>
      <c r="N850" s="397"/>
      <c r="O850" s="368"/>
      <c r="P850" s="226">
        <v>44066</v>
      </c>
      <c r="Q850" s="368"/>
      <c r="T850" s="200">
        <v>1</v>
      </c>
    </row>
    <row r="851" spans="1:20" ht="15" customHeight="1" thickBot="1" x14ac:dyDescent="0.35">
      <c r="A851" s="369"/>
      <c r="B851" s="369"/>
      <c r="C851" s="42">
        <v>7527</v>
      </c>
      <c r="D851" s="369"/>
      <c r="E851" s="369"/>
      <c r="F851" s="369"/>
      <c r="G851" s="369"/>
      <c r="H851" s="369"/>
      <c r="I851" s="369"/>
      <c r="J851" s="372"/>
      <c r="K851" s="369"/>
      <c r="L851" s="369"/>
      <c r="M851" s="360"/>
      <c r="N851" s="398"/>
      <c r="O851" s="369"/>
      <c r="P851" s="67"/>
      <c r="Q851" s="369"/>
    </row>
    <row r="852" spans="1:20" ht="15" hidden="1" customHeight="1" x14ac:dyDescent="0.3">
      <c r="A852" s="367">
        <v>145</v>
      </c>
      <c r="B852" s="367" t="s">
        <v>174</v>
      </c>
      <c r="C852" s="40">
        <v>3850</v>
      </c>
      <c r="D852" s="370">
        <v>0</v>
      </c>
      <c r="E852" s="367" t="s">
        <v>13</v>
      </c>
      <c r="F852" s="367">
        <v>1450</v>
      </c>
      <c r="G852" s="367">
        <v>1200</v>
      </c>
      <c r="H852" s="367" t="s">
        <v>12</v>
      </c>
      <c r="I852" s="367" t="s">
        <v>13</v>
      </c>
      <c r="J852" s="367" t="s">
        <v>13</v>
      </c>
      <c r="K852" s="367" t="s">
        <v>13</v>
      </c>
      <c r="L852" s="367" t="s">
        <v>13</v>
      </c>
      <c r="M852" s="358" t="s">
        <v>14</v>
      </c>
      <c r="N852" s="396" t="s">
        <v>234</v>
      </c>
      <c r="O852" s="367" t="s">
        <v>27</v>
      </c>
      <c r="P852" s="65"/>
      <c r="Q852" s="367" t="s">
        <v>244</v>
      </c>
    </row>
    <row r="853" spans="1:20" ht="15" customHeight="1" x14ac:dyDescent="0.3">
      <c r="A853" s="368"/>
      <c r="B853" s="368"/>
      <c r="C853" s="41">
        <v>10400</v>
      </c>
      <c r="D853" s="371"/>
      <c r="E853" s="368"/>
      <c r="F853" s="368"/>
      <c r="G853" s="368"/>
      <c r="H853" s="368"/>
      <c r="I853" s="368"/>
      <c r="J853" s="368"/>
      <c r="K853" s="368"/>
      <c r="L853" s="368"/>
      <c r="M853" s="359"/>
      <c r="N853" s="397"/>
      <c r="O853" s="368"/>
      <c r="P853" s="226">
        <v>44066</v>
      </c>
      <c r="Q853" s="368"/>
      <c r="T853" s="200">
        <v>1</v>
      </c>
    </row>
    <row r="854" spans="1:20" ht="15" customHeight="1" thickBot="1" x14ac:dyDescent="0.35">
      <c r="A854" s="369"/>
      <c r="B854" s="369"/>
      <c r="C854" s="42">
        <v>7527</v>
      </c>
      <c r="D854" s="372"/>
      <c r="E854" s="369"/>
      <c r="F854" s="369"/>
      <c r="G854" s="369"/>
      <c r="H854" s="369"/>
      <c r="I854" s="369"/>
      <c r="J854" s="369"/>
      <c r="K854" s="369"/>
      <c r="L854" s="369"/>
      <c r="M854" s="360"/>
      <c r="N854" s="398"/>
      <c r="O854" s="369"/>
      <c r="P854" s="67"/>
      <c r="Q854" s="369"/>
    </row>
    <row r="855" spans="1:20" ht="15" hidden="1" customHeight="1" x14ac:dyDescent="0.3">
      <c r="A855" s="367">
        <v>146</v>
      </c>
      <c r="B855" s="367" t="s">
        <v>174</v>
      </c>
      <c r="C855" s="40">
        <v>2680</v>
      </c>
      <c r="D855" s="370">
        <v>0</v>
      </c>
      <c r="E855" s="367" t="s">
        <v>13</v>
      </c>
      <c r="F855" s="367">
        <v>1450</v>
      </c>
      <c r="G855" s="367">
        <v>1200</v>
      </c>
      <c r="H855" s="367" t="s">
        <v>12</v>
      </c>
      <c r="I855" s="367" t="s">
        <v>13</v>
      </c>
      <c r="J855" s="367" t="s">
        <v>13</v>
      </c>
      <c r="K855" s="367" t="s">
        <v>13</v>
      </c>
      <c r="L855" s="367" t="s">
        <v>13</v>
      </c>
      <c r="M855" s="358" t="s">
        <v>14</v>
      </c>
      <c r="N855" s="396" t="s">
        <v>234</v>
      </c>
      <c r="O855" s="367" t="s">
        <v>27</v>
      </c>
      <c r="P855" s="65"/>
      <c r="Q855" s="367" t="s">
        <v>244</v>
      </c>
      <c r="T855" s="200">
        <v>1</v>
      </c>
    </row>
    <row r="856" spans="1:20" ht="15" customHeight="1" x14ac:dyDescent="0.3">
      <c r="A856" s="368"/>
      <c r="B856" s="368"/>
      <c r="C856" s="41">
        <v>9375</v>
      </c>
      <c r="D856" s="371"/>
      <c r="E856" s="368"/>
      <c r="F856" s="368"/>
      <c r="G856" s="368"/>
      <c r="H856" s="368"/>
      <c r="I856" s="368"/>
      <c r="J856" s="368"/>
      <c r="K856" s="368"/>
      <c r="L856" s="368"/>
      <c r="M856" s="359"/>
      <c r="N856" s="397"/>
      <c r="O856" s="368"/>
      <c r="P856" s="226">
        <v>44066</v>
      </c>
      <c r="Q856" s="368"/>
    </row>
    <row r="857" spans="1:20" ht="15" customHeight="1" thickBot="1" x14ac:dyDescent="0.35">
      <c r="A857" s="369"/>
      <c r="B857" s="369"/>
      <c r="C857" s="42">
        <v>7527</v>
      </c>
      <c r="D857" s="372"/>
      <c r="E857" s="369"/>
      <c r="F857" s="369"/>
      <c r="G857" s="369"/>
      <c r="H857" s="369"/>
      <c r="I857" s="369"/>
      <c r="J857" s="369"/>
      <c r="K857" s="369"/>
      <c r="L857" s="369"/>
      <c r="M857" s="360"/>
      <c r="N857" s="398"/>
      <c r="O857" s="369"/>
      <c r="P857" s="67"/>
      <c r="Q857" s="369"/>
    </row>
    <row r="858" spans="1:20" ht="15" hidden="1" customHeight="1" x14ac:dyDescent="0.3">
      <c r="A858" s="367">
        <v>147</v>
      </c>
      <c r="B858" s="367" t="s">
        <v>174</v>
      </c>
      <c r="C858" s="40">
        <v>-960</v>
      </c>
      <c r="D858" s="370">
        <v>0</v>
      </c>
      <c r="E858" s="367" t="s">
        <v>13</v>
      </c>
      <c r="F858" s="367">
        <v>1450</v>
      </c>
      <c r="G858" s="367">
        <v>1200</v>
      </c>
      <c r="H858" s="367" t="s">
        <v>12</v>
      </c>
      <c r="I858" s="367" t="s">
        <v>13</v>
      </c>
      <c r="J858" s="367" t="s">
        <v>13</v>
      </c>
      <c r="K858" s="367" t="s">
        <v>13</v>
      </c>
      <c r="L858" s="367" t="s">
        <v>13</v>
      </c>
      <c r="M858" s="358" t="s">
        <v>14</v>
      </c>
      <c r="N858" s="396" t="s">
        <v>234</v>
      </c>
      <c r="O858" s="367" t="s">
        <v>27</v>
      </c>
      <c r="P858" s="65"/>
      <c r="Q858" s="367" t="s">
        <v>244</v>
      </c>
    </row>
    <row r="859" spans="1:20" ht="15" customHeight="1" x14ac:dyDescent="0.3">
      <c r="A859" s="368"/>
      <c r="B859" s="368"/>
      <c r="C859" s="41">
        <v>7000</v>
      </c>
      <c r="D859" s="371"/>
      <c r="E859" s="368"/>
      <c r="F859" s="368"/>
      <c r="G859" s="368"/>
      <c r="H859" s="368"/>
      <c r="I859" s="368"/>
      <c r="J859" s="368"/>
      <c r="K859" s="368"/>
      <c r="L859" s="368"/>
      <c r="M859" s="359"/>
      <c r="N859" s="397"/>
      <c r="O859" s="368"/>
      <c r="P859" s="226">
        <v>44066</v>
      </c>
      <c r="Q859" s="368"/>
      <c r="T859" s="200">
        <v>1</v>
      </c>
    </row>
    <row r="860" spans="1:20" ht="15" customHeight="1" thickBot="1" x14ac:dyDescent="0.35">
      <c r="A860" s="369"/>
      <c r="B860" s="369"/>
      <c r="C860" s="42">
        <v>7527</v>
      </c>
      <c r="D860" s="372"/>
      <c r="E860" s="369"/>
      <c r="F860" s="369"/>
      <c r="G860" s="369"/>
      <c r="H860" s="369"/>
      <c r="I860" s="369"/>
      <c r="J860" s="369"/>
      <c r="K860" s="369"/>
      <c r="L860" s="369"/>
      <c r="M860" s="360"/>
      <c r="N860" s="398"/>
      <c r="O860" s="369"/>
      <c r="P860" s="67"/>
      <c r="Q860" s="369"/>
    </row>
    <row r="861" spans="1:20" ht="15" hidden="1" customHeight="1" x14ac:dyDescent="0.3">
      <c r="A861" s="367">
        <v>148</v>
      </c>
      <c r="B861" s="367" t="s">
        <v>179</v>
      </c>
      <c r="C861" s="40">
        <v>1500</v>
      </c>
      <c r="D861" s="367">
        <v>1</v>
      </c>
      <c r="E861" s="367" t="s">
        <v>239</v>
      </c>
      <c r="F861" s="367">
        <v>1450</v>
      </c>
      <c r="G861" s="367">
        <v>1200</v>
      </c>
      <c r="H861" s="367" t="s">
        <v>44</v>
      </c>
      <c r="I861" s="367">
        <v>350</v>
      </c>
      <c r="J861" s="370" t="s">
        <v>45</v>
      </c>
      <c r="K861" s="367">
        <v>40</v>
      </c>
      <c r="L861" s="367">
        <v>95.5</v>
      </c>
      <c r="M861" s="358" t="s">
        <v>14</v>
      </c>
      <c r="N861" s="396" t="s">
        <v>234</v>
      </c>
      <c r="O861" s="367" t="s">
        <v>27</v>
      </c>
      <c r="P861" s="261"/>
      <c r="Q861" s="367" t="s">
        <v>247</v>
      </c>
    </row>
    <row r="862" spans="1:20" ht="15" customHeight="1" x14ac:dyDescent="0.3">
      <c r="A862" s="368"/>
      <c r="B862" s="368"/>
      <c r="C862" s="41">
        <v>10400</v>
      </c>
      <c r="D862" s="368"/>
      <c r="E862" s="368"/>
      <c r="F862" s="368"/>
      <c r="G862" s="368"/>
      <c r="H862" s="368"/>
      <c r="I862" s="368"/>
      <c r="J862" s="371"/>
      <c r="K862" s="368"/>
      <c r="L862" s="368"/>
      <c r="M862" s="359"/>
      <c r="N862" s="397"/>
      <c r="O862" s="368"/>
      <c r="P862" s="226">
        <v>44090</v>
      </c>
      <c r="Q862" s="368"/>
      <c r="T862" s="200">
        <v>1</v>
      </c>
    </row>
    <row r="863" spans="1:20" ht="15" customHeight="1" thickBot="1" x14ac:dyDescent="0.35">
      <c r="A863" s="369"/>
      <c r="B863" s="369"/>
      <c r="C863" s="42">
        <v>7527</v>
      </c>
      <c r="D863" s="369"/>
      <c r="E863" s="369"/>
      <c r="F863" s="369"/>
      <c r="G863" s="369"/>
      <c r="H863" s="369"/>
      <c r="I863" s="369"/>
      <c r="J863" s="372"/>
      <c r="K863" s="369"/>
      <c r="L863" s="369"/>
      <c r="M863" s="360"/>
      <c r="N863" s="398"/>
      <c r="O863" s="369"/>
      <c r="P863" s="262"/>
      <c r="Q863" s="369"/>
    </row>
    <row r="864" spans="1:20" ht="15" hidden="1" customHeight="1" x14ac:dyDescent="0.3">
      <c r="A864" s="367">
        <v>149</v>
      </c>
      <c r="B864" s="367" t="s">
        <v>174</v>
      </c>
      <c r="C864" s="40">
        <v>-550</v>
      </c>
      <c r="D864" s="370">
        <v>0</v>
      </c>
      <c r="E864" s="367" t="s">
        <v>13</v>
      </c>
      <c r="F864" s="367">
        <v>1450</v>
      </c>
      <c r="G864" s="367">
        <v>1200</v>
      </c>
      <c r="H864" s="367" t="s">
        <v>50</v>
      </c>
      <c r="I864" s="367" t="s">
        <v>13</v>
      </c>
      <c r="J864" s="367" t="s">
        <v>13</v>
      </c>
      <c r="K864" s="367" t="s">
        <v>13</v>
      </c>
      <c r="L864" s="367" t="s">
        <v>13</v>
      </c>
      <c r="M864" s="358" t="s">
        <v>14</v>
      </c>
      <c r="N864" s="396" t="s">
        <v>234</v>
      </c>
      <c r="O864" s="367" t="s">
        <v>27</v>
      </c>
      <c r="P864" s="65"/>
      <c r="Q864" s="367" t="s">
        <v>176</v>
      </c>
    </row>
    <row r="865" spans="1:20" ht="15" customHeight="1" x14ac:dyDescent="0.3">
      <c r="A865" s="368"/>
      <c r="B865" s="368"/>
      <c r="C865" s="41">
        <v>9470</v>
      </c>
      <c r="D865" s="371"/>
      <c r="E865" s="368"/>
      <c r="F865" s="368"/>
      <c r="G865" s="368"/>
      <c r="H865" s="368"/>
      <c r="I865" s="368"/>
      <c r="J865" s="368"/>
      <c r="K865" s="368"/>
      <c r="L865" s="368"/>
      <c r="M865" s="359"/>
      <c r="N865" s="397"/>
      <c r="O865" s="368"/>
      <c r="P865" s="226">
        <v>44066</v>
      </c>
      <c r="Q865" s="368"/>
      <c r="T865" s="200">
        <v>1</v>
      </c>
    </row>
    <row r="866" spans="1:20" ht="15" customHeight="1" thickBot="1" x14ac:dyDescent="0.35">
      <c r="A866" s="369"/>
      <c r="B866" s="369"/>
      <c r="C866" s="42">
        <v>7527</v>
      </c>
      <c r="D866" s="372"/>
      <c r="E866" s="369"/>
      <c r="F866" s="369"/>
      <c r="G866" s="369"/>
      <c r="H866" s="369"/>
      <c r="I866" s="369"/>
      <c r="J866" s="369"/>
      <c r="K866" s="369"/>
      <c r="L866" s="369"/>
      <c r="M866" s="360"/>
      <c r="N866" s="398"/>
      <c r="O866" s="369"/>
      <c r="P866" s="67"/>
      <c r="Q866" s="369"/>
    </row>
    <row r="867" spans="1:20" ht="15" hidden="1" customHeight="1" x14ac:dyDescent="0.3">
      <c r="A867" s="367">
        <v>150</v>
      </c>
      <c r="B867" s="367" t="s">
        <v>174</v>
      </c>
      <c r="C867" s="40">
        <v>-550</v>
      </c>
      <c r="D867" s="370">
        <v>0</v>
      </c>
      <c r="E867" s="367" t="s">
        <v>13</v>
      </c>
      <c r="F867" s="367">
        <v>1450</v>
      </c>
      <c r="G867" s="367">
        <v>1200</v>
      </c>
      <c r="H867" s="367" t="s">
        <v>50</v>
      </c>
      <c r="I867" s="367" t="s">
        <v>13</v>
      </c>
      <c r="J867" s="367" t="s">
        <v>13</v>
      </c>
      <c r="K867" s="367" t="s">
        <v>13</v>
      </c>
      <c r="L867" s="367" t="s">
        <v>13</v>
      </c>
      <c r="M867" s="358" t="s">
        <v>14</v>
      </c>
      <c r="N867" s="396" t="s">
        <v>234</v>
      </c>
      <c r="O867" s="367" t="s">
        <v>27</v>
      </c>
      <c r="P867" s="65"/>
      <c r="Q867" s="367" t="s">
        <v>176</v>
      </c>
      <c r="T867" s="200">
        <v>1</v>
      </c>
    </row>
    <row r="868" spans="1:20" ht="15" customHeight="1" x14ac:dyDescent="0.3">
      <c r="A868" s="368"/>
      <c r="B868" s="368"/>
      <c r="C868" s="41">
        <v>9220</v>
      </c>
      <c r="D868" s="371"/>
      <c r="E868" s="368"/>
      <c r="F868" s="368"/>
      <c r="G868" s="368"/>
      <c r="H868" s="368"/>
      <c r="I868" s="368"/>
      <c r="J868" s="368"/>
      <c r="K868" s="368"/>
      <c r="L868" s="368"/>
      <c r="M868" s="359"/>
      <c r="N868" s="397"/>
      <c r="O868" s="368"/>
      <c r="P868" s="226">
        <v>44066</v>
      </c>
      <c r="Q868" s="368"/>
    </row>
    <row r="869" spans="1:20" ht="15" customHeight="1" thickBot="1" x14ac:dyDescent="0.35">
      <c r="A869" s="369"/>
      <c r="B869" s="369"/>
      <c r="C869" s="42">
        <v>7527</v>
      </c>
      <c r="D869" s="372"/>
      <c r="E869" s="369"/>
      <c r="F869" s="369"/>
      <c r="G869" s="369"/>
      <c r="H869" s="369"/>
      <c r="I869" s="369"/>
      <c r="J869" s="369"/>
      <c r="K869" s="369"/>
      <c r="L869" s="369"/>
      <c r="M869" s="360"/>
      <c r="N869" s="398"/>
      <c r="O869" s="369"/>
      <c r="P869" s="67"/>
      <c r="Q869" s="369"/>
    </row>
    <row r="870" spans="1:20" ht="15" hidden="1" customHeight="1" x14ac:dyDescent="0.3">
      <c r="A870" s="367">
        <v>151</v>
      </c>
      <c r="B870" s="367" t="s">
        <v>257</v>
      </c>
      <c r="C870" s="40">
        <v>-550</v>
      </c>
      <c r="D870" s="367">
        <v>1</v>
      </c>
      <c r="E870" s="367" t="s">
        <v>245</v>
      </c>
      <c r="F870" s="367">
        <v>1450</v>
      </c>
      <c r="G870" s="367">
        <v>1200</v>
      </c>
      <c r="H870" s="367" t="s">
        <v>19</v>
      </c>
      <c r="I870" s="367">
        <v>350</v>
      </c>
      <c r="J870" s="370" t="s">
        <v>45</v>
      </c>
      <c r="K870" s="367">
        <v>90</v>
      </c>
      <c r="L870" s="367">
        <v>-32</v>
      </c>
      <c r="M870" s="358" t="s">
        <v>14</v>
      </c>
      <c r="N870" s="396" t="s">
        <v>234</v>
      </c>
      <c r="O870" s="367" t="s">
        <v>27</v>
      </c>
      <c r="P870" s="261"/>
      <c r="Q870" s="367" t="s">
        <v>243</v>
      </c>
    </row>
    <row r="871" spans="1:20" ht="15" customHeight="1" x14ac:dyDescent="0.3">
      <c r="A871" s="368"/>
      <c r="B871" s="368"/>
      <c r="C871" s="41">
        <v>7550</v>
      </c>
      <c r="D871" s="368"/>
      <c r="E871" s="368"/>
      <c r="F871" s="368"/>
      <c r="G871" s="368"/>
      <c r="H871" s="368"/>
      <c r="I871" s="368"/>
      <c r="J871" s="371"/>
      <c r="K871" s="368"/>
      <c r="L871" s="368"/>
      <c r="M871" s="359"/>
      <c r="N871" s="397"/>
      <c r="O871" s="368"/>
      <c r="P871" s="226">
        <v>44090</v>
      </c>
      <c r="Q871" s="368"/>
      <c r="T871" s="200">
        <v>1</v>
      </c>
    </row>
    <row r="872" spans="1:20" ht="15" customHeight="1" thickBot="1" x14ac:dyDescent="0.35">
      <c r="A872" s="369"/>
      <c r="B872" s="369"/>
      <c r="C872" s="42">
        <v>7527</v>
      </c>
      <c r="D872" s="369"/>
      <c r="E872" s="369"/>
      <c r="F872" s="369"/>
      <c r="G872" s="369"/>
      <c r="H872" s="369"/>
      <c r="I872" s="369"/>
      <c r="J872" s="372"/>
      <c r="K872" s="369"/>
      <c r="L872" s="369"/>
      <c r="M872" s="360"/>
      <c r="N872" s="398"/>
      <c r="O872" s="369"/>
      <c r="P872" s="262"/>
      <c r="Q872" s="369"/>
    </row>
    <row r="873" spans="1:20" ht="15" hidden="1" customHeight="1" x14ac:dyDescent="0.3">
      <c r="A873" s="367">
        <v>152</v>
      </c>
      <c r="B873" s="367" t="s">
        <v>270</v>
      </c>
      <c r="C873" s="40">
        <v>490</v>
      </c>
      <c r="D873" s="367">
        <v>1</v>
      </c>
      <c r="E873" s="367" t="s">
        <v>161</v>
      </c>
      <c r="F873" s="367">
        <v>1450</v>
      </c>
      <c r="G873" s="367">
        <v>1200</v>
      </c>
      <c r="H873" s="367" t="s">
        <v>50</v>
      </c>
      <c r="I873" s="367">
        <v>30</v>
      </c>
      <c r="J873" s="367">
        <f>-0.18/0.44</f>
        <v>-0.40909090909090906</v>
      </c>
      <c r="K873" s="367">
        <v>0</v>
      </c>
      <c r="L873" s="367">
        <v>33</v>
      </c>
      <c r="M873" s="358" t="s">
        <v>14</v>
      </c>
      <c r="N873" s="396" t="s">
        <v>234</v>
      </c>
      <c r="O873" s="367" t="s">
        <v>27</v>
      </c>
      <c r="P873" s="65"/>
      <c r="Q873" s="367" t="s">
        <v>258</v>
      </c>
    </row>
    <row r="874" spans="1:20" ht="15" customHeight="1" x14ac:dyDescent="0.3">
      <c r="A874" s="368"/>
      <c r="B874" s="368"/>
      <c r="C874" s="41">
        <v>5920</v>
      </c>
      <c r="D874" s="368"/>
      <c r="E874" s="368"/>
      <c r="F874" s="368"/>
      <c r="G874" s="368"/>
      <c r="H874" s="368"/>
      <c r="I874" s="368"/>
      <c r="J874" s="368"/>
      <c r="K874" s="368"/>
      <c r="L874" s="368"/>
      <c r="M874" s="359"/>
      <c r="N874" s="397"/>
      <c r="O874" s="368"/>
      <c r="P874" s="226">
        <v>44066</v>
      </c>
      <c r="Q874" s="368"/>
      <c r="T874" s="200">
        <v>1</v>
      </c>
    </row>
    <row r="875" spans="1:20" ht="15" customHeight="1" thickBot="1" x14ac:dyDescent="0.35">
      <c r="A875" s="369"/>
      <c r="B875" s="369"/>
      <c r="C875" s="42">
        <v>7527</v>
      </c>
      <c r="D875" s="369"/>
      <c r="E875" s="369"/>
      <c r="F875" s="369"/>
      <c r="G875" s="369"/>
      <c r="H875" s="369"/>
      <c r="I875" s="369"/>
      <c r="J875" s="369"/>
      <c r="K875" s="369"/>
      <c r="L875" s="369"/>
      <c r="M875" s="360"/>
      <c r="N875" s="398"/>
      <c r="O875" s="369"/>
      <c r="P875" s="67"/>
      <c r="Q875" s="369"/>
    </row>
    <row r="876" spans="1:20" ht="15" hidden="1" customHeight="1" x14ac:dyDescent="0.3">
      <c r="A876" s="370">
        <v>153</v>
      </c>
      <c r="B876" s="370" t="s">
        <v>62</v>
      </c>
      <c r="C876" s="37">
        <v>2790</v>
      </c>
      <c r="D876" s="370">
        <v>1</v>
      </c>
      <c r="E876" s="370" t="s">
        <v>250</v>
      </c>
      <c r="F876" s="367">
        <v>1450</v>
      </c>
      <c r="G876" s="367">
        <v>1200</v>
      </c>
      <c r="H876" s="370" t="s">
        <v>251</v>
      </c>
      <c r="I876" s="370">
        <v>350</v>
      </c>
      <c r="J876" s="370" t="s">
        <v>45</v>
      </c>
      <c r="K876" s="370">
        <v>70</v>
      </c>
      <c r="L876" s="367">
        <v>106.5</v>
      </c>
      <c r="M876" s="358" t="s">
        <v>14</v>
      </c>
      <c r="N876" s="399" t="s">
        <v>234</v>
      </c>
      <c r="O876" s="367" t="s">
        <v>27</v>
      </c>
      <c r="P876" s="290"/>
      <c r="Q876" s="367" t="s">
        <v>252</v>
      </c>
    </row>
    <row r="877" spans="1:20" ht="15" customHeight="1" x14ac:dyDescent="0.3">
      <c r="A877" s="371"/>
      <c r="B877" s="371"/>
      <c r="C877" s="38">
        <v>8749</v>
      </c>
      <c r="D877" s="371"/>
      <c r="E877" s="371"/>
      <c r="F877" s="368"/>
      <c r="G877" s="368"/>
      <c r="H877" s="371"/>
      <c r="I877" s="371"/>
      <c r="J877" s="371"/>
      <c r="K877" s="371"/>
      <c r="L877" s="368"/>
      <c r="M877" s="359"/>
      <c r="N877" s="400"/>
      <c r="O877" s="368"/>
      <c r="P877" s="226">
        <v>44095</v>
      </c>
      <c r="Q877" s="368"/>
    </row>
    <row r="878" spans="1:20" ht="15" customHeight="1" thickBot="1" x14ac:dyDescent="0.35">
      <c r="A878" s="372"/>
      <c r="B878" s="372"/>
      <c r="C878" s="39">
        <v>7527</v>
      </c>
      <c r="D878" s="372"/>
      <c r="E878" s="372"/>
      <c r="F878" s="369"/>
      <c r="G878" s="369"/>
      <c r="H878" s="372"/>
      <c r="I878" s="372"/>
      <c r="J878" s="372"/>
      <c r="K878" s="372"/>
      <c r="L878" s="369"/>
      <c r="M878" s="360"/>
      <c r="N878" s="401"/>
      <c r="O878" s="369"/>
      <c r="P878" s="292"/>
      <c r="Q878" s="369"/>
      <c r="T878" s="200">
        <v>1</v>
      </c>
    </row>
    <row r="879" spans="1:20" ht="15" hidden="1" customHeight="1" x14ac:dyDescent="0.3">
      <c r="A879" s="367">
        <v>154</v>
      </c>
      <c r="B879" s="367" t="s">
        <v>270</v>
      </c>
      <c r="C879" s="40">
        <v>15630</v>
      </c>
      <c r="D879" s="367">
        <v>1</v>
      </c>
      <c r="E879" s="367" t="s">
        <v>271</v>
      </c>
      <c r="F879" s="367">
        <v>1450</v>
      </c>
      <c r="G879" s="367">
        <v>1200</v>
      </c>
      <c r="H879" s="367" t="s">
        <v>50</v>
      </c>
      <c r="I879" s="367">
        <v>30</v>
      </c>
      <c r="J879" s="370" t="s">
        <v>272</v>
      </c>
      <c r="K879" s="367">
        <v>0</v>
      </c>
      <c r="L879" s="367">
        <v>30</v>
      </c>
      <c r="M879" s="358" t="s">
        <v>14</v>
      </c>
      <c r="N879" s="396" t="s">
        <v>273</v>
      </c>
      <c r="O879" s="367" t="s">
        <v>27</v>
      </c>
      <c r="P879" s="65"/>
      <c r="Q879" s="367" t="s">
        <v>240</v>
      </c>
      <c r="T879" s="200">
        <v>1</v>
      </c>
    </row>
    <row r="880" spans="1:20" ht="15" customHeight="1" x14ac:dyDescent="0.3">
      <c r="A880" s="368"/>
      <c r="B880" s="368"/>
      <c r="C880" s="41">
        <v>12765</v>
      </c>
      <c r="D880" s="368"/>
      <c r="E880" s="368"/>
      <c r="F880" s="368"/>
      <c r="G880" s="368"/>
      <c r="H880" s="368"/>
      <c r="I880" s="368"/>
      <c r="J880" s="371"/>
      <c r="K880" s="368"/>
      <c r="L880" s="368"/>
      <c r="M880" s="359"/>
      <c r="N880" s="397"/>
      <c r="O880" s="368"/>
      <c r="P880" s="226">
        <v>44066</v>
      </c>
      <c r="Q880" s="368"/>
    </row>
    <row r="881" spans="1:20" ht="15" customHeight="1" thickBot="1" x14ac:dyDescent="0.35">
      <c r="A881" s="369"/>
      <c r="B881" s="369"/>
      <c r="C881" s="42">
        <v>7527</v>
      </c>
      <c r="D881" s="369"/>
      <c r="E881" s="369"/>
      <c r="F881" s="369"/>
      <c r="G881" s="369"/>
      <c r="H881" s="369"/>
      <c r="I881" s="369"/>
      <c r="J881" s="372"/>
      <c r="K881" s="369"/>
      <c r="L881" s="369"/>
      <c r="M881" s="360"/>
      <c r="N881" s="398"/>
      <c r="O881" s="369"/>
      <c r="P881" s="67"/>
      <c r="Q881" s="369"/>
    </row>
    <row r="882" spans="1:20" ht="30" hidden="1" customHeight="1" x14ac:dyDescent="0.3">
      <c r="A882" s="370">
        <v>155</v>
      </c>
      <c r="B882" s="370" t="s">
        <v>274</v>
      </c>
      <c r="C882" s="37">
        <v>15800</v>
      </c>
      <c r="D882" s="370">
        <v>2</v>
      </c>
      <c r="E882" s="370" t="s">
        <v>168</v>
      </c>
      <c r="F882" s="367">
        <v>1450</v>
      </c>
      <c r="G882" s="367">
        <v>1200</v>
      </c>
      <c r="H882" s="370" t="s">
        <v>50</v>
      </c>
      <c r="I882" s="370">
        <v>300</v>
      </c>
      <c r="J882" s="370" t="s">
        <v>45</v>
      </c>
      <c r="K882" s="370" t="s">
        <v>275</v>
      </c>
      <c r="L882" s="367" t="s">
        <v>13</v>
      </c>
      <c r="M882" s="358" t="s">
        <v>14</v>
      </c>
      <c r="N882" s="399" t="s">
        <v>273</v>
      </c>
      <c r="O882" s="367" t="s">
        <v>27</v>
      </c>
      <c r="P882" s="218"/>
      <c r="Q882" s="370" t="s">
        <v>243</v>
      </c>
    </row>
    <row r="883" spans="1:20" ht="30" customHeight="1" thickBot="1" x14ac:dyDescent="0.35">
      <c r="A883" s="371"/>
      <c r="B883" s="372"/>
      <c r="C883" s="38">
        <v>12520</v>
      </c>
      <c r="D883" s="371"/>
      <c r="E883" s="372"/>
      <c r="F883" s="368"/>
      <c r="G883" s="368"/>
      <c r="H883" s="371"/>
      <c r="I883" s="372"/>
      <c r="J883" s="372"/>
      <c r="K883" s="371"/>
      <c r="L883" s="368"/>
      <c r="M883" s="359"/>
      <c r="N883" s="400"/>
      <c r="O883" s="368"/>
      <c r="P883" s="226">
        <v>44072</v>
      </c>
      <c r="Q883" s="371"/>
      <c r="R883" s="186">
        <v>44072</v>
      </c>
      <c r="T883" s="200">
        <v>1</v>
      </c>
    </row>
    <row r="884" spans="1:20" ht="30" customHeight="1" thickBot="1" x14ac:dyDescent="0.35">
      <c r="A884" s="372"/>
      <c r="B884" s="39" t="s">
        <v>274</v>
      </c>
      <c r="C884" s="39">
        <v>7527</v>
      </c>
      <c r="D884" s="372"/>
      <c r="E884" s="39" t="s">
        <v>168</v>
      </c>
      <c r="F884" s="369"/>
      <c r="G884" s="369"/>
      <c r="H884" s="372"/>
      <c r="I884" s="39">
        <v>60</v>
      </c>
      <c r="J884" s="39" t="s">
        <v>45</v>
      </c>
      <c r="K884" s="372"/>
      <c r="L884" s="369"/>
      <c r="M884" s="360"/>
      <c r="N884" s="401"/>
      <c r="O884" s="369"/>
      <c r="P884" s="220"/>
      <c r="Q884" s="372"/>
    </row>
    <row r="885" spans="1:20" ht="15" hidden="1" customHeight="1" x14ac:dyDescent="0.3">
      <c r="A885" s="370">
        <v>156</v>
      </c>
      <c r="B885" s="370" t="s">
        <v>191</v>
      </c>
      <c r="C885" s="37">
        <v>15880</v>
      </c>
      <c r="D885" s="370">
        <v>1</v>
      </c>
      <c r="E885" s="370" t="s">
        <v>49</v>
      </c>
      <c r="F885" s="367">
        <v>1450</v>
      </c>
      <c r="G885" s="367">
        <v>1200</v>
      </c>
      <c r="H885" s="370" t="s">
        <v>25</v>
      </c>
      <c r="I885" s="370">
        <v>30</v>
      </c>
      <c r="J885" s="370" t="s">
        <v>276</v>
      </c>
      <c r="K885" s="370">
        <v>0</v>
      </c>
      <c r="L885" s="367">
        <v>45</v>
      </c>
      <c r="M885" s="358" t="s">
        <v>14</v>
      </c>
      <c r="N885" s="399" t="s">
        <v>273</v>
      </c>
      <c r="O885" s="367" t="s">
        <v>27</v>
      </c>
      <c r="P885" s="65"/>
      <c r="Q885" s="367" t="s">
        <v>277</v>
      </c>
    </row>
    <row r="886" spans="1:20" ht="15" customHeight="1" x14ac:dyDescent="0.3">
      <c r="A886" s="371"/>
      <c r="B886" s="371"/>
      <c r="C886" s="38">
        <v>11760</v>
      </c>
      <c r="D886" s="371"/>
      <c r="E886" s="371"/>
      <c r="F886" s="368"/>
      <c r="G886" s="368"/>
      <c r="H886" s="371"/>
      <c r="I886" s="371"/>
      <c r="J886" s="371"/>
      <c r="K886" s="371"/>
      <c r="L886" s="368"/>
      <c r="M886" s="359"/>
      <c r="N886" s="400"/>
      <c r="O886" s="368"/>
      <c r="P886" s="226">
        <v>44066</v>
      </c>
      <c r="Q886" s="368"/>
      <c r="T886" s="200">
        <v>1</v>
      </c>
    </row>
    <row r="887" spans="1:20" ht="15" customHeight="1" thickBot="1" x14ac:dyDescent="0.35">
      <c r="A887" s="372"/>
      <c r="B887" s="372"/>
      <c r="C887" s="39">
        <v>7527</v>
      </c>
      <c r="D887" s="372"/>
      <c r="E887" s="372"/>
      <c r="F887" s="369"/>
      <c r="G887" s="369"/>
      <c r="H887" s="372"/>
      <c r="I887" s="372"/>
      <c r="J887" s="372"/>
      <c r="K887" s="372"/>
      <c r="L887" s="369"/>
      <c r="M887" s="360"/>
      <c r="N887" s="401"/>
      <c r="O887" s="369"/>
      <c r="P887" s="67"/>
      <c r="Q887" s="369"/>
    </row>
    <row r="888" spans="1:20" ht="15" hidden="1" customHeight="1" x14ac:dyDescent="0.3">
      <c r="A888" s="367">
        <v>157</v>
      </c>
      <c r="B888" s="367" t="s">
        <v>230</v>
      </c>
      <c r="C888" s="40">
        <v>15115</v>
      </c>
      <c r="D888" s="367">
        <v>1</v>
      </c>
      <c r="E888" s="367" t="s">
        <v>161</v>
      </c>
      <c r="F888" s="367">
        <v>1450</v>
      </c>
      <c r="G888" s="367">
        <v>1200</v>
      </c>
      <c r="H888" s="367" t="s">
        <v>25</v>
      </c>
      <c r="I888" s="367">
        <v>150</v>
      </c>
      <c r="J888" s="370" t="s">
        <v>45</v>
      </c>
      <c r="K888" s="367">
        <v>40</v>
      </c>
      <c r="L888" s="367">
        <v>17.5</v>
      </c>
      <c r="M888" s="358" t="s">
        <v>14</v>
      </c>
      <c r="N888" s="396" t="s">
        <v>273</v>
      </c>
      <c r="O888" s="367" t="s">
        <v>27</v>
      </c>
      <c r="P888" s="218"/>
      <c r="Q888" s="367" t="s">
        <v>260</v>
      </c>
    </row>
    <row r="889" spans="1:20" ht="15" customHeight="1" x14ac:dyDescent="0.3">
      <c r="A889" s="368"/>
      <c r="B889" s="368"/>
      <c r="C889" s="41">
        <v>11185</v>
      </c>
      <c r="D889" s="368"/>
      <c r="E889" s="368"/>
      <c r="F889" s="368"/>
      <c r="G889" s="368"/>
      <c r="H889" s="368"/>
      <c r="I889" s="368"/>
      <c r="J889" s="371"/>
      <c r="K889" s="368"/>
      <c r="L889" s="368"/>
      <c r="M889" s="359"/>
      <c r="N889" s="397"/>
      <c r="O889" s="368"/>
      <c r="P889" s="226">
        <v>44072</v>
      </c>
      <c r="Q889" s="368"/>
      <c r="R889" s="186">
        <v>44072</v>
      </c>
      <c r="T889" s="200">
        <v>1</v>
      </c>
    </row>
    <row r="890" spans="1:20" ht="15" customHeight="1" thickBot="1" x14ac:dyDescent="0.35">
      <c r="A890" s="369"/>
      <c r="B890" s="369"/>
      <c r="C890" s="42">
        <v>7527</v>
      </c>
      <c r="D890" s="369"/>
      <c r="E890" s="369"/>
      <c r="F890" s="369"/>
      <c r="G890" s="369"/>
      <c r="H890" s="369"/>
      <c r="I890" s="369"/>
      <c r="J890" s="372"/>
      <c r="K890" s="369"/>
      <c r="L890" s="369"/>
      <c r="M890" s="360"/>
      <c r="N890" s="398"/>
      <c r="O890" s="369"/>
      <c r="P890" s="220"/>
      <c r="Q890" s="369"/>
    </row>
    <row r="891" spans="1:20" ht="15" hidden="1" customHeight="1" x14ac:dyDescent="0.3">
      <c r="A891" s="367">
        <v>158</v>
      </c>
      <c r="B891" s="367" t="s">
        <v>160</v>
      </c>
      <c r="C891" s="40">
        <v>16950</v>
      </c>
      <c r="D891" s="367">
        <v>1</v>
      </c>
      <c r="E891" s="367" t="s">
        <v>12</v>
      </c>
      <c r="F891" s="367">
        <v>1450</v>
      </c>
      <c r="G891" s="367">
        <v>1200</v>
      </c>
      <c r="H891" s="367" t="s">
        <v>96</v>
      </c>
      <c r="I891" s="367">
        <v>100</v>
      </c>
      <c r="J891" s="370" t="s">
        <v>45</v>
      </c>
      <c r="K891" s="367">
        <v>30</v>
      </c>
      <c r="L891" s="367">
        <v>38.5</v>
      </c>
      <c r="M891" s="358" t="s">
        <v>14</v>
      </c>
      <c r="N891" s="396" t="s">
        <v>273</v>
      </c>
      <c r="O891" s="367" t="s">
        <v>27</v>
      </c>
      <c r="P891" s="65"/>
      <c r="Q891" s="370" t="s">
        <v>278</v>
      </c>
      <c r="T891" s="200">
        <v>1</v>
      </c>
    </row>
    <row r="892" spans="1:20" ht="15" customHeight="1" x14ac:dyDescent="0.3">
      <c r="A892" s="368"/>
      <c r="B892" s="368"/>
      <c r="C892" s="41">
        <v>10185</v>
      </c>
      <c r="D892" s="368"/>
      <c r="E892" s="368"/>
      <c r="F892" s="368"/>
      <c r="G892" s="368"/>
      <c r="H892" s="368"/>
      <c r="I892" s="368"/>
      <c r="J892" s="371"/>
      <c r="K892" s="368"/>
      <c r="L892" s="368"/>
      <c r="M892" s="359"/>
      <c r="N892" s="397"/>
      <c r="O892" s="368"/>
      <c r="P892" s="226">
        <v>44066</v>
      </c>
      <c r="Q892" s="371"/>
    </row>
    <row r="893" spans="1:20" ht="15" customHeight="1" thickBot="1" x14ac:dyDescent="0.35">
      <c r="A893" s="369"/>
      <c r="B893" s="369"/>
      <c r="C893" s="42">
        <v>7527</v>
      </c>
      <c r="D893" s="369"/>
      <c r="E893" s="369"/>
      <c r="F893" s="369"/>
      <c r="G893" s="369"/>
      <c r="H893" s="369"/>
      <c r="I893" s="369"/>
      <c r="J893" s="372"/>
      <c r="K893" s="369"/>
      <c r="L893" s="369"/>
      <c r="M893" s="360"/>
      <c r="N893" s="398"/>
      <c r="O893" s="369"/>
      <c r="P893" s="67"/>
      <c r="Q893" s="372"/>
    </row>
    <row r="894" spans="1:20" ht="15" hidden="1" customHeight="1" x14ac:dyDescent="0.3">
      <c r="A894" s="367">
        <v>159</v>
      </c>
      <c r="B894" s="367" t="s">
        <v>174</v>
      </c>
      <c r="C894" s="40">
        <v>10705</v>
      </c>
      <c r="D894" s="370">
        <v>0</v>
      </c>
      <c r="E894" s="367" t="s">
        <v>13</v>
      </c>
      <c r="F894" s="367">
        <v>1450</v>
      </c>
      <c r="G894" s="367">
        <v>1200</v>
      </c>
      <c r="H894" s="367" t="s">
        <v>50</v>
      </c>
      <c r="I894" s="367" t="s">
        <v>13</v>
      </c>
      <c r="J894" s="367" t="s">
        <v>13</v>
      </c>
      <c r="K894" s="367" t="s">
        <v>13</v>
      </c>
      <c r="L894" s="367" t="s">
        <v>13</v>
      </c>
      <c r="M894" s="358" t="s">
        <v>14</v>
      </c>
      <c r="N894" s="396" t="s">
        <v>273</v>
      </c>
      <c r="O894" s="367" t="s">
        <v>27</v>
      </c>
      <c r="P894" s="65"/>
      <c r="Q894" s="367" t="s">
        <v>176</v>
      </c>
      <c r="T894" s="200">
        <v>1</v>
      </c>
    </row>
    <row r="895" spans="1:20" ht="15" customHeight="1" x14ac:dyDescent="0.3">
      <c r="A895" s="368"/>
      <c r="B895" s="368"/>
      <c r="C895" s="41">
        <v>8160</v>
      </c>
      <c r="D895" s="371"/>
      <c r="E895" s="368"/>
      <c r="F895" s="368"/>
      <c r="G895" s="368"/>
      <c r="H895" s="368"/>
      <c r="I895" s="368"/>
      <c r="J895" s="368"/>
      <c r="K895" s="368"/>
      <c r="L895" s="368"/>
      <c r="M895" s="359"/>
      <c r="N895" s="397"/>
      <c r="O895" s="368"/>
      <c r="P895" s="226">
        <v>44068</v>
      </c>
      <c r="Q895" s="368"/>
    </row>
    <row r="896" spans="1:20" ht="15" customHeight="1" thickBot="1" x14ac:dyDescent="0.35">
      <c r="A896" s="369"/>
      <c r="B896" s="369"/>
      <c r="C896" s="42">
        <v>7527</v>
      </c>
      <c r="D896" s="372"/>
      <c r="E896" s="369"/>
      <c r="F896" s="369"/>
      <c r="G896" s="369"/>
      <c r="H896" s="369"/>
      <c r="I896" s="369"/>
      <c r="J896" s="369"/>
      <c r="K896" s="369"/>
      <c r="L896" s="369"/>
      <c r="M896" s="360"/>
      <c r="N896" s="398"/>
      <c r="O896" s="369"/>
      <c r="P896" s="67"/>
      <c r="Q896" s="369"/>
    </row>
    <row r="897" spans="1:20" ht="15" hidden="1" customHeight="1" x14ac:dyDescent="0.3">
      <c r="A897" s="367">
        <v>160</v>
      </c>
      <c r="B897" s="367" t="s">
        <v>230</v>
      </c>
      <c r="C897" s="40">
        <v>10850</v>
      </c>
      <c r="D897" s="367">
        <v>1</v>
      </c>
      <c r="E897" s="367" t="s">
        <v>161</v>
      </c>
      <c r="F897" s="367">
        <v>1450</v>
      </c>
      <c r="G897" s="367">
        <v>1200</v>
      </c>
      <c r="H897" s="367" t="s">
        <v>50</v>
      </c>
      <c r="I897" s="367">
        <v>150</v>
      </c>
      <c r="J897" s="370" t="s">
        <v>45</v>
      </c>
      <c r="K897" s="367">
        <v>40</v>
      </c>
      <c r="L897" s="367">
        <v>-7</v>
      </c>
      <c r="M897" s="358" t="s">
        <v>14</v>
      </c>
      <c r="N897" s="396" t="s">
        <v>273</v>
      </c>
      <c r="O897" s="367" t="s">
        <v>27</v>
      </c>
      <c r="P897" s="184"/>
      <c r="Q897" s="367" t="s">
        <v>243</v>
      </c>
      <c r="R897" s="193">
        <v>44068</v>
      </c>
      <c r="T897" s="200">
        <v>1</v>
      </c>
    </row>
    <row r="898" spans="1:20" ht="15" customHeight="1" x14ac:dyDescent="0.3">
      <c r="A898" s="368"/>
      <c r="B898" s="368"/>
      <c r="C898" s="41">
        <v>7955</v>
      </c>
      <c r="D898" s="368"/>
      <c r="E898" s="368"/>
      <c r="F898" s="368"/>
      <c r="G898" s="368"/>
      <c r="H898" s="368"/>
      <c r="I898" s="368"/>
      <c r="J898" s="371"/>
      <c r="K898" s="368"/>
      <c r="L898" s="368"/>
      <c r="M898" s="359"/>
      <c r="N898" s="397"/>
      <c r="O898" s="368"/>
      <c r="P898" s="226">
        <v>44066</v>
      </c>
      <c r="Q898" s="368"/>
    </row>
    <row r="899" spans="1:20" ht="15" customHeight="1" thickBot="1" x14ac:dyDescent="0.35">
      <c r="A899" s="369"/>
      <c r="B899" s="369"/>
      <c r="C899" s="42">
        <v>7527</v>
      </c>
      <c r="D899" s="369"/>
      <c r="E899" s="369"/>
      <c r="F899" s="369"/>
      <c r="G899" s="369"/>
      <c r="H899" s="369"/>
      <c r="I899" s="369"/>
      <c r="J899" s="372"/>
      <c r="K899" s="369"/>
      <c r="L899" s="369"/>
      <c r="M899" s="360"/>
      <c r="N899" s="398"/>
      <c r="O899" s="369"/>
      <c r="P899" s="185"/>
      <c r="Q899" s="369"/>
    </row>
    <row r="900" spans="1:20" ht="15" hidden="1" customHeight="1" x14ac:dyDescent="0.3">
      <c r="A900" s="367">
        <v>161</v>
      </c>
      <c r="B900" s="367" t="s">
        <v>191</v>
      </c>
      <c r="C900" s="40">
        <v>7695</v>
      </c>
      <c r="D900" s="367">
        <v>1</v>
      </c>
      <c r="E900" s="367" t="s">
        <v>255</v>
      </c>
      <c r="F900" s="367">
        <v>1450</v>
      </c>
      <c r="G900" s="367">
        <v>1200</v>
      </c>
      <c r="H900" s="367" t="s">
        <v>50</v>
      </c>
      <c r="I900" s="367">
        <v>150</v>
      </c>
      <c r="J900" s="370" t="s">
        <v>45</v>
      </c>
      <c r="K900" s="367">
        <v>30</v>
      </c>
      <c r="L900" s="367">
        <v>6.5</v>
      </c>
      <c r="M900" s="358" t="s">
        <v>14</v>
      </c>
      <c r="N900" s="396" t="s">
        <v>234</v>
      </c>
      <c r="O900" s="367" t="s">
        <v>27</v>
      </c>
      <c r="P900" s="316"/>
      <c r="Q900" s="367" t="s">
        <v>256</v>
      </c>
    </row>
    <row r="901" spans="1:20" ht="15" customHeight="1" x14ac:dyDescent="0.3">
      <c r="A901" s="368"/>
      <c r="B901" s="368"/>
      <c r="C901" s="41">
        <v>6790</v>
      </c>
      <c r="D901" s="368"/>
      <c r="E901" s="368"/>
      <c r="F901" s="368"/>
      <c r="G901" s="368"/>
      <c r="H901" s="368"/>
      <c r="I901" s="368"/>
      <c r="J901" s="371"/>
      <c r="K901" s="368"/>
      <c r="L901" s="368"/>
      <c r="M901" s="359"/>
      <c r="N901" s="397"/>
      <c r="O901" s="368"/>
      <c r="P901" s="226">
        <v>44096</v>
      </c>
      <c r="Q901" s="368"/>
      <c r="R901" s="186">
        <v>44096</v>
      </c>
      <c r="T901" s="200">
        <v>1</v>
      </c>
    </row>
    <row r="902" spans="1:20" ht="15" customHeight="1" thickBot="1" x14ac:dyDescent="0.35">
      <c r="A902" s="369"/>
      <c r="B902" s="369"/>
      <c r="C902" s="42">
        <v>7527</v>
      </c>
      <c r="D902" s="369"/>
      <c r="E902" s="369"/>
      <c r="F902" s="369"/>
      <c r="G902" s="369"/>
      <c r="H902" s="369"/>
      <c r="I902" s="369"/>
      <c r="J902" s="372"/>
      <c r="K902" s="369"/>
      <c r="L902" s="369"/>
      <c r="M902" s="360"/>
      <c r="N902" s="398"/>
      <c r="O902" s="369"/>
      <c r="P902" s="317"/>
      <c r="Q902" s="369"/>
    </row>
    <row r="903" spans="1:20" ht="15" hidden="1" customHeight="1" x14ac:dyDescent="0.3">
      <c r="A903" s="367">
        <v>162</v>
      </c>
      <c r="B903" s="367" t="s">
        <v>191</v>
      </c>
      <c r="C903" s="40">
        <v>7490</v>
      </c>
      <c r="D903" s="367">
        <v>1</v>
      </c>
      <c r="E903" s="367" t="s">
        <v>255</v>
      </c>
      <c r="F903" s="367">
        <v>1450</v>
      </c>
      <c r="G903" s="367">
        <v>1200</v>
      </c>
      <c r="H903" s="367" t="s">
        <v>50</v>
      </c>
      <c r="I903" s="367">
        <v>150</v>
      </c>
      <c r="J903" s="370" t="s">
        <v>45</v>
      </c>
      <c r="K903" s="367">
        <v>30</v>
      </c>
      <c r="L903" s="367">
        <v>6.5</v>
      </c>
      <c r="M903" s="358" t="s">
        <v>14</v>
      </c>
      <c r="N903" s="396" t="s">
        <v>234</v>
      </c>
      <c r="O903" s="367" t="s">
        <v>27</v>
      </c>
      <c r="P903" s="316"/>
      <c r="Q903" s="367" t="s">
        <v>256</v>
      </c>
    </row>
    <row r="904" spans="1:20" ht="15" customHeight="1" x14ac:dyDescent="0.3">
      <c r="A904" s="368"/>
      <c r="B904" s="368"/>
      <c r="C904" s="41">
        <v>6645</v>
      </c>
      <c r="D904" s="368"/>
      <c r="E904" s="368"/>
      <c r="F904" s="368"/>
      <c r="G904" s="368"/>
      <c r="H904" s="368"/>
      <c r="I904" s="368"/>
      <c r="J904" s="371"/>
      <c r="K904" s="368"/>
      <c r="L904" s="368"/>
      <c r="M904" s="359"/>
      <c r="N904" s="397"/>
      <c r="O904" s="368"/>
      <c r="P904" s="226">
        <v>44096</v>
      </c>
      <c r="Q904" s="368"/>
      <c r="R904" s="186">
        <v>44096</v>
      </c>
    </row>
    <row r="905" spans="1:20" ht="15" customHeight="1" thickBot="1" x14ac:dyDescent="0.35">
      <c r="A905" s="369"/>
      <c r="B905" s="369"/>
      <c r="C905" s="42">
        <v>7527</v>
      </c>
      <c r="D905" s="369"/>
      <c r="E905" s="369"/>
      <c r="F905" s="369"/>
      <c r="G905" s="369"/>
      <c r="H905" s="369"/>
      <c r="I905" s="369"/>
      <c r="J905" s="372"/>
      <c r="K905" s="369"/>
      <c r="L905" s="369"/>
      <c r="M905" s="360"/>
      <c r="N905" s="398"/>
      <c r="O905" s="369"/>
      <c r="P905" s="317"/>
      <c r="Q905" s="369"/>
      <c r="T905" s="200">
        <v>1</v>
      </c>
    </row>
    <row r="906" spans="1:20" ht="15" hidden="1" customHeight="1" x14ac:dyDescent="0.3">
      <c r="A906" s="367">
        <v>163</v>
      </c>
      <c r="B906" s="367" t="s">
        <v>174</v>
      </c>
      <c r="C906" s="40">
        <v>4360</v>
      </c>
      <c r="D906" s="370">
        <v>0</v>
      </c>
      <c r="E906" s="367" t="s">
        <v>13</v>
      </c>
      <c r="F906" s="367">
        <v>1450</v>
      </c>
      <c r="G906" s="367">
        <v>1200</v>
      </c>
      <c r="H906" s="370" t="s">
        <v>187</v>
      </c>
      <c r="I906" s="367" t="s">
        <v>13</v>
      </c>
      <c r="J906" s="367" t="s">
        <v>13</v>
      </c>
      <c r="K906" s="367" t="s">
        <v>13</v>
      </c>
      <c r="L906" s="367" t="s">
        <v>13</v>
      </c>
      <c r="M906" s="358" t="s">
        <v>14</v>
      </c>
      <c r="N906" s="396" t="s">
        <v>234</v>
      </c>
      <c r="O906" s="367" t="s">
        <v>27</v>
      </c>
      <c r="P906" s="65"/>
      <c r="Q906" s="367" t="s">
        <v>244</v>
      </c>
    </row>
    <row r="907" spans="1:20" ht="15" customHeight="1" x14ac:dyDescent="0.3">
      <c r="A907" s="368"/>
      <c r="B907" s="368"/>
      <c r="C907" s="41">
        <v>4000</v>
      </c>
      <c r="D907" s="371"/>
      <c r="E907" s="368"/>
      <c r="F907" s="368"/>
      <c r="G907" s="368"/>
      <c r="H907" s="371"/>
      <c r="I907" s="368"/>
      <c r="J907" s="368"/>
      <c r="K907" s="368"/>
      <c r="L907" s="368"/>
      <c r="M907" s="359"/>
      <c r="N907" s="397"/>
      <c r="O907" s="368"/>
      <c r="P907" s="226">
        <v>44066</v>
      </c>
      <c r="Q907" s="368"/>
      <c r="T907" s="200">
        <v>1</v>
      </c>
    </row>
    <row r="908" spans="1:20" ht="15" customHeight="1" thickBot="1" x14ac:dyDescent="0.35">
      <c r="A908" s="369"/>
      <c r="B908" s="369"/>
      <c r="C908" s="42">
        <v>7527</v>
      </c>
      <c r="D908" s="372"/>
      <c r="E908" s="369"/>
      <c r="F908" s="369"/>
      <c r="G908" s="369"/>
      <c r="H908" s="372"/>
      <c r="I908" s="369"/>
      <c r="J908" s="369"/>
      <c r="K908" s="369"/>
      <c r="L908" s="369"/>
      <c r="M908" s="360"/>
      <c r="N908" s="398"/>
      <c r="O908" s="369"/>
      <c r="P908" s="67"/>
      <c r="Q908" s="369"/>
    </row>
    <row r="909" spans="1:20" ht="15" hidden="1" customHeight="1" x14ac:dyDescent="0.3">
      <c r="A909" s="367">
        <v>164</v>
      </c>
      <c r="B909" s="367" t="s">
        <v>174</v>
      </c>
      <c r="C909" s="40">
        <v>4345</v>
      </c>
      <c r="D909" s="370">
        <v>0</v>
      </c>
      <c r="E909" s="367" t="s">
        <v>13</v>
      </c>
      <c r="F909" s="367">
        <v>1450</v>
      </c>
      <c r="G909" s="367">
        <v>1200</v>
      </c>
      <c r="H909" s="367" t="s">
        <v>50</v>
      </c>
      <c r="I909" s="367" t="s">
        <v>13</v>
      </c>
      <c r="J909" s="367" t="s">
        <v>13</v>
      </c>
      <c r="K909" s="367" t="s">
        <v>13</v>
      </c>
      <c r="L909" s="367" t="s">
        <v>13</v>
      </c>
      <c r="M909" s="358" t="s">
        <v>14</v>
      </c>
      <c r="N909" s="396" t="s">
        <v>234</v>
      </c>
      <c r="O909" s="367" t="s">
        <v>27</v>
      </c>
      <c r="P909" s="65"/>
      <c r="Q909" s="367" t="s">
        <v>176</v>
      </c>
      <c r="T909" s="200">
        <v>1</v>
      </c>
    </row>
    <row r="910" spans="1:20" ht="15" customHeight="1" x14ac:dyDescent="0.3">
      <c r="A910" s="368"/>
      <c r="B910" s="368"/>
      <c r="C910" s="41">
        <v>3610</v>
      </c>
      <c r="D910" s="371"/>
      <c r="E910" s="368"/>
      <c r="F910" s="368"/>
      <c r="G910" s="368"/>
      <c r="H910" s="368"/>
      <c r="I910" s="368"/>
      <c r="J910" s="368"/>
      <c r="K910" s="368"/>
      <c r="L910" s="368"/>
      <c r="M910" s="359"/>
      <c r="N910" s="397"/>
      <c r="O910" s="368"/>
      <c r="P910" s="226">
        <v>44066</v>
      </c>
      <c r="Q910" s="368"/>
    </row>
    <row r="911" spans="1:20" ht="15" customHeight="1" thickBot="1" x14ac:dyDescent="0.35">
      <c r="A911" s="369"/>
      <c r="B911" s="369"/>
      <c r="C911" s="42">
        <v>7527</v>
      </c>
      <c r="D911" s="372"/>
      <c r="E911" s="369"/>
      <c r="F911" s="369"/>
      <c r="G911" s="369"/>
      <c r="H911" s="369"/>
      <c r="I911" s="369"/>
      <c r="J911" s="369"/>
      <c r="K911" s="369"/>
      <c r="L911" s="369"/>
      <c r="M911" s="360"/>
      <c r="N911" s="398"/>
      <c r="O911" s="369"/>
      <c r="P911" s="67"/>
      <c r="Q911" s="369"/>
    </row>
    <row r="912" spans="1:20" ht="15" hidden="1" customHeight="1" x14ac:dyDescent="0.3">
      <c r="A912" s="367">
        <v>165</v>
      </c>
      <c r="B912" s="367" t="s">
        <v>59</v>
      </c>
      <c r="C912" s="40">
        <v>7050</v>
      </c>
      <c r="D912" s="367">
        <v>1</v>
      </c>
      <c r="E912" s="367" t="s">
        <v>250</v>
      </c>
      <c r="F912" s="367">
        <v>1450</v>
      </c>
      <c r="G912" s="367">
        <v>1200</v>
      </c>
      <c r="H912" s="367" t="s">
        <v>251</v>
      </c>
      <c r="I912" s="367">
        <v>20</v>
      </c>
      <c r="J912" s="367" t="s">
        <v>279</v>
      </c>
      <c r="K912" s="367">
        <v>0</v>
      </c>
      <c r="L912" s="367">
        <v>176.5</v>
      </c>
      <c r="M912" s="358" t="s">
        <v>14</v>
      </c>
      <c r="N912" s="396" t="s">
        <v>234</v>
      </c>
      <c r="O912" s="367" t="s">
        <v>27</v>
      </c>
      <c r="P912" s="65"/>
      <c r="Q912" s="367" t="s">
        <v>280</v>
      </c>
      <c r="R912" s="186">
        <v>44070</v>
      </c>
      <c r="T912" s="200">
        <v>1</v>
      </c>
    </row>
    <row r="913" spans="1:20" ht="15" customHeight="1" x14ac:dyDescent="0.3">
      <c r="A913" s="368"/>
      <c r="B913" s="368"/>
      <c r="C913" s="41">
        <v>4350</v>
      </c>
      <c r="D913" s="368"/>
      <c r="E913" s="368"/>
      <c r="F913" s="368"/>
      <c r="G913" s="368"/>
      <c r="H913" s="368"/>
      <c r="I913" s="368"/>
      <c r="J913" s="368"/>
      <c r="K913" s="368"/>
      <c r="L913" s="368"/>
      <c r="M913" s="359"/>
      <c r="N913" s="397"/>
      <c r="O913" s="368"/>
      <c r="P913" s="226">
        <v>44066</v>
      </c>
      <c r="Q913" s="368"/>
    </row>
    <row r="914" spans="1:20" ht="15" customHeight="1" thickBot="1" x14ac:dyDescent="0.35">
      <c r="A914" s="369"/>
      <c r="B914" s="369"/>
      <c r="C914" s="42">
        <v>7527</v>
      </c>
      <c r="D914" s="369"/>
      <c r="E914" s="369"/>
      <c r="F914" s="369"/>
      <c r="G914" s="369"/>
      <c r="H914" s="369"/>
      <c r="I914" s="369"/>
      <c r="J914" s="369"/>
      <c r="K914" s="369"/>
      <c r="L914" s="369"/>
      <c r="M914" s="360"/>
      <c r="N914" s="398"/>
      <c r="O914" s="369"/>
      <c r="P914" s="67"/>
      <c r="Q914" s="369"/>
    </row>
    <row r="915" spans="1:20" ht="15" hidden="1" customHeight="1" x14ac:dyDescent="0.3">
      <c r="A915" s="367">
        <v>166</v>
      </c>
      <c r="B915" s="367" t="s">
        <v>59</v>
      </c>
      <c r="C915" s="40">
        <v>7050</v>
      </c>
      <c r="D915" s="367">
        <v>1</v>
      </c>
      <c r="E915" s="367" t="s">
        <v>250</v>
      </c>
      <c r="F915" s="367">
        <v>1450</v>
      </c>
      <c r="G915" s="367">
        <v>1200</v>
      </c>
      <c r="H915" s="367" t="s">
        <v>251</v>
      </c>
      <c r="I915" s="367">
        <v>150</v>
      </c>
      <c r="J915" s="370" t="s">
        <v>45</v>
      </c>
      <c r="K915" s="367">
        <v>50</v>
      </c>
      <c r="L915" s="367">
        <v>126.5</v>
      </c>
      <c r="M915" s="358" t="s">
        <v>14</v>
      </c>
      <c r="N915" s="396" t="s">
        <v>234</v>
      </c>
      <c r="O915" s="367" t="s">
        <v>27</v>
      </c>
      <c r="P915" s="65"/>
      <c r="Q915" s="367" t="s">
        <v>252</v>
      </c>
      <c r="R915" s="186">
        <v>44070</v>
      </c>
      <c r="T915" s="200">
        <v>1</v>
      </c>
    </row>
    <row r="916" spans="1:20" ht="15" customHeight="1" x14ac:dyDescent="0.3">
      <c r="A916" s="368"/>
      <c r="B916" s="368"/>
      <c r="C916" s="41">
        <v>3600</v>
      </c>
      <c r="D916" s="368"/>
      <c r="E916" s="368"/>
      <c r="F916" s="368"/>
      <c r="G916" s="368"/>
      <c r="H916" s="368"/>
      <c r="I916" s="368"/>
      <c r="J916" s="371"/>
      <c r="K916" s="368"/>
      <c r="L916" s="368"/>
      <c r="M916" s="359"/>
      <c r="N916" s="397"/>
      <c r="O916" s="368"/>
      <c r="P916" s="226">
        <v>44066</v>
      </c>
      <c r="Q916" s="368"/>
    </row>
    <row r="917" spans="1:20" ht="15" customHeight="1" thickBot="1" x14ac:dyDescent="0.35">
      <c r="A917" s="369"/>
      <c r="B917" s="369"/>
      <c r="C917" s="42">
        <v>7527</v>
      </c>
      <c r="D917" s="369"/>
      <c r="E917" s="369"/>
      <c r="F917" s="369"/>
      <c r="G917" s="369"/>
      <c r="H917" s="369"/>
      <c r="I917" s="369"/>
      <c r="J917" s="372"/>
      <c r="K917" s="369"/>
      <c r="L917" s="369"/>
      <c r="M917" s="360"/>
      <c r="N917" s="398"/>
      <c r="O917" s="369"/>
      <c r="P917" s="67"/>
      <c r="Q917" s="369"/>
    </row>
    <row r="918" spans="1:20" ht="15" hidden="1" customHeight="1" x14ac:dyDescent="0.3">
      <c r="A918" s="367">
        <v>167</v>
      </c>
      <c r="B918" s="367" t="s">
        <v>191</v>
      </c>
      <c r="C918" s="40">
        <v>8085</v>
      </c>
      <c r="D918" s="367">
        <v>1</v>
      </c>
      <c r="E918" s="367" t="s">
        <v>168</v>
      </c>
      <c r="F918" s="367">
        <v>1450</v>
      </c>
      <c r="G918" s="367">
        <v>1200</v>
      </c>
      <c r="H918" s="367" t="s">
        <v>50</v>
      </c>
      <c r="I918" s="367">
        <v>150</v>
      </c>
      <c r="J918" s="370" t="s">
        <v>45</v>
      </c>
      <c r="K918" s="367">
        <v>30</v>
      </c>
      <c r="L918" s="367">
        <v>12</v>
      </c>
      <c r="M918" s="358" t="s">
        <v>14</v>
      </c>
      <c r="N918" s="396" t="s">
        <v>234</v>
      </c>
      <c r="O918" s="367" t="s">
        <v>27</v>
      </c>
      <c r="P918" s="316"/>
      <c r="Q918" s="370" t="s">
        <v>281</v>
      </c>
      <c r="R918" s="350">
        <v>44096</v>
      </c>
    </row>
    <row r="919" spans="1:20" ht="15" customHeight="1" x14ac:dyDescent="0.3">
      <c r="A919" s="368"/>
      <c r="B919" s="368"/>
      <c r="C919" s="41">
        <v>4350</v>
      </c>
      <c r="D919" s="368"/>
      <c r="E919" s="368"/>
      <c r="F919" s="368"/>
      <c r="G919" s="368"/>
      <c r="H919" s="368"/>
      <c r="I919" s="368"/>
      <c r="J919" s="371"/>
      <c r="K919" s="368"/>
      <c r="L919" s="368"/>
      <c r="M919" s="359"/>
      <c r="N919" s="397"/>
      <c r="O919" s="368"/>
      <c r="P919" s="226">
        <v>44096</v>
      </c>
      <c r="Q919" s="371"/>
      <c r="R919" s="351"/>
    </row>
    <row r="920" spans="1:20" ht="15" customHeight="1" thickBot="1" x14ac:dyDescent="0.35">
      <c r="A920" s="369"/>
      <c r="B920" s="369"/>
      <c r="C920" s="42">
        <v>7527</v>
      </c>
      <c r="D920" s="369"/>
      <c r="E920" s="369"/>
      <c r="F920" s="369"/>
      <c r="G920" s="369"/>
      <c r="H920" s="369"/>
      <c r="I920" s="369"/>
      <c r="J920" s="372"/>
      <c r="K920" s="369"/>
      <c r="L920" s="369"/>
      <c r="M920" s="360"/>
      <c r="N920" s="398"/>
      <c r="O920" s="369"/>
      <c r="P920" s="317"/>
      <c r="Q920" s="372"/>
      <c r="R920" s="351"/>
      <c r="T920" s="200">
        <v>1</v>
      </c>
    </row>
    <row r="921" spans="1:20" ht="15" hidden="1" customHeight="1" x14ac:dyDescent="0.3">
      <c r="A921" s="367">
        <v>168</v>
      </c>
      <c r="B921" s="367" t="s">
        <v>191</v>
      </c>
      <c r="C921" s="40">
        <v>9085</v>
      </c>
      <c r="D921" s="367">
        <v>1</v>
      </c>
      <c r="E921" s="367" t="s">
        <v>168</v>
      </c>
      <c r="F921" s="367">
        <v>1450</v>
      </c>
      <c r="G921" s="367">
        <v>1200</v>
      </c>
      <c r="H921" s="367" t="s">
        <v>50</v>
      </c>
      <c r="I921" s="367">
        <v>150</v>
      </c>
      <c r="J921" s="370" t="s">
        <v>45</v>
      </c>
      <c r="K921" s="367">
        <v>30</v>
      </c>
      <c r="L921" s="367">
        <v>12</v>
      </c>
      <c r="M921" s="358" t="s">
        <v>14</v>
      </c>
      <c r="N921" s="396" t="s">
        <v>234</v>
      </c>
      <c r="O921" s="367" t="s">
        <v>27</v>
      </c>
      <c r="P921" s="316"/>
      <c r="Q921" s="370" t="s">
        <v>169</v>
      </c>
      <c r="R921" s="350">
        <v>44096</v>
      </c>
    </row>
    <row r="922" spans="1:20" ht="15" customHeight="1" x14ac:dyDescent="0.3">
      <c r="A922" s="368"/>
      <c r="B922" s="368"/>
      <c r="C922" s="41">
        <v>4350</v>
      </c>
      <c r="D922" s="368"/>
      <c r="E922" s="368"/>
      <c r="F922" s="368"/>
      <c r="G922" s="368"/>
      <c r="H922" s="368"/>
      <c r="I922" s="368"/>
      <c r="J922" s="371"/>
      <c r="K922" s="368"/>
      <c r="L922" s="368"/>
      <c r="M922" s="359"/>
      <c r="N922" s="397"/>
      <c r="O922" s="368"/>
      <c r="P922" s="226">
        <v>44096</v>
      </c>
      <c r="Q922" s="371"/>
      <c r="R922" s="351"/>
    </row>
    <row r="923" spans="1:20" ht="15" customHeight="1" thickBot="1" x14ac:dyDescent="0.35">
      <c r="A923" s="369"/>
      <c r="B923" s="369"/>
      <c r="C923" s="42">
        <v>7527</v>
      </c>
      <c r="D923" s="369"/>
      <c r="E923" s="369"/>
      <c r="F923" s="369"/>
      <c r="G923" s="369"/>
      <c r="H923" s="369"/>
      <c r="I923" s="369"/>
      <c r="J923" s="372"/>
      <c r="K923" s="369"/>
      <c r="L923" s="369"/>
      <c r="M923" s="360"/>
      <c r="N923" s="398"/>
      <c r="O923" s="369"/>
      <c r="P923" s="317"/>
      <c r="Q923" s="372"/>
      <c r="R923" s="351"/>
      <c r="T923" s="200">
        <v>1</v>
      </c>
    </row>
    <row r="924" spans="1:20" ht="15" hidden="1" customHeight="1" x14ac:dyDescent="0.3">
      <c r="A924" s="367">
        <v>169</v>
      </c>
      <c r="B924" s="367" t="s">
        <v>268</v>
      </c>
      <c r="C924" s="40">
        <v>9085</v>
      </c>
      <c r="D924" s="367">
        <v>1</v>
      </c>
      <c r="E924" s="367" t="s">
        <v>269</v>
      </c>
      <c r="F924" s="367">
        <v>1450</v>
      </c>
      <c r="G924" s="367">
        <v>1200</v>
      </c>
      <c r="H924" s="367" t="s">
        <v>44</v>
      </c>
      <c r="I924" s="367">
        <v>300</v>
      </c>
      <c r="J924" s="370" t="s">
        <v>45</v>
      </c>
      <c r="K924" s="367">
        <v>100</v>
      </c>
      <c r="L924" s="367">
        <v>0.5</v>
      </c>
      <c r="M924" s="358" t="s">
        <v>14</v>
      </c>
      <c r="N924" s="396" t="s">
        <v>234</v>
      </c>
      <c r="O924" s="367" t="s">
        <v>27</v>
      </c>
      <c r="P924" s="290"/>
      <c r="Q924" s="367" t="s">
        <v>267</v>
      </c>
    </row>
    <row r="925" spans="1:20" ht="15" customHeight="1" x14ac:dyDescent="0.3">
      <c r="A925" s="368"/>
      <c r="B925" s="368"/>
      <c r="C925" s="41">
        <v>5200</v>
      </c>
      <c r="D925" s="368"/>
      <c r="E925" s="368"/>
      <c r="F925" s="368"/>
      <c r="G925" s="368"/>
      <c r="H925" s="368"/>
      <c r="I925" s="368"/>
      <c r="J925" s="371"/>
      <c r="K925" s="368"/>
      <c r="L925" s="368"/>
      <c r="M925" s="359"/>
      <c r="N925" s="397"/>
      <c r="O925" s="368"/>
      <c r="P925" s="226">
        <v>44095</v>
      </c>
      <c r="Q925" s="368"/>
      <c r="T925" s="200">
        <v>1</v>
      </c>
    </row>
    <row r="926" spans="1:20" ht="15" customHeight="1" thickBot="1" x14ac:dyDescent="0.35">
      <c r="A926" s="369"/>
      <c r="B926" s="369"/>
      <c r="C926" s="42">
        <v>7527</v>
      </c>
      <c r="D926" s="369"/>
      <c r="E926" s="369"/>
      <c r="F926" s="369"/>
      <c r="G926" s="369"/>
      <c r="H926" s="369"/>
      <c r="I926" s="369"/>
      <c r="J926" s="372"/>
      <c r="K926" s="369"/>
      <c r="L926" s="369"/>
      <c r="M926" s="360"/>
      <c r="N926" s="398"/>
      <c r="O926" s="369"/>
      <c r="P926" s="292"/>
      <c r="Q926" s="369"/>
    </row>
    <row r="927" spans="1:20" ht="15" hidden="1" customHeight="1" x14ac:dyDescent="0.3">
      <c r="A927" s="370">
        <v>170</v>
      </c>
      <c r="B927" s="370" t="s">
        <v>191</v>
      </c>
      <c r="C927" s="37">
        <v>9850</v>
      </c>
      <c r="D927" s="370">
        <v>1</v>
      </c>
      <c r="E927" s="370" t="s">
        <v>201</v>
      </c>
      <c r="F927" s="367">
        <v>1450</v>
      </c>
      <c r="G927" s="367">
        <v>1200</v>
      </c>
      <c r="H927" s="370" t="s">
        <v>19</v>
      </c>
      <c r="I927" s="370">
        <v>300</v>
      </c>
      <c r="J927" s="370" t="s">
        <v>45</v>
      </c>
      <c r="K927" s="370">
        <v>90</v>
      </c>
      <c r="L927" s="367">
        <v>-54</v>
      </c>
      <c r="M927" s="358" t="s">
        <v>14</v>
      </c>
      <c r="N927" s="399" t="s">
        <v>234</v>
      </c>
      <c r="O927" s="367" t="s">
        <v>27</v>
      </c>
      <c r="P927" s="261"/>
      <c r="Q927" s="367" t="s">
        <v>243</v>
      </c>
    </row>
    <row r="928" spans="1:20" ht="15" customHeight="1" x14ac:dyDescent="0.3">
      <c r="A928" s="371"/>
      <c r="B928" s="371"/>
      <c r="C928" s="38">
        <v>3250</v>
      </c>
      <c r="D928" s="371"/>
      <c r="E928" s="371"/>
      <c r="F928" s="368"/>
      <c r="G928" s="368"/>
      <c r="H928" s="371"/>
      <c r="I928" s="371"/>
      <c r="J928" s="371"/>
      <c r="K928" s="371"/>
      <c r="L928" s="368"/>
      <c r="M928" s="359"/>
      <c r="N928" s="400"/>
      <c r="O928" s="368"/>
      <c r="P928" s="226">
        <v>44090</v>
      </c>
      <c r="Q928" s="368"/>
      <c r="T928" s="200">
        <v>1</v>
      </c>
    </row>
    <row r="929" spans="1:20" ht="15" customHeight="1" thickBot="1" x14ac:dyDescent="0.35">
      <c r="A929" s="372"/>
      <c r="B929" s="372"/>
      <c r="C929" s="39">
        <v>7527</v>
      </c>
      <c r="D929" s="372"/>
      <c r="E929" s="372"/>
      <c r="F929" s="369"/>
      <c r="G929" s="369"/>
      <c r="H929" s="372"/>
      <c r="I929" s="372"/>
      <c r="J929" s="372"/>
      <c r="K929" s="372"/>
      <c r="L929" s="369"/>
      <c r="M929" s="360"/>
      <c r="N929" s="401"/>
      <c r="O929" s="369"/>
      <c r="P929" s="262"/>
      <c r="Q929" s="369"/>
    </row>
    <row r="930" spans="1:20" ht="15" hidden="1" customHeight="1" x14ac:dyDescent="0.3">
      <c r="A930" s="367">
        <v>171</v>
      </c>
      <c r="B930" s="367" t="s">
        <v>48</v>
      </c>
      <c r="C930" s="40">
        <v>12800</v>
      </c>
      <c r="D930" s="367">
        <v>1</v>
      </c>
      <c r="E930" s="367" t="s">
        <v>282</v>
      </c>
      <c r="F930" s="367">
        <v>1450</v>
      </c>
      <c r="G930" s="367">
        <v>1200</v>
      </c>
      <c r="H930" s="367" t="s">
        <v>44</v>
      </c>
      <c r="I930" s="367">
        <v>150</v>
      </c>
      <c r="J930" s="370" t="s">
        <v>45</v>
      </c>
      <c r="K930" s="367">
        <v>50</v>
      </c>
      <c r="L930" s="367">
        <v>-5.5</v>
      </c>
      <c r="M930" s="358" t="s">
        <v>14</v>
      </c>
      <c r="N930" s="396" t="s">
        <v>273</v>
      </c>
      <c r="O930" s="367" t="s">
        <v>27</v>
      </c>
      <c r="P930" s="197"/>
      <c r="Q930" s="367" t="s">
        <v>243</v>
      </c>
      <c r="R930" s="186">
        <v>44071</v>
      </c>
      <c r="T930" s="200">
        <v>1</v>
      </c>
    </row>
    <row r="931" spans="1:20" ht="15" customHeight="1" x14ac:dyDescent="0.3">
      <c r="A931" s="368"/>
      <c r="B931" s="368"/>
      <c r="C931" s="41">
        <v>3500</v>
      </c>
      <c r="D931" s="368"/>
      <c r="E931" s="368"/>
      <c r="F931" s="368"/>
      <c r="G931" s="368"/>
      <c r="H931" s="368"/>
      <c r="I931" s="368"/>
      <c r="J931" s="371"/>
      <c r="K931" s="368"/>
      <c r="L931" s="368"/>
      <c r="M931" s="359"/>
      <c r="N931" s="397"/>
      <c r="O931" s="368"/>
      <c r="P931" s="226">
        <v>44066</v>
      </c>
      <c r="Q931" s="368"/>
    </row>
    <row r="932" spans="1:20" ht="15" customHeight="1" thickBot="1" x14ac:dyDescent="0.35">
      <c r="A932" s="369"/>
      <c r="B932" s="369"/>
      <c r="C932" s="42">
        <v>7527</v>
      </c>
      <c r="D932" s="369"/>
      <c r="E932" s="369"/>
      <c r="F932" s="369"/>
      <c r="G932" s="369"/>
      <c r="H932" s="369"/>
      <c r="I932" s="369"/>
      <c r="J932" s="372"/>
      <c r="K932" s="369"/>
      <c r="L932" s="369"/>
      <c r="M932" s="360"/>
      <c r="N932" s="398"/>
      <c r="O932" s="369"/>
      <c r="P932" s="199"/>
      <c r="Q932" s="369"/>
    </row>
    <row r="933" spans="1:20" ht="15" hidden="1" customHeight="1" x14ac:dyDescent="0.3">
      <c r="A933" s="367">
        <v>172</v>
      </c>
      <c r="B933" s="367" t="s">
        <v>62</v>
      </c>
      <c r="C933" s="40">
        <v>13400</v>
      </c>
      <c r="D933" s="367">
        <v>1</v>
      </c>
      <c r="E933" s="367" t="s">
        <v>25</v>
      </c>
      <c r="F933" s="367">
        <v>1450</v>
      </c>
      <c r="G933" s="367">
        <v>1200</v>
      </c>
      <c r="H933" s="367" t="s">
        <v>44</v>
      </c>
      <c r="I933" s="367">
        <v>150</v>
      </c>
      <c r="J933" s="370" t="s">
        <v>45</v>
      </c>
      <c r="K933" s="367">
        <v>50</v>
      </c>
      <c r="L933" s="367">
        <v>25</v>
      </c>
      <c r="M933" s="358" t="s">
        <v>14</v>
      </c>
      <c r="N933" s="396" t="s">
        <v>273</v>
      </c>
      <c r="O933" s="367" t="s">
        <v>27</v>
      </c>
      <c r="P933" s="197"/>
      <c r="Q933" s="367" t="s">
        <v>283</v>
      </c>
      <c r="R933" s="186">
        <v>44071</v>
      </c>
      <c r="T933" s="200">
        <v>1</v>
      </c>
    </row>
    <row r="934" spans="1:20" ht="15" customHeight="1" x14ac:dyDescent="0.3">
      <c r="A934" s="368"/>
      <c r="B934" s="368"/>
      <c r="C934" s="41">
        <v>3500</v>
      </c>
      <c r="D934" s="368"/>
      <c r="E934" s="368"/>
      <c r="F934" s="368"/>
      <c r="G934" s="368"/>
      <c r="H934" s="368"/>
      <c r="I934" s="368"/>
      <c r="J934" s="371"/>
      <c r="K934" s="368"/>
      <c r="L934" s="368"/>
      <c r="M934" s="359"/>
      <c r="N934" s="397"/>
      <c r="O934" s="368"/>
      <c r="P934" s="226">
        <v>44066</v>
      </c>
      <c r="Q934" s="368"/>
    </row>
    <row r="935" spans="1:20" ht="15" customHeight="1" thickBot="1" x14ac:dyDescent="0.35">
      <c r="A935" s="369"/>
      <c r="B935" s="369"/>
      <c r="C935" s="42">
        <v>7527</v>
      </c>
      <c r="D935" s="369"/>
      <c r="E935" s="369"/>
      <c r="F935" s="369"/>
      <c r="G935" s="369"/>
      <c r="H935" s="369"/>
      <c r="I935" s="369"/>
      <c r="J935" s="372"/>
      <c r="K935" s="369"/>
      <c r="L935" s="369"/>
      <c r="M935" s="360"/>
      <c r="N935" s="398"/>
      <c r="O935" s="369"/>
      <c r="P935" s="199"/>
      <c r="Q935" s="369"/>
    </row>
    <row r="936" spans="1:20" ht="15" hidden="1" customHeight="1" x14ac:dyDescent="0.3">
      <c r="A936" s="370">
        <v>173</v>
      </c>
      <c r="B936" s="370" t="s">
        <v>56</v>
      </c>
      <c r="C936" s="37">
        <v>11615</v>
      </c>
      <c r="D936" s="370">
        <v>1</v>
      </c>
      <c r="E936" s="370" t="s">
        <v>248</v>
      </c>
      <c r="F936" s="367">
        <v>1450</v>
      </c>
      <c r="G936" s="367">
        <v>1200</v>
      </c>
      <c r="H936" s="370" t="s">
        <v>61</v>
      </c>
      <c r="I936" s="370">
        <v>150</v>
      </c>
      <c r="J936" s="370" t="s">
        <v>45</v>
      </c>
      <c r="K936" s="370">
        <v>50</v>
      </c>
      <c r="L936" s="367">
        <v>76.5</v>
      </c>
      <c r="M936" s="358" t="s">
        <v>14</v>
      </c>
      <c r="N936" s="399" t="s">
        <v>273</v>
      </c>
      <c r="O936" s="367" t="s">
        <v>27</v>
      </c>
      <c r="P936" s="201"/>
      <c r="Q936" s="367" t="s">
        <v>249</v>
      </c>
      <c r="R936" s="186">
        <v>44067</v>
      </c>
      <c r="T936" s="200">
        <v>1</v>
      </c>
    </row>
    <row r="937" spans="1:20" ht="15" customHeight="1" x14ac:dyDescent="0.3">
      <c r="A937" s="371"/>
      <c r="B937" s="371"/>
      <c r="C937" s="38">
        <v>2975</v>
      </c>
      <c r="D937" s="371"/>
      <c r="E937" s="371"/>
      <c r="F937" s="368"/>
      <c r="G937" s="368"/>
      <c r="H937" s="371"/>
      <c r="I937" s="371"/>
      <c r="J937" s="371"/>
      <c r="K937" s="371"/>
      <c r="L937" s="368"/>
      <c r="M937" s="359"/>
      <c r="N937" s="400"/>
      <c r="O937" s="368"/>
      <c r="P937" s="226">
        <v>44066</v>
      </c>
      <c r="Q937" s="368"/>
    </row>
    <row r="938" spans="1:20" ht="15" customHeight="1" thickBot="1" x14ac:dyDescent="0.35">
      <c r="A938" s="372"/>
      <c r="B938" s="372"/>
      <c r="C938" s="39">
        <v>7527</v>
      </c>
      <c r="D938" s="372"/>
      <c r="E938" s="372"/>
      <c r="F938" s="369"/>
      <c r="G938" s="369"/>
      <c r="H938" s="372"/>
      <c r="I938" s="372"/>
      <c r="J938" s="372"/>
      <c r="K938" s="372"/>
      <c r="L938" s="369"/>
      <c r="M938" s="360"/>
      <c r="N938" s="401"/>
      <c r="O938" s="369"/>
      <c r="P938" s="203"/>
      <c r="Q938" s="369"/>
    </row>
    <row r="939" spans="1:20" ht="15" hidden="1" customHeight="1" x14ac:dyDescent="0.3">
      <c r="A939" s="370">
        <v>174</v>
      </c>
      <c r="B939" s="370" t="s">
        <v>62</v>
      </c>
      <c r="C939" s="37">
        <v>14000</v>
      </c>
      <c r="D939" s="370">
        <v>1</v>
      </c>
      <c r="E939" s="370" t="s">
        <v>63</v>
      </c>
      <c r="F939" s="367">
        <v>1450</v>
      </c>
      <c r="G939" s="367">
        <v>1200</v>
      </c>
      <c r="H939" s="370" t="s">
        <v>61</v>
      </c>
      <c r="I939" s="370">
        <v>150</v>
      </c>
      <c r="J939" s="370" t="s">
        <v>45</v>
      </c>
      <c r="K939" s="370">
        <v>50</v>
      </c>
      <c r="L939" s="367">
        <v>19.5</v>
      </c>
      <c r="M939" s="358" t="s">
        <v>14</v>
      </c>
      <c r="N939" s="399" t="s">
        <v>273</v>
      </c>
      <c r="O939" s="367" t="s">
        <v>27</v>
      </c>
      <c r="P939" s="228">
        <v>44066</v>
      </c>
      <c r="Q939" s="367" t="s">
        <v>254</v>
      </c>
      <c r="R939" s="186">
        <v>44071</v>
      </c>
    </row>
    <row r="940" spans="1:20" ht="15" customHeight="1" x14ac:dyDescent="0.3">
      <c r="A940" s="371"/>
      <c r="B940" s="371"/>
      <c r="C940" s="37">
        <v>3600</v>
      </c>
      <c r="D940" s="371"/>
      <c r="E940" s="371"/>
      <c r="F940" s="368"/>
      <c r="G940" s="368"/>
      <c r="H940" s="371"/>
      <c r="I940" s="371"/>
      <c r="J940" s="371"/>
      <c r="K940" s="371"/>
      <c r="L940" s="368"/>
      <c r="M940" s="359"/>
      <c r="N940" s="400"/>
      <c r="O940" s="368"/>
      <c r="P940" s="198"/>
      <c r="Q940" s="368"/>
      <c r="T940" s="200">
        <v>1</v>
      </c>
    </row>
    <row r="941" spans="1:20" ht="15" customHeight="1" thickBot="1" x14ac:dyDescent="0.35">
      <c r="A941" s="372"/>
      <c r="B941" s="372"/>
      <c r="C941" s="39">
        <v>7527</v>
      </c>
      <c r="D941" s="372"/>
      <c r="E941" s="372"/>
      <c r="F941" s="369"/>
      <c r="G941" s="369"/>
      <c r="H941" s="372"/>
      <c r="I941" s="372"/>
      <c r="J941" s="372"/>
      <c r="K941" s="372"/>
      <c r="L941" s="369"/>
      <c r="M941" s="360"/>
      <c r="N941" s="401"/>
      <c r="O941" s="369"/>
      <c r="P941" s="199"/>
      <c r="Q941" s="369"/>
    </row>
    <row r="942" spans="1:20" ht="15" hidden="1" customHeight="1" x14ac:dyDescent="0.3">
      <c r="A942" s="370">
        <v>175</v>
      </c>
      <c r="B942" s="370" t="s">
        <v>62</v>
      </c>
      <c r="C942" s="37">
        <v>14000</v>
      </c>
      <c r="D942" s="370">
        <v>1</v>
      </c>
      <c r="E942" s="370" t="s">
        <v>284</v>
      </c>
      <c r="F942" s="367">
        <v>1450</v>
      </c>
      <c r="G942" s="367">
        <v>1200</v>
      </c>
      <c r="H942" s="370" t="s">
        <v>61</v>
      </c>
      <c r="I942" s="370">
        <v>350</v>
      </c>
      <c r="J942" s="370" t="s">
        <v>45</v>
      </c>
      <c r="K942" s="370">
        <v>70</v>
      </c>
      <c r="L942" s="367">
        <v>-39.5</v>
      </c>
      <c r="M942" s="358" t="s">
        <v>14</v>
      </c>
      <c r="N942" s="399" t="s">
        <v>273</v>
      </c>
      <c r="O942" s="367" t="s">
        <v>27</v>
      </c>
      <c r="P942" s="322"/>
      <c r="Q942" s="367" t="s">
        <v>243</v>
      </c>
    </row>
    <row r="943" spans="1:20" ht="15" customHeight="1" x14ac:dyDescent="0.3">
      <c r="A943" s="371"/>
      <c r="B943" s="371"/>
      <c r="C943" s="37">
        <v>2525</v>
      </c>
      <c r="D943" s="371"/>
      <c r="E943" s="371"/>
      <c r="F943" s="368"/>
      <c r="G943" s="368"/>
      <c r="H943" s="371"/>
      <c r="I943" s="371"/>
      <c r="J943" s="371"/>
      <c r="K943" s="371"/>
      <c r="L943" s="368"/>
      <c r="M943" s="359"/>
      <c r="N943" s="400"/>
      <c r="O943" s="368"/>
      <c r="P943" s="226">
        <v>44097</v>
      </c>
      <c r="Q943" s="368"/>
      <c r="T943" s="200">
        <v>1</v>
      </c>
    </row>
    <row r="944" spans="1:20" ht="15" customHeight="1" thickBot="1" x14ac:dyDescent="0.35">
      <c r="A944" s="372"/>
      <c r="B944" s="372"/>
      <c r="C944" s="39">
        <v>7527</v>
      </c>
      <c r="D944" s="372"/>
      <c r="E944" s="372"/>
      <c r="F944" s="369"/>
      <c r="G944" s="369"/>
      <c r="H944" s="372"/>
      <c r="I944" s="372"/>
      <c r="J944" s="372"/>
      <c r="K944" s="372"/>
      <c r="L944" s="369"/>
      <c r="M944" s="360"/>
      <c r="N944" s="401"/>
      <c r="O944" s="369"/>
      <c r="P944" s="323"/>
      <c r="Q944" s="369"/>
    </row>
    <row r="945" spans="1:20" ht="15" hidden="1" customHeight="1" x14ac:dyDescent="0.3">
      <c r="A945" s="367">
        <v>176</v>
      </c>
      <c r="B945" s="367" t="s">
        <v>64</v>
      </c>
      <c r="C945" s="40">
        <v>13315</v>
      </c>
      <c r="D945" s="367">
        <v>1</v>
      </c>
      <c r="E945" s="367" t="s">
        <v>204</v>
      </c>
      <c r="F945" s="367">
        <v>1450</v>
      </c>
      <c r="G945" s="367">
        <v>1200</v>
      </c>
      <c r="H945" s="367" t="s">
        <v>19</v>
      </c>
      <c r="I945" s="367">
        <v>90</v>
      </c>
      <c r="J945" s="370" t="s">
        <v>45</v>
      </c>
      <c r="K945" s="367">
        <v>30</v>
      </c>
      <c r="L945" s="367">
        <v>44</v>
      </c>
      <c r="M945" s="358" t="s">
        <v>14</v>
      </c>
      <c r="N945" s="396" t="s">
        <v>273</v>
      </c>
      <c r="O945" s="367" t="s">
        <v>27</v>
      </c>
      <c r="P945" s="184"/>
      <c r="Q945" s="370" t="s">
        <v>285</v>
      </c>
      <c r="R945" s="193">
        <v>44068</v>
      </c>
    </row>
    <row r="946" spans="1:20" ht="15" customHeight="1" x14ac:dyDescent="0.3">
      <c r="A946" s="368"/>
      <c r="B946" s="368"/>
      <c r="C946" s="40">
        <v>2685</v>
      </c>
      <c r="D946" s="368"/>
      <c r="E946" s="368"/>
      <c r="F946" s="368"/>
      <c r="G946" s="368"/>
      <c r="H946" s="368"/>
      <c r="I946" s="368"/>
      <c r="J946" s="371"/>
      <c r="K946" s="368"/>
      <c r="L946" s="368"/>
      <c r="M946" s="359"/>
      <c r="N946" s="397"/>
      <c r="O946" s="368"/>
      <c r="P946" s="226">
        <v>44066</v>
      </c>
      <c r="Q946" s="371"/>
      <c r="T946" s="200">
        <v>1</v>
      </c>
    </row>
    <row r="947" spans="1:20" ht="15" customHeight="1" thickBot="1" x14ac:dyDescent="0.35">
      <c r="A947" s="369"/>
      <c r="B947" s="369"/>
      <c r="C947" s="42">
        <v>7527</v>
      </c>
      <c r="D947" s="369"/>
      <c r="E947" s="369"/>
      <c r="F947" s="369"/>
      <c r="G947" s="369"/>
      <c r="H947" s="369"/>
      <c r="I947" s="369"/>
      <c r="J947" s="372"/>
      <c r="K947" s="369"/>
      <c r="L947" s="369"/>
      <c r="M947" s="360"/>
      <c r="N947" s="398"/>
      <c r="O947" s="369"/>
      <c r="P947" s="185"/>
      <c r="Q947" s="372"/>
    </row>
    <row r="948" spans="1:20" ht="15" hidden="1" customHeight="1" x14ac:dyDescent="0.3">
      <c r="A948" s="367">
        <v>177</v>
      </c>
      <c r="B948" s="367" t="s">
        <v>62</v>
      </c>
      <c r="C948" s="40">
        <v>12500</v>
      </c>
      <c r="D948" s="367">
        <v>1</v>
      </c>
      <c r="E948" s="367" t="s">
        <v>50</v>
      </c>
      <c r="F948" s="367">
        <v>1450</v>
      </c>
      <c r="G948" s="367">
        <v>1200</v>
      </c>
      <c r="H948" s="367" t="s">
        <v>55</v>
      </c>
      <c r="I948" s="367">
        <v>60</v>
      </c>
      <c r="J948" s="370">
        <f>-1.4/0.85</f>
        <v>-1.6470588235294117</v>
      </c>
      <c r="K948" s="367">
        <v>30</v>
      </c>
      <c r="L948" s="367">
        <v>45.5</v>
      </c>
      <c r="M948" s="358" t="s">
        <v>14</v>
      </c>
      <c r="N948" s="396" t="s">
        <v>273</v>
      </c>
      <c r="O948" s="367" t="s">
        <v>27</v>
      </c>
      <c r="P948" s="65"/>
      <c r="Q948" s="367" t="s">
        <v>286</v>
      </c>
    </row>
    <row r="949" spans="1:20" ht="15" customHeight="1" x14ac:dyDescent="0.3">
      <c r="A949" s="368"/>
      <c r="B949" s="368"/>
      <c r="C949" s="41">
        <v>2648</v>
      </c>
      <c r="D949" s="368"/>
      <c r="E949" s="368"/>
      <c r="F949" s="368"/>
      <c r="G949" s="368"/>
      <c r="H949" s="368"/>
      <c r="I949" s="368"/>
      <c r="J949" s="371"/>
      <c r="K949" s="368"/>
      <c r="L949" s="368"/>
      <c r="M949" s="359"/>
      <c r="N949" s="397"/>
      <c r="O949" s="368"/>
      <c r="P949" s="226">
        <v>44066</v>
      </c>
      <c r="Q949" s="368"/>
      <c r="T949" s="200">
        <v>1</v>
      </c>
    </row>
    <row r="950" spans="1:20" ht="15" customHeight="1" thickBot="1" x14ac:dyDescent="0.35">
      <c r="A950" s="369"/>
      <c r="B950" s="369"/>
      <c r="C950" s="42">
        <v>7527</v>
      </c>
      <c r="D950" s="369"/>
      <c r="E950" s="369"/>
      <c r="F950" s="369"/>
      <c r="G950" s="369"/>
      <c r="H950" s="369"/>
      <c r="I950" s="369"/>
      <c r="J950" s="372"/>
      <c r="K950" s="369"/>
      <c r="L950" s="369"/>
      <c r="M950" s="360"/>
      <c r="N950" s="398"/>
      <c r="O950" s="369"/>
      <c r="P950" s="67"/>
      <c r="Q950" s="369"/>
    </row>
    <row r="951" spans="1:20" ht="15" hidden="1" customHeight="1" x14ac:dyDescent="0.3">
      <c r="A951" s="367">
        <v>178</v>
      </c>
      <c r="B951" s="367" t="s">
        <v>62</v>
      </c>
      <c r="C951" s="40">
        <v>20700</v>
      </c>
      <c r="D951" s="367">
        <v>1</v>
      </c>
      <c r="E951" s="367" t="s">
        <v>24</v>
      </c>
      <c r="F951" s="367">
        <v>1450</v>
      </c>
      <c r="G951" s="367">
        <v>1200</v>
      </c>
      <c r="H951" s="367" t="s">
        <v>19</v>
      </c>
      <c r="I951" s="367">
        <v>150</v>
      </c>
      <c r="J951" s="370" t="s">
        <v>45</v>
      </c>
      <c r="K951" s="367">
        <v>40</v>
      </c>
      <c r="L951" s="367">
        <v>18</v>
      </c>
      <c r="M951" s="358" t="s">
        <v>14</v>
      </c>
      <c r="N951" s="396" t="s">
        <v>273</v>
      </c>
      <c r="O951" s="367" t="s">
        <v>27</v>
      </c>
      <c r="P951" s="218"/>
      <c r="Q951" s="367" t="s">
        <v>287</v>
      </c>
      <c r="T951" s="200">
        <v>1</v>
      </c>
    </row>
    <row r="952" spans="1:20" ht="15" customHeight="1" x14ac:dyDescent="0.3">
      <c r="A952" s="368"/>
      <c r="B952" s="368"/>
      <c r="C952" s="41">
        <v>5330</v>
      </c>
      <c r="D952" s="368"/>
      <c r="E952" s="368"/>
      <c r="F952" s="368"/>
      <c r="G952" s="368"/>
      <c r="H952" s="368"/>
      <c r="I952" s="368"/>
      <c r="J952" s="371"/>
      <c r="K952" s="368"/>
      <c r="L952" s="368"/>
      <c r="M952" s="359"/>
      <c r="N952" s="397"/>
      <c r="O952" s="368"/>
      <c r="P952" s="226">
        <v>44072</v>
      </c>
      <c r="Q952" s="368"/>
      <c r="R952" s="186">
        <v>44072</v>
      </c>
    </row>
    <row r="953" spans="1:20" ht="15" customHeight="1" thickBot="1" x14ac:dyDescent="0.35">
      <c r="A953" s="369"/>
      <c r="B953" s="369"/>
      <c r="C953" s="42">
        <v>7527</v>
      </c>
      <c r="D953" s="369"/>
      <c r="E953" s="369"/>
      <c r="F953" s="369"/>
      <c r="G953" s="369"/>
      <c r="H953" s="369"/>
      <c r="I953" s="369"/>
      <c r="J953" s="372"/>
      <c r="K953" s="369"/>
      <c r="L953" s="369"/>
      <c r="M953" s="360"/>
      <c r="N953" s="398"/>
      <c r="O953" s="369"/>
      <c r="P953" s="220"/>
      <c r="Q953" s="369"/>
    </row>
    <row r="954" spans="1:20" ht="15" hidden="1" customHeight="1" x14ac:dyDescent="0.3">
      <c r="A954" s="370">
        <v>179</v>
      </c>
      <c r="B954" s="370" t="s">
        <v>288</v>
      </c>
      <c r="C954" s="37">
        <v>19300</v>
      </c>
      <c r="D954" s="370">
        <v>2</v>
      </c>
      <c r="E954" s="370" t="s">
        <v>204</v>
      </c>
      <c r="F954" s="367">
        <v>1450</v>
      </c>
      <c r="G954" s="367">
        <v>1200</v>
      </c>
      <c r="H954" s="370" t="s">
        <v>19</v>
      </c>
      <c r="I954" s="370">
        <v>300</v>
      </c>
      <c r="J954" s="370" t="s">
        <v>45</v>
      </c>
      <c r="K954" s="370">
        <v>80</v>
      </c>
      <c r="L954" s="367" t="s">
        <v>13</v>
      </c>
      <c r="M954" s="358" t="s">
        <v>14</v>
      </c>
      <c r="N954" s="399" t="s">
        <v>273</v>
      </c>
      <c r="O954" s="367" t="s">
        <v>27</v>
      </c>
      <c r="P954" s="228">
        <v>44095</v>
      </c>
      <c r="Q954" s="367" t="s">
        <v>289</v>
      </c>
      <c r="R954" s="186">
        <v>44071</v>
      </c>
      <c r="T954" s="200">
        <v>1</v>
      </c>
    </row>
    <row r="955" spans="1:20" ht="15" customHeight="1" thickBot="1" x14ac:dyDescent="0.35">
      <c r="A955" s="371"/>
      <c r="B955" s="372"/>
      <c r="C955" s="38">
        <v>3200</v>
      </c>
      <c r="D955" s="371"/>
      <c r="E955" s="372"/>
      <c r="F955" s="368"/>
      <c r="G955" s="368"/>
      <c r="H955" s="371"/>
      <c r="I955" s="372"/>
      <c r="J955" s="372"/>
      <c r="K955" s="372"/>
      <c r="L955" s="368"/>
      <c r="M955" s="359"/>
      <c r="N955" s="400"/>
      <c r="O955" s="368"/>
      <c r="P955" s="291"/>
      <c r="Q955" s="368"/>
    </row>
    <row r="956" spans="1:20" ht="15" customHeight="1" thickBot="1" x14ac:dyDescent="0.35">
      <c r="A956" s="372"/>
      <c r="B956" s="39" t="s">
        <v>274</v>
      </c>
      <c r="C956" s="39">
        <v>7527</v>
      </c>
      <c r="D956" s="372"/>
      <c r="E956" s="39" t="s">
        <v>168</v>
      </c>
      <c r="F956" s="369"/>
      <c r="G956" s="369"/>
      <c r="H956" s="372"/>
      <c r="I956" s="39">
        <v>60</v>
      </c>
      <c r="J956" s="39" t="s">
        <v>290</v>
      </c>
      <c r="K956" s="39">
        <v>30</v>
      </c>
      <c r="L956" s="369"/>
      <c r="M956" s="360"/>
      <c r="N956" s="401"/>
      <c r="O956" s="369"/>
      <c r="P956" s="292"/>
      <c r="Q956" s="369"/>
    </row>
    <row r="957" spans="1:20" ht="15" hidden="1" customHeight="1" x14ac:dyDescent="0.3">
      <c r="A957" s="367">
        <v>180</v>
      </c>
      <c r="B957" s="367" t="s">
        <v>291</v>
      </c>
      <c r="C957" s="40">
        <v>20100</v>
      </c>
      <c r="D957" s="367">
        <v>1</v>
      </c>
      <c r="E957" s="367" t="s">
        <v>49</v>
      </c>
      <c r="F957" s="367">
        <v>1450</v>
      </c>
      <c r="G957" s="367">
        <v>1200</v>
      </c>
      <c r="H957" s="367" t="s">
        <v>25</v>
      </c>
      <c r="I957" s="367">
        <v>150</v>
      </c>
      <c r="J957" s="370" t="s">
        <v>45</v>
      </c>
      <c r="K957" s="367">
        <v>40</v>
      </c>
      <c r="L957" s="367">
        <v>5</v>
      </c>
      <c r="M957" s="358" t="s">
        <v>14</v>
      </c>
      <c r="N957" s="396" t="s">
        <v>273</v>
      </c>
      <c r="O957" s="367" t="s">
        <v>27</v>
      </c>
      <c r="P957" s="197"/>
      <c r="Q957" s="367" t="s">
        <v>263</v>
      </c>
      <c r="R957" s="186">
        <v>44071</v>
      </c>
      <c r="T957" s="200">
        <v>1</v>
      </c>
    </row>
    <row r="958" spans="1:20" ht="15" customHeight="1" x14ac:dyDescent="0.3">
      <c r="A958" s="368"/>
      <c r="B958" s="368"/>
      <c r="C958" s="41">
        <v>3200</v>
      </c>
      <c r="D958" s="368"/>
      <c r="E958" s="368"/>
      <c r="F958" s="368"/>
      <c r="G958" s="368"/>
      <c r="H958" s="368"/>
      <c r="I958" s="368"/>
      <c r="J958" s="371"/>
      <c r="K958" s="368"/>
      <c r="L958" s="368"/>
      <c r="M958" s="359"/>
      <c r="N958" s="397"/>
      <c r="O958" s="368"/>
      <c r="P958" s="226">
        <v>44066</v>
      </c>
      <c r="Q958" s="368"/>
    </row>
    <row r="959" spans="1:20" ht="15" customHeight="1" thickBot="1" x14ac:dyDescent="0.35">
      <c r="A959" s="369"/>
      <c r="B959" s="369"/>
      <c r="C959" s="42">
        <v>7527</v>
      </c>
      <c r="D959" s="369"/>
      <c r="E959" s="369"/>
      <c r="F959" s="369"/>
      <c r="G959" s="369"/>
      <c r="H959" s="369"/>
      <c r="I959" s="369"/>
      <c r="J959" s="372"/>
      <c r="K959" s="369"/>
      <c r="L959" s="369"/>
      <c r="M959" s="360"/>
      <c r="N959" s="398"/>
      <c r="O959" s="369"/>
      <c r="P959" s="199"/>
      <c r="Q959" s="369"/>
    </row>
    <row r="960" spans="1:20" ht="15" hidden="1" customHeight="1" x14ac:dyDescent="0.3">
      <c r="A960" s="367">
        <v>181</v>
      </c>
      <c r="B960" s="367" t="s">
        <v>174</v>
      </c>
      <c r="C960" s="40">
        <v>17485</v>
      </c>
      <c r="D960" s="370">
        <v>0</v>
      </c>
      <c r="E960" s="367" t="s">
        <v>13</v>
      </c>
      <c r="F960" s="367">
        <v>1450</v>
      </c>
      <c r="G960" s="367">
        <v>1200</v>
      </c>
      <c r="H960" s="367" t="s">
        <v>25</v>
      </c>
      <c r="I960" s="367" t="s">
        <v>13</v>
      </c>
      <c r="J960" s="367" t="s">
        <v>13</v>
      </c>
      <c r="K960" s="367" t="s">
        <v>13</v>
      </c>
      <c r="L960" s="367" t="s">
        <v>13</v>
      </c>
      <c r="M960" s="358" t="s">
        <v>14</v>
      </c>
      <c r="N960" s="396" t="s">
        <v>273</v>
      </c>
      <c r="O960" s="367" t="s">
        <v>27</v>
      </c>
      <c r="P960" s="65"/>
      <c r="Q960" s="367" t="s">
        <v>176</v>
      </c>
      <c r="T960" s="200">
        <v>1</v>
      </c>
    </row>
    <row r="961" spans="1:20" ht="15" customHeight="1" x14ac:dyDescent="0.3">
      <c r="A961" s="368"/>
      <c r="B961" s="368"/>
      <c r="C961" s="41">
        <v>-7280</v>
      </c>
      <c r="D961" s="371"/>
      <c r="E961" s="368"/>
      <c r="F961" s="368"/>
      <c r="G961" s="368"/>
      <c r="H961" s="368"/>
      <c r="I961" s="368"/>
      <c r="J961" s="368"/>
      <c r="K961" s="368"/>
      <c r="L961" s="368"/>
      <c r="M961" s="359"/>
      <c r="N961" s="397"/>
      <c r="O961" s="368"/>
      <c r="P961" s="66"/>
      <c r="Q961" s="368"/>
    </row>
    <row r="962" spans="1:20" ht="15" customHeight="1" thickBot="1" x14ac:dyDescent="0.35">
      <c r="A962" s="369"/>
      <c r="B962" s="369"/>
      <c r="C962" s="42">
        <v>7527</v>
      </c>
      <c r="D962" s="372"/>
      <c r="E962" s="369"/>
      <c r="F962" s="369"/>
      <c r="G962" s="369"/>
      <c r="H962" s="369"/>
      <c r="I962" s="369"/>
      <c r="J962" s="369"/>
      <c r="K962" s="369"/>
      <c r="L962" s="369"/>
      <c r="M962" s="360"/>
      <c r="N962" s="398"/>
      <c r="O962" s="369"/>
      <c r="P962" s="227">
        <v>44066</v>
      </c>
      <c r="Q962" s="369"/>
    </row>
    <row r="963" spans="1:20" ht="15" hidden="1" customHeight="1" x14ac:dyDescent="0.3">
      <c r="A963" s="367">
        <v>182</v>
      </c>
      <c r="B963" s="367" t="s">
        <v>174</v>
      </c>
      <c r="C963" s="40">
        <v>18080</v>
      </c>
      <c r="D963" s="370">
        <v>0</v>
      </c>
      <c r="E963" s="367" t="s">
        <v>13</v>
      </c>
      <c r="F963" s="367">
        <v>1450</v>
      </c>
      <c r="G963" s="367">
        <v>1200</v>
      </c>
      <c r="H963" s="367" t="s">
        <v>25</v>
      </c>
      <c r="I963" s="367" t="s">
        <v>13</v>
      </c>
      <c r="J963" s="367" t="s">
        <v>13</v>
      </c>
      <c r="K963" s="367" t="s">
        <v>13</v>
      </c>
      <c r="L963" s="367" t="s">
        <v>13</v>
      </c>
      <c r="M963" s="358" t="s">
        <v>14</v>
      </c>
      <c r="N963" s="396" t="s">
        <v>273</v>
      </c>
      <c r="O963" s="367" t="s">
        <v>27</v>
      </c>
      <c r="P963" s="65"/>
      <c r="Q963" s="367" t="s">
        <v>176</v>
      </c>
      <c r="T963" s="200">
        <v>1</v>
      </c>
    </row>
    <row r="964" spans="1:20" ht="15" customHeight="1" x14ac:dyDescent="0.3">
      <c r="A964" s="368"/>
      <c r="B964" s="368"/>
      <c r="C964" s="41">
        <v>-7350</v>
      </c>
      <c r="D964" s="371"/>
      <c r="E964" s="368"/>
      <c r="F964" s="368"/>
      <c r="G964" s="368"/>
      <c r="H964" s="368"/>
      <c r="I964" s="368"/>
      <c r="J964" s="368"/>
      <c r="K964" s="368"/>
      <c r="L964" s="368"/>
      <c r="M964" s="359"/>
      <c r="N964" s="397"/>
      <c r="O964" s="368"/>
      <c r="P964" s="226">
        <v>44066</v>
      </c>
      <c r="Q964" s="368"/>
    </row>
    <row r="965" spans="1:20" ht="15" customHeight="1" thickBot="1" x14ac:dyDescent="0.35">
      <c r="A965" s="369"/>
      <c r="B965" s="369"/>
      <c r="C965" s="42">
        <v>7527</v>
      </c>
      <c r="D965" s="372"/>
      <c r="E965" s="369"/>
      <c r="F965" s="369"/>
      <c r="G965" s="369"/>
      <c r="H965" s="369"/>
      <c r="I965" s="369"/>
      <c r="J965" s="369"/>
      <c r="K965" s="369"/>
      <c r="L965" s="369"/>
      <c r="M965" s="360"/>
      <c r="N965" s="398"/>
      <c r="O965" s="369"/>
      <c r="P965" s="67"/>
      <c r="Q965" s="369"/>
    </row>
    <row r="966" spans="1:20" ht="15" hidden="1" customHeight="1" x14ac:dyDescent="0.3">
      <c r="A966" s="367">
        <v>183</v>
      </c>
      <c r="B966" s="367" t="s">
        <v>174</v>
      </c>
      <c r="C966" s="40">
        <v>19570</v>
      </c>
      <c r="D966" s="370">
        <v>0</v>
      </c>
      <c r="E966" s="367" t="s">
        <v>13</v>
      </c>
      <c r="F966" s="367">
        <v>1450</v>
      </c>
      <c r="G966" s="367">
        <v>1200</v>
      </c>
      <c r="H966" s="367" t="s">
        <v>25</v>
      </c>
      <c r="I966" s="367" t="s">
        <v>13</v>
      </c>
      <c r="J966" s="367" t="s">
        <v>13</v>
      </c>
      <c r="K966" s="367" t="s">
        <v>13</v>
      </c>
      <c r="L966" s="367" t="s">
        <v>13</v>
      </c>
      <c r="M966" s="358" t="s">
        <v>14</v>
      </c>
      <c r="N966" s="396" t="s">
        <v>273</v>
      </c>
      <c r="O966" s="367" t="s">
        <v>27</v>
      </c>
      <c r="P966" s="65"/>
      <c r="Q966" s="367" t="s">
        <v>176</v>
      </c>
      <c r="T966" s="200">
        <v>1</v>
      </c>
    </row>
    <row r="967" spans="1:20" ht="15" customHeight="1" x14ac:dyDescent="0.3">
      <c r="A967" s="368"/>
      <c r="B967" s="368"/>
      <c r="C967" s="41">
        <v>-7535</v>
      </c>
      <c r="D967" s="371"/>
      <c r="E967" s="368"/>
      <c r="F967" s="368"/>
      <c r="G967" s="368"/>
      <c r="H967" s="368"/>
      <c r="I967" s="368"/>
      <c r="J967" s="368"/>
      <c r="K967" s="368"/>
      <c r="L967" s="368"/>
      <c r="M967" s="359"/>
      <c r="N967" s="397"/>
      <c r="O967" s="368"/>
      <c r="P967" s="226">
        <v>44066</v>
      </c>
      <c r="Q967" s="368"/>
    </row>
    <row r="968" spans="1:20" ht="15" customHeight="1" thickBot="1" x14ac:dyDescent="0.35">
      <c r="A968" s="369"/>
      <c r="B968" s="369"/>
      <c r="C968" s="42">
        <v>7527</v>
      </c>
      <c r="D968" s="372"/>
      <c r="E968" s="369"/>
      <c r="F968" s="369"/>
      <c r="G968" s="369"/>
      <c r="H968" s="369"/>
      <c r="I968" s="369"/>
      <c r="J968" s="369"/>
      <c r="K968" s="369"/>
      <c r="L968" s="369"/>
      <c r="M968" s="360"/>
      <c r="N968" s="398"/>
      <c r="O968" s="369"/>
      <c r="P968" s="67"/>
      <c r="Q968" s="369"/>
    </row>
    <row r="969" spans="1:20" ht="15" hidden="1" customHeight="1" x14ac:dyDescent="0.3">
      <c r="A969" s="367">
        <v>184</v>
      </c>
      <c r="B969" s="367" t="s">
        <v>174</v>
      </c>
      <c r="C969" s="40">
        <v>19915</v>
      </c>
      <c r="D969" s="370">
        <v>0</v>
      </c>
      <c r="E969" s="367" t="s">
        <v>13</v>
      </c>
      <c r="F969" s="367">
        <v>1450</v>
      </c>
      <c r="G969" s="367">
        <v>1200</v>
      </c>
      <c r="H969" s="367" t="s">
        <v>25</v>
      </c>
      <c r="I969" s="367" t="s">
        <v>13</v>
      </c>
      <c r="J969" s="367" t="s">
        <v>13</v>
      </c>
      <c r="K969" s="367" t="s">
        <v>13</v>
      </c>
      <c r="L969" s="367" t="s">
        <v>13</v>
      </c>
      <c r="M969" s="358" t="s">
        <v>14</v>
      </c>
      <c r="N969" s="396" t="s">
        <v>273</v>
      </c>
      <c r="O969" s="367" t="s">
        <v>27</v>
      </c>
      <c r="P969" s="65"/>
      <c r="Q969" s="367" t="s">
        <v>176</v>
      </c>
    </row>
    <row r="970" spans="1:20" ht="15" customHeight="1" x14ac:dyDescent="0.3">
      <c r="A970" s="368"/>
      <c r="B970" s="368"/>
      <c r="C970" s="41">
        <v>-7575</v>
      </c>
      <c r="D970" s="371"/>
      <c r="E970" s="368"/>
      <c r="F970" s="368"/>
      <c r="G970" s="368"/>
      <c r="H970" s="368"/>
      <c r="I970" s="368"/>
      <c r="J970" s="368"/>
      <c r="K970" s="368"/>
      <c r="L970" s="368"/>
      <c r="M970" s="359"/>
      <c r="N970" s="397"/>
      <c r="O970" s="368"/>
      <c r="P970" s="226">
        <v>44066</v>
      </c>
      <c r="Q970" s="368"/>
      <c r="T970" s="200">
        <v>1</v>
      </c>
    </row>
    <row r="971" spans="1:20" ht="15" customHeight="1" thickBot="1" x14ac:dyDescent="0.35">
      <c r="A971" s="369"/>
      <c r="B971" s="369"/>
      <c r="C971" s="42">
        <v>7527</v>
      </c>
      <c r="D971" s="372"/>
      <c r="E971" s="369"/>
      <c r="F971" s="369"/>
      <c r="G971" s="369"/>
      <c r="H971" s="369"/>
      <c r="I971" s="369"/>
      <c r="J971" s="369"/>
      <c r="K971" s="369"/>
      <c r="L971" s="369"/>
      <c r="M971" s="360"/>
      <c r="N971" s="398"/>
      <c r="O971" s="369"/>
      <c r="P971" s="67"/>
      <c r="Q971" s="369"/>
    </row>
    <row r="972" spans="1:20" ht="15" hidden="1" customHeight="1" x14ac:dyDescent="0.3">
      <c r="A972" s="370">
        <v>185</v>
      </c>
      <c r="B972" s="370" t="s">
        <v>57</v>
      </c>
      <c r="C972" s="37">
        <v>18660</v>
      </c>
      <c r="D972" s="370">
        <v>1</v>
      </c>
      <c r="E972" s="370" t="s">
        <v>292</v>
      </c>
      <c r="F972" s="367">
        <v>1450</v>
      </c>
      <c r="G972" s="367">
        <v>1200</v>
      </c>
      <c r="H972" s="370" t="s">
        <v>96</v>
      </c>
      <c r="I972" s="370">
        <v>150</v>
      </c>
      <c r="J972" s="370" t="s">
        <v>45</v>
      </c>
      <c r="K972" s="370">
        <v>50</v>
      </c>
      <c r="L972" s="367">
        <v>97.5</v>
      </c>
      <c r="M972" s="358" t="s">
        <v>14</v>
      </c>
      <c r="N972" s="399" t="s">
        <v>273</v>
      </c>
      <c r="O972" s="367" t="s">
        <v>27</v>
      </c>
      <c r="P972" s="290"/>
      <c r="Q972" s="370" t="s">
        <v>293</v>
      </c>
    </row>
    <row r="973" spans="1:20" ht="15" customHeight="1" x14ac:dyDescent="0.3">
      <c r="A973" s="371"/>
      <c r="B973" s="371"/>
      <c r="C973" s="38">
        <v>-7985</v>
      </c>
      <c r="D973" s="371"/>
      <c r="E973" s="371"/>
      <c r="F973" s="368"/>
      <c r="G973" s="368"/>
      <c r="H973" s="371"/>
      <c r="I973" s="371"/>
      <c r="J973" s="371"/>
      <c r="K973" s="371"/>
      <c r="L973" s="368"/>
      <c r="M973" s="359"/>
      <c r="N973" s="400"/>
      <c r="O973" s="368"/>
      <c r="P973" s="226">
        <v>44095</v>
      </c>
      <c r="Q973" s="371"/>
      <c r="R973" s="186">
        <v>44073</v>
      </c>
      <c r="T973" s="200">
        <v>1</v>
      </c>
    </row>
    <row r="974" spans="1:20" ht="15" customHeight="1" thickBot="1" x14ac:dyDescent="0.35">
      <c r="A974" s="372"/>
      <c r="B974" s="372"/>
      <c r="C974" s="39">
        <v>7527</v>
      </c>
      <c r="D974" s="372"/>
      <c r="E974" s="372"/>
      <c r="F974" s="369"/>
      <c r="G974" s="369"/>
      <c r="H974" s="372"/>
      <c r="I974" s="372"/>
      <c r="J974" s="372"/>
      <c r="K974" s="372"/>
      <c r="L974" s="369"/>
      <c r="M974" s="360"/>
      <c r="N974" s="401"/>
      <c r="O974" s="369"/>
      <c r="P974" s="292"/>
      <c r="Q974" s="372"/>
    </row>
    <row r="975" spans="1:20" ht="15" hidden="1" customHeight="1" x14ac:dyDescent="0.3">
      <c r="A975" s="367">
        <v>186</v>
      </c>
      <c r="B975" s="367" t="s">
        <v>174</v>
      </c>
      <c r="C975" s="40">
        <v>18400</v>
      </c>
      <c r="D975" s="370">
        <v>0</v>
      </c>
      <c r="E975" s="367" t="s">
        <v>13</v>
      </c>
      <c r="F975" s="367">
        <v>1450</v>
      </c>
      <c r="G975" s="367">
        <v>1200</v>
      </c>
      <c r="H975" s="367" t="s">
        <v>55</v>
      </c>
      <c r="I975" s="367" t="s">
        <v>13</v>
      </c>
      <c r="J975" s="367" t="s">
        <v>13</v>
      </c>
      <c r="K975" s="367" t="s">
        <v>13</v>
      </c>
      <c r="L975" s="367" t="s">
        <v>13</v>
      </c>
      <c r="M975" s="358" t="s">
        <v>14</v>
      </c>
      <c r="N975" s="396" t="s">
        <v>273</v>
      </c>
      <c r="O975" s="367" t="s">
        <v>27</v>
      </c>
      <c r="P975" s="65"/>
      <c r="Q975" s="367" t="s">
        <v>176</v>
      </c>
    </row>
    <row r="976" spans="1:20" ht="15" customHeight="1" x14ac:dyDescent="0.3">
      <c r="A976" s="368"/>
      <c r="B976" s="368"/>
      <c r="C976" s="41">
        <v>-8640</v>
      </c>
      <c r="D976" s="371"/>
      <c r="E976" s="368"/>
      <c r="F976" s="368"/>
      <c r="G976" s="368"/>
      <c r="H976" s="368"/>
      <c r="I976" s="368"/>
      <c r="J976" s="368"/>
      <c r="K976" s="368"/>
      <c r="L976" s="368"/>
      <c r="M976" s="359"/>
      <c r="N976" s="397"/>
      <c r="O976" s="368"/>
      <c r="P976" s="226">
        <v>44066</v>
      </c>
      <c r="Q976" s="368"/>
      <c r="T976" s="200">
        <v>1</v>
      </c>
    </row>
    <row r="977" spans="1:20" ht="15" customHeight="1" thickBot="1" x14ac:dyDescent="0.35">
      <c r="A977" s="369"/>
      <c r="B977" s="369"/>
      <c r="C977" s="42">
        <v>7527</v>
      </c>
      <c r="D977" s="372"/>
      <c r="E977" s="369"/>
      <c r="F977" s="369"/>
      <c r="G977" s="369"/>
      <c r="H977" s="369"/>
      <c r="I977" s="369"/>
      <c r="J977" s="369"/>
      <c r="K977" s="369"/>
      <c r="L977" s="369"/>
      <c r="M977" s="360"/>
      <c r="N977" s="398"/>
      <c r="O977" s="369"/>
      <c r="P977" s="67"/>
      <c r="Q977" s="369"/>
    </row>
    <row r="978" spans="1:20" ht="15" hidden="1" customHeight="1" x14ac:dyDescent="0.3">
      <c r="A978" s="367">
        <v>187</v>
      </c>
      <c r="B978" s="367" t="s">
        <v>174</v>
      </c>
      <c r="C978" s="40">
        <v>16675</v>
      </c>
      <c r="D978" s="370">
        <v>0</v>
      </c>
      <c r="E978" s="367" t="s">
        <v>13</v>
      </c>
      <c r="F978" s="367">
        <v>1450</v>
      </c>
      <c r="G978" s="367">
        <v>1200</v>
      </c>
      <c r="H978" s="367" t="s">
        <v>50</v>
      </c>
      <c r="I978" s="367" t="s">
        <v>13</v>
      </c>
      <c r="J978" s="367" t="s">
        <v>13</v>
      </c>
      <c r="K978" s="367" t="s">
        <v>13</v>
      </c>
      <c r="L978" s="367" t="s">
        <v>13</v>
      </c>
      <c r="M978" s="358" t="s">
        <v>14</v>
      </c>
      <c r="N978" s="396" t="s">
        <v>273</v>
      </c>
      <c r="O978" s="367" t="s">
        <v>27</v>
      </c>
      <c r="P978" s="65"/>
      <c r="Q978" s="367" t="s">
        <v>176</v>
      </c>
    </row>
    <row r="979" spans="1:20" ht="15" customHeight="1" x14ac:dyDescent="0.3">
      <c r="A979" s="368"/>
      <c r="B979" s="368"/>
      <c r="C979" s="41">
        <v>-8690</v>
      </c>
      <c r="D979" s="371"/>
      <c r="E979" s="368"/>
      <c r="F979" s="368"/>
      <c r="G979" s="368"/>
      <c r="H979" s="368"/>
      <c r="I979" s="368"/>
      <c r="J979" s="368"/>
      <c r="K979" s="368"/>
      <c r="L979" s="368"/>
      <c r="M979" s="359"/>
      <c r="N979" s="397"/>
      <c r="O979" s="368"/>
      <c r="P979" s="226">
        <v>44066</v>
      </c>
      <c r="Q979" s="368"/>
      <c r="T979" s="200">
        <v>1</v>
      </c>
    </row>
    <row r="980" spans="1:20" ht="15" customHeight="1" thickBot="1" x14ac:dyDescent="0.35">
      <c r="A980" s="369"/>
      <c r="B980" s="369"/>
      <c r="C980" s="42">
        <v>7527</v>
      </c>
      <c r="D980" s="372"/>
      <c r="E980" s="369"/>
      <c r="F980" s="369"/>
      <c r="G980" s="369"/>
      <c r="H980" s="369"/>
      <c r="I980" s="369"/>
      <c r="J980" s="369"/>
      <c r="K980" s="369"/>
      <c r="L980" s="369"/>
      <c r="M980" s="360"/>
      <c r="N980" s="398"/>
      <c r="O980" s="369"/>
      <c r="P980" s="67"/>
      <c r="Q980" s="369"/>
    </row>
    <row r="981" spans="1:20" ht="15" hidden="1" customHeight="1" x14ac:dyDescent="0.3">
      <c r="A981" s="367">
        <v>188</v>
      </c>
      <c r="B981" s="367" t="s">
        <v>174</v>
      </c>
      <c r="C981" s="40">
        <v>17000</v>
      </c>
      <c r="D981" s="370">
        <v>0</v>
      </c>
      <c r="E981" s="367" t="s">
        <v>13</v>
      </c>
      <c r="F981" s="367">
        <v>1450</v>
      </c>
      <c r="G981" s="367">
        <v>1200</v>
      </c>
      <c r="H981" s="367" t="s">
        <v>19</v>
      </c>
      <c r="I981" s="367" t="s">
        <v>13</v>
      </c>
      <c r="J981" s="367" t="s">
        <v>13</v>
      </c>
      <c r="K981" s="367" t="s">
        <v>13</v>
      </c>
      <c r="L981" s="367" t="s">
        <v>13</v>
      </c>
      <c r="M981" s="358" t="s">
        <v>14</v>
      </c>
      <c r="N981" s="396" t="s">
        <v>273</v>
      </c>
      <c r="O981" s="367" t="s">
        <v>27</v>
      </c>
      <c r="P981" s="65"/>
      <c r="Q981" s="367" t="s">
        <v>176</v>
      </c>
      <c r="T981" s="200">
        <v>1</v>
      </c>
    </row>
    <row r="982" spans="1:20" ht="15" customHeight="1" x14ac:dyDescent="0.3">
      <c r="A982" s="368"/>
      <c r="B982" s="368"/>
      <c r="C982" s="41">
        <v>-9380</v>
      </c>
      <c r="D982" s="371"/>
      <c r="E982" s="368"/>
      <c r="F982" s="368"/>
      <c r="G982" s="368"/>
      <c r="H982" s="368"/>
      <c r="I982" s="368"/>
      <c r="J982" s="368"/>
      <c r="K982" s="368"/>
      <c r="L982" s="368"/>
      <c r="M982" s="359"/>
      <c r="N982" s="397"/>
      <c r="O982" s="368"/>
      <c r="P982" s="226">
        <v>44066</v>
      </c>
      <c r="Q982" s="368"/>
    </row>
    <row r="983" spans="1:20" ht="15" customHeight="1" thickBot="1" x14ac:dyDescent="0.35">
      <c r="A983" s="369"/>
      <c r="B983" s="369"/>
      <c r="C983" s="42">
        <v>7527</v>
      </c>
      <c r="D983" s="372"/>
      <c r="E983" s="369"/>
      <c r="F983" s="369"/>
      <c r="G983" s="369"/>
      <c r="H983" s="369"/>
      <c r="I983" s="369"/>
      <c r="J983" s="369"/>
      <c r="K983" s="369"/>
      <c r="L983" s="369"/>
      <c r="M983" s="360"/>
      <c r="N983" s="398"/>
      <c r="O983" s="369"/>
      <c r="P983" s="67"/>
      <c r="Q983" s="369"/>
    </row>
    <row r="984" spans="1:20" ht="15" hidden="1" customHeight="1" x14ac:dyDescent="0.3">
      <c r="A984" s="370">
        <v>189</v>
      </c>
      <c r="B984" s="370" t="s">
        <v>62</v>
      </c>
      <c r="C984" s="37">
        <v>17050</v>
      </c>
      <c r="D984" s="370">
        <v>1</v>
      </c>
      <c r="E984" s="370" t="s">
        <v>250</v>
      </c>
      <c r="F984" s="367">
        <v>1450</v>
      </c>
      <c r="G984" s="367">
        <v>1200</v>
      </c>
      <c r="H984" s="370" t="s">
        <v>61</v>
      </c>
      <c r="I984" s="370">
        <v>350</v>
      </c>
      <c r="J984" s="370" t="s">
        <v>45</v>
      </c>
      <c r="K984" s="370">
        <v>70</v>
      </c>
      <c r="L984" s="367">
        <v>-39.5</v>
      </c>
      <c r="M984" s="358" t="s">
        <v>14</v>
      </c>
      <c r="N984" s="399" t="s">
        <v>273</v>
      </c>
      <c r="O984" s="367" t="s">
        <v>27</v>
      </c>
      <c r="P984" s="65"/>
      <c r="Q984" s="367" t="s">
        <v>243</v>
      </c>
      <c r="T984" s="200">
        <v>1</v>
      </c>
    </row>
    <row r="985" spans="1:20" ht="15" customHeight="1" x14ac:dyDescent="0.3">
      <c r="A985" s="371"/>
      <c r="B985" s="371"/>
      <c r="C985" s="38">
        <v>-10225</v>
      </c>
      <c r="D985" s="371"/>
      <c r="E985" s="371"/>
      <c r="F985" s="368"/>
      <c r="G985" s="368"/>
      <c r="H985" s="371"/>
      <c r="I985" s="371"/>
      <c r="J985" s="371"/>
      <c r="K985" s="371"/>
      <c r="L985" s="368"/>
      <c r="M985" s="359"/>
      <c r="N985" s="400"/>
      <c r="O985" s="368"/>
      <c r="P985" s="226">
        <v>44066</v>
      </c>
      <c r="Q985" s="368"/>
    </row>
    <row r="986" spans="1:20" ht="15" customHeight="1" thickBot="1" x14ac:dyDescent="0.35">
      <c r="A986" s="372"/>
      <c r="B986" s="372"/>
      <c r="C986" s="39">
        <v>7527</v>
      </c>
      <c r="D986" s="372"/>
      <c r="E986" s="372"/>
      <c r="F986" s="369"/>
      <c r="G986" s="369"/>
      <c r="H986" s="372"/>
      <c r="I986" s="372"/>
      <c r="J986" s="372"/>
      <c r="K986" s="372"/>
      <c r="L986" s="369"/>
      <c r="M986" s="360"/>
      <c r="N986" s="401"/>
      <c r="O986" s="369"/>
      <c r="P986" s="67"/>
      <c r="Q986" s="369"/>
    </row>
    <row r="987" spans="1:20" ht="15" hidden="1" customHeight="1" x14ac:dyDescent="0.3">
      <c r="A987" s="367">
        <v>190</v>
      </c>
      <c r="B987" s="367" t="s">
        <v>62</v>
      </c>
      <c r="C987" s="40">
        <v>15150</v>
      </c>
      <c r="D987" s="367">
        <v>1</v>
      </c>
      <c r="E987" s="367" t="s">
        <v>24</v>
      </c>
      <c r="F987" s="367">
        <v>1450</v>
      </c>
      <c r="G987" s="367">
        <v>1200</v>
      </c>
      <c r="H987" s="367" t="s">
        <v>12</v>
      </c>
      <c r="I987" s="367">
        <v>150</v>
      </c>
      <c r="J987" s="370" t="s">
        <v>45</v>
      </c>
      <c r="K987" s="367">
        <v>40</v>
      </c>
      <c r="L987" s="367">
        <v>96</v>
      </c>
      <c r="M987" s="358" t="s">
        <v>14</v>
      </c>
      <c r="N987" s="396" t="s">
        <v>273</v>
      </c>
      <c r="O987" s="367" t="s">
        <v>27</v>
      </c>
      <c r="P987" s="228">
        <v>44073</v>
      </c>
      <c r="Q987" s="367" t="s">
        <v>246</v>
      </c>
      <c r="T987" s="200">
        <v>1</v>
      </c>
    </row>
    <row r="988" spans="1:20" ht="15" customHeight="1" x14ac:dyDescent="0.3">
      <c r="A988" s="368"/>
      <c r="B988" s="368"/>
      <c r="C988" s="41">
        <v>-13650</v>
      </c>
      <c r="D988" s="368"/>
      <c r="E988" s="368"/>
      <c r="F988" s="368"/>
      <c r="G988" s="368"/>
      <c r="H988" s="368"/>
      <c r="I988" s="368"/>
      <c r="J988" s="371"/>
      <c r="K988" s="368"/>
      <c r="L988" s="368"/>
      <c r="M988" s="359"/>
      <c r="N988" s="397"/>
      <c r="O988" s="368"/>
      <c r="P988" s="219"/>
      <c r="Q988" s="368"/>
      <c r="R988" s="186">
        <v>44073</v>
      </c>
    </row>
    <row r="989" spans="1:20" ht="15" customHeight="1" thickBot="1" x14ac:dyDescent="0.35">
      <c r="A989" s="369"/>
      <c r="B989" s="369"/>
      <c r="C989" s="42">
        <v>7527</v>
      </c>
      <c r="D989" s="369"/>
      <c r="E989" s="369"/>
      <c r="F989" s="369"/>
      <c r="G989" s="369"/>
      <c r="H989" s="369"/>
      <c r="I989" s="369"/>
      <c r="J989" s="372"/>
      <c r="K989" s="369"/>
      <c r="L989" s="369"/>
      <c r="M989" s="360"/>
      <c r="N989" s="398"/>
      <c r="O989" s="369"/>
      <c r="P989" s="220"/>
      <c r="Q989" s="369"/>
    </row>
    <row r="990" spans="1:20" ht="15" hidden="1" customHeight="1" x14ac:dyDescent="0.3">
      <c r="A990" s="370">
        <v>191</v>
      </c>
      <c r="B990" s="370" t="s">
        <v>57</v>
      </c>
      <c r="C990" s="37">
        <v>14450</v>
      </c>
      <c r="D990" s="367">
        <v>1</v>
      </c>
      <c r="E990" s="370" t="s">
        <v>294</v>
      </c>
      <c r="F990" s="367">
        <v>1450</v>
      </c>
      <c r="G990" s="367">
        <v>1200</v>
      </c>
      <c r="H990" s="370" t="s">
        <v>96</v>
      </c>
      <c r="I990" s="370">
        <v>190</v>
      </c>
      <c r="J990" s="370" t="s">
        <v>45</v>
      </c>
      <c r="K990" s="370">
        <v>60</v>
      </c>
      <c r="L990" s="367">
        <v>87.5</v>
      </c>
      <c r="M990" s="358" t="s">
        <v>14</v>
      </c>
      <c r="N990" s="399" t="s">
        <v>273</v>
      </c>
      <c r="O990" s="367" t="s">
        <v>27</v>
      </c>
      <c r="P990" s="218"/>
      <c r="Q990" s="370" t="s">
        <v>293</v>
      </c>
      <c r="R990" s="186">
        <v>44066</v>
      </c>
    </row>
    <row r="991" spans="1:20" ht="15" customHeight="1" x14ac:dyDescent="0.3">
      <c r="A991" s="371"/>
      <c r="B991" s="371"/>
      <c r="C991" s="38">
        <v>-13650</v>
      </c>
      <c r="D991" s="368"/>
      <c r="E991" s="371"/>
      <c r="F991" s="368"/>
      <c r="G991" s="368"/>
      <c r="H991" s="371"/>
      <c r="I991" s="371"/>
      <c r="J991" s="371"/>
      <c r="K991" s="371"/>
      <c r="L991" s="368"/>
      <c r="M991" s="359"/>
      <c r="N991" s="400"/>
      <c r="O991" s="368"/>
      <c r="P991" s="226">
        <v>44073</v>
      </c>
      <c r="Q991" s="371"/>
      <c r="R991" s="186">
        <v>44073</v>
      </c>
      <c r="T991" s="200">
        <v>1</v>
      </c>
    </row>
    <row r="992" spans="1:20" ht="15" customHeight="1" thickBot="1" x14ac:dyDescent="0.35">
      <c r="A992" s="372"/>
      <c r="B992" s="372"/>
      <c r="C992" s="39">
        <v>7527</v>
      </c>
      <c r="D992" s="369"/>
      <c r="E992" s="372"/>
      <c r="F992" s="369"/>
      <c r="G992" s="369"/>
      <c r="H992" s="372"/>
      <c r="I992" s="372"/>
      <c r="J992" s="372"/>
      <c r="K992" s="372"/>
      <c r="L992" s="369"/>
      <c r="M992" s="360"/>
      <c r="N992" s="401"/>
      <c r="O992" s="369"/>
      <c r="P992" s="220"/>
      <c r="Q992" s="372"/>
    </row>
    <row r="993" spans="1:20" ht="15" hidden="1" customHeight="1" x14ac:dyDescent="0.3">
      <c r="A993" s="367">
        <v>192</v>
      </c>
      <c r="B993" s="367" t="s">
        <v>160</v>
      </c>
      <c r="C993" s="40">
        <v>13500</v>
      </c>
      <c r="D993" s="367">
        <v>1</v>
      </c>
      <c r="E993" s="367" t="s">
        <v>63</v>
      </c>
      <c r="F993" s="367">
        <v>1450</v>
      </c>
      <c r="G993" s="367">
        <v>1200</v>
      </c>
      <c r="H993" s="367" t="s">
        <v>96</v>
      </c>
      <c r="I993" s="367">
        <v>100</v>
      </c>
      <c r="J993" s="370" t="s">
        <v>45</v>
      </c>
      <c r="K993" s="367">
        <v>30</v>
      </c>
      <c r="L993" s="367">
        <v>90.5</v>
      </c>
      <c r="M993" s="358" t="s">
        <v>14</v>
      </c>
      <c r="N993" s="396" t="s">
        <v>273</v>
      </c>
      <c r="O993" s="367" t="s">
        <v>27</v>
      </c>
      <c r="P993" s="316"/>
      <c r="Q993" s="370" t="s">
        <v>295</v>
      </c>
      <c r="T993" s="200">
        <v>1</v>
      </c>
    </row>
    <row r="994" spans="1:20" ht="15" customHeight="1" x14ac:dyDescent="0.3">
      <c r="A994" s="368"/>
      <c r="B994" s="368"/>
      <c r="C994" s="41">
        <v>-13675</v>
      </c>
      <c r="D994" s="368"/>
      <c r="E994" s="368"/>
      <c r="F994" s="368"/>
      <c r="G994" s="368"/>
      <c r="H994" s="368"/>
      <c r="I994" s="368"/>
      <c r="J994" s="371"/>
      <c r="K994" s="368"/>
      <c r="L994" s="368"/>
      <c r="M994" s="359"/>
      <c r="N994" s="397"/>
      <c r="O994" s="368"/>
      <c r="P994" s="226">
        <v>44096</v>
      </c>
      <c r="Q994" s="371"/>
      <c r="R994" s="186">
        <v>44096</v>
      </c>
    </row>
    <row r="995" spans="1:20" ht="15" customHeight="1" thickBot="1" x14ac:dyDescent="0.35">
      <c r="A995" s="369"/>
      <c r="B995" s="369"/>
      <c r="C995" s="42">
        <v>7527</v>
      </c>
      <c r="D995" s="369"/>
      <c r="E995" s="369"/>
      <c r="F995" s="369"/>
      <c r="G995" s="369"/>
      <c r="H995" s="369"/>
      <c r="I995" s="369"/>
      <c r="J995" s="372"/>
      <c r="K995" s="369"/>
      <c r="L995" s="369"/>
      <c r="M995" s="360"/>
      <c r="N995" s="398"/>
      <c r="O995" s="369"/>
      <c r="P995" s="317"/>
      <c r="Q995" s="372"/>
    </row>
    <row r="996" spans="1:20" ht="15" hidden="1" customHeight="1" x14ac:dyDescent="0.3">
      <c r="A996" s="367">
        <v>193</v>
      </c>
      <c r="B996" s="367" t="s">
        <v>174</v>
      </c>
      <c r="C996" s="40">
        <v>11940</v>
      </c>
      <c r="D996" s="370">
        <v>0</v>
      </c>
      <c r="E996" s="367" t="s">
        <v>13</v>
      </c>
      <c r="F996" s="367">
        <v>1450</v>
      </c>
      <c r="G996" s="367">
        <v>1200</v>
      </c>
      <c r="H996" s="367" t="s">
        <v>25</v>
      </c>
      <c r="I996" s="367" t="s">
        <v>13</v>
      </c>
      <c r="J996" s="367" t="s">
        <v>13</v>
      </c>
      <c r="K996" s="367" t="s">
        <v>13</v>
      </c>
      <c r="L996" s="367" t="s">
        <v>13</v>
      </c>
      <c r="M996" s="358" t="s">
        <v>14</v>
      </c>
      <c r="N996" s="396" t="s">
        <v>273</v>
      </c>
      <c r="O996" s="367" t="s">
        <v>27</v>
      </c>
      <c r="P996" s="201"/>
      <c r="Q996" s="367" t="s">
        <v>176</v>
      </c>
      <c r="R996" s="186">
        <v>44066</v>
      </c>
    </row>
    <row r="997" spans="1:20" ht="15" customHeight="1" x14ac:dyDescent="0.3">
      <c r="A997" s="368"/>
      <c r="B997" s="368"/>
      <c r="C997" s="40">
        <v>-14810</v>
      </c>
      <c r="D997" s="371"/>
      <c r="E997" s="368"/>
      <c r="F997" s="368"/>
      <c r="G997" s="368"/>
      <c r="H997" s="368"/>
      <c r="I997" s="368"/>
      <c r="J997" s="368"/>
      <c r="K997" s="368"/>
      <c r="L997" s="368"/>
      <c r="M997" s="359"/>
      <c r="N997" s="397"/>
      <c r="O997" s="368"/>
      <c r="P997" s="226">
        <v>44066</v>
      </c>
      <c r="Q997" s="368"/>
      <c r="T997" s="200">
        <v>1</v>
      </c>
    </row>
    <row r="998" spans="1:20" ht="15" customHeight="1" thickBot="1" x14ac:dyDescent="0.35">
      <c r="A998" s="369"/>
      <c r="B998" s="369"/>
      <c r="C998" s="42">
        <v>7527</v>
      </c>
      <c r="D998" s="372"/>
      <c r="E998" s="369"/>
      <c r="F998" s="369"/>
      <c r="G998" s="369"/>
      <c r="H998" s="369"/>
      <c r="I998" s="369"/>
      <c r="J998" s="369"/>
      <c r="K998" s="369"/>
      <c r="L998" s="369"/>
      <c r="M998" s="360"/>
      <c r="N998" s="398"/>
      <c r="O998" s="369"/>
      <c r="P998" s="203"/>
      <c r="Q998" s="369"/>
    </row>
    <row r="999" spans="1:20" ht="15" hidden="1" customHeight="1" x14ac:dyDescent="0.3">
      <c r="A999" s="367">
        <v>194</v>
      </c>
      <c r="B999" s="367" t="s">
        <v>174</v>
      </c>
      <c r="C999" s="40">
        <v>11940</v>
      </c>
      <c r="D999" s="370">
        <v>0</v>
      </c>
      <c r="E999" s="367" t="s">
        <v>13</v>
      </c>
      <c r="F999" s="367">
        <v>1450</v>
      </c>
      <c r="G999" s="367">
        <v>1200</v>
      </c>
      <c r="H999" s="367" t="s">
        <v>25</v>
      </c>
      <c r="I999" s="367" t="s">
        <v>13</v>
      </c>
      <c r="J999" s="367" t="s">
        <v>13</v>
      </c>
      <c r="K999" s="367" t="s">
        <v>13</v>
      </c>
      <c r="L999" s="367" t="s">
        <v>13</v>
      </c>
      <c r="M999" s="358" t="s">
        <v>14</v>
      </c>
      <c r="N999" s="396" t="s">
        <v>273</v>
      </c>
      <c r="O999" s="367" t="s">
        <v>27</v>
      </c>
      <c r="P999" s="201"/>
      <c r="Q999" s="367" t="s">
        <v>176</v>
      </c>
      <c r="R999" s="186">
        <v>44066</v>
      </c>
      <c r="T999" s="200">
        <v>1</v>
      </c>
    </row>
    <row r="1000" spans="1:20" ht="15" customHeight="1" x14ac:dyDescent="0.3">
      <c r="A1000" s="368"/>
      <c r="B1000" s="368"/>
      <c r="C1000" s="40">
        <v>-15410</v>
      </c>
      <c r="D1000" s="371"/>
      <c r="E1000" s="368"/>
      <c r="F1000" s="368"/>
      <c r="G1000" s="368"/>
      <c r="H1000" s="368"/>
      <c r="I1000" s="368"/>
      <c r="J1000" s="368"/>
      <c r="K1000" s="368"/>
      <c r="L1000" s="368"/>
      <c r="M1000" s="359"/>
      <c r="N1000" s="397"/>
      <c r="O1000" s="368"/>
      <c r="P1000" s="226">
        <v>44066</v>
      </c>
      <c r="Q1000" s="368"/>
    </row>
    <row r="1001" spans="1:20" ht="15" customHeight="1" thickBot="1" x14ac:dyDescent="0.35">
      <c r="A1001" s="369"/>
      <c r="B1001" s="369"/>
      <c r="C1001" s="42">
        <v>7527</v>
      </c>
      <c r="D1001" s="372"/>
      <c r="E1001" s="369"/>
      <c r="F1001" s="369"/>
      <c r="G1001" s="369"/>
      <c r="H1001" s="369"/>
      <c r="I1001" s="369"/>
      <c r="J1001" s="369"/>
      <c r="K1001" s="369"/>
      <c r="L1001" s="369"/>
      <c r="M1001" s="360"/>
      <c r="N1001" s="398"/>
      <c r="O1001" s="369"/>
      <c r="P1001" s="203"/>
      <c r="Q1001" s="369"/>
    </row>
    <row r="1002" spans="1:20" ht="15" hidden="1" customHeight="1" x14ac:dyDescent="0.3">
      <c r="A1002" s="367">
        <v>195</v>
      </c>
      <c r="B1002" s="367" t="s">
        <v>174</v>
      </c>
      <c r="C1002" s="40">
        <v>11940</v>
      </c>
      <c r="D1002" s="370">
        <v>0</v>
      </c>
      <c r="E1002" s="367" t="s">
        <v>13</v>
      </c>
      <c r="F1002" s="367">
        <v>1450</v>
      </c>
      <c r="G1002" s="367">
        <v>1200</v>
      </c>
      <c r="H1002" s="367" t="s">
        <v>25</v>
      </c>
      <c r="I1002" s="367" t="s">
        <v>13</v>
      </c>
      <c r="J1002" s="367" t="s">
        <v>13</v>
      </c>
      <c r="K1002" s="367" t="s">
        <v>13</v>
      </c>
      <c r="L1002" s="367" t="s">
        <v>13</v>
      </c>
      <c r="M1002" s="358" t="s">
        <v>14</v>
      </c>
      <c r="N1002" s="396" t="s">
        <v>273</v>
      </c>
      <c r="O1002" s="367" t="s">
        <v>27</v>
      </c>
      <c r="P1002" s="201"/>
      <c r="Q1002" s="367" t="s">
        <v>176</v>
      </c>
      <c r="R1002" s="186">
        <v>44066</v>
      </c>
      <c r="T1002" s="200">
        <v>1</v>
      </c>
    </row>
    <row r="1003" spans="1:20" ht="15" customHeight="1" x14ac:dyDescent="0.3">
      <c r="A1003" s="368"/>
      <c r="B1003" s="368"/>
      <c r="C1003" s="40">
        <v>-16710</v>
      </c>
      <c r="D1003" s="371"/>
      <c r="E1003" s="368"/>
      <c r="F1003" s="368"/>
      <c r="G1003" s="368"/>
      <c r="H1003" s="368"/>
      <c r="I1003" s="368"/>
      <c r="J1003" s="368"/>
      <c r="K1003" s="368"/>
      <c r="L1003" s="368"/>
      <c r="M1003" s="359"/>
      <c r="N1003" s="397"/>
      <c r="O1003" s="368"/>
      <c r="P1003" s="226">
        <v>44066</v>
      </c>
      <c r="Q1003" s="368"/>
    </row>
    <row r="1004" spans="1:20" ht="15" customHeight="1" thickBot="1" x14ac:dyDescent="0.35">
      <c r="A1004" s="369"/>
      <c r="B1004" s="369"/>
      <c r="C1004" s="42">
        <v>7527</v>
      </c>
      <c r="D1004" s="372"/>
      <c r="E1004" s="369"/>
      <c r="F1004" s="369"/>
      <c r="G1004" s="369"/>
      <c r="H1004" s="369"/>
      <c r="I1004" s="369"/>
      <c r="J1004" s="369"/>
      <c r="K1004" s="369"/>
      <c r="L1004" s="369"/>
      <c r="M1004" s="360"/>
      <c r="N1004" s="398"/>
      <c r="O1004" s="369"/>
      <c r="P1004" s="203"/>
      <c r="Q1004" s="369"/>
    </row>
    <row r="1005" spans="1:20" ht="15" hidden="1" customHeight="1" x14ac:dyDescent="0.3">
      <c r="A1005" s="367">
        <v>196</v>
      </c>
      <c r="B1005" s="367" t="s">
        <v>160</v>
      </c>
      <c r="C1005" s="40">
        <v>12000</v>
      </c>
      <c r="D1005" s="367">
        <v>1</v>
      </c>
      <c r="E1005" s="367" t="s">
        <v>60</v>
      </c>
      <c r="F1005" s="367">
        <v>1450</v>
      </c>
      <c r="G1005" s="367">
        <v>1200</v>
      </c>
      <c r="H1005" s="367" t="s">
        <v>96</v>
      </c>
      <c r="I1005" s="367">
        <v>100</v>
      </c>
      <c r="J1005" s="370" t="s">
        <v>45</v>
      </c>
      <c r="K1005" s="367">
        <v>30</v>
      </c>
      <c r="L1005" s="367">
        <v>64.5</v>
      </c>
      <c r="M1005" s="358" t="s">
        <v>14</v>
      </c>
      <c r="N1005" s="396" t="s">
        <v>273</v>
      </c>
      <c r="O1005" s="367" t="s">
        <v>27</v>
      </c>
      <c r="P1005" s="197"/>
      <c r="Q1005" s="370" t="s">
        <v>296</v>
      </c>
      <c r="R1005" s="186">
        <v>44071</v>
      </c>
    </row>
    <row r="1006" spans="1:20" ht="15" customHeight="1" x14ac:dyDescent="0.3">
      <c r="A1006" s="368"/>
      <c r="B1006" s="368"/>
      <c r="C1006" s="40">
        <v>-16260</v>
      </c>
      <c r="D1006" s="368"/>
      <c r="E1006" s="368"/>
      <c r="F1006" s="368"/>
      <c r="G1006" s="368"/>
      <c r="H1006" s="368"/>
      <c r="I1006" s="368"/>
      <c r="J1006" s="371"/>
      <c r="K1006" s="368"/>
      <c r="L1006" s="368"/>
      <c r="M1006" s="359"/>
      <c r="N1006" s="397"/>
      <c r="O1006" s="368"/>
      <c r="P1006" s="226">
        <v>44066</v>
      </c>
      <c r="Q1006" s="371"/>
      <c r="T1006" s="200">
        <v>1</v>
      </c>
    </row>
    <row r="1007" spans="1:20" ht="15" customHeight="1" thickBot="1" x14ac:dyDescent="0.35">
      <c r="A1007" s="369"/>
      <c r="B1007" s="369"/>
      <c r="C1007" s="42">
        <v>7527</v>
      </c>
      <c r="D1007" s="369"/>
      <c r="E1007" s="369"/>
      <c r="F1007" s="369"/>
      <c r="G1007" s="369"/>
      <c r="H1007" s="369"/>
      <c r="I1007" s="369"/>
      <c r="J1007" s="372"/>
      <c r="K1007" s="369"/>
      <c r="L1007" s="369"/>
      <c r="M1007" s="360"/>
      <c r="N1007" s="398"/>
      <c r="O1007" s="369"/>
      <c r="P1007" s="199"/>
      <c r="Q1007" s="372"/>
    </row>
    <row r="1008" spans="1:20" ht="15" hidden="1" customHeight="1" x14ac:dyDescent="0.3">
      <c r="A1008" s="373">
        <v>197</v>
      </c>
      <c r="B1008" s="373" t="s">
        <v>64</v>
      </c>
      <c r="C1008" s="49">
        <v>15095</v>
      </c>
      <c r="D1008" s="373">
        <v>1</v>
      </c>
      <c r="E1008" s="373" t="s">
        <v>201</v>
      </c>
      <c r="F1008" s="373">
        <v>1450</v>
      </c>
      <c r="G1008" s="373">
        <v>1200</v>
      </c>
      <c r="H1008" s="373" t="s">
        <v>12</v>
      </c>
      <c r="I1008" s="373">
        <v>300</v>
      </c>
      <c r="J1008" s="376" t="s">
        <v>45</v>
      </c>
      <c r="K1008" s="373">
        <v>90</v>
      </c>
      <c r="L1008" s="373">
        <v>24</v>
      </c>
      <c r="M1008" s="379" t="s">
        <v>14</v>
      </c>
      <c r="N1008" s="408" t="s">
        <v>297</v>
      </c>
      <c r="O1008" s="373" t="s">
        <v>27</v>
      </c>
      <c r="P1008" s="221"/>
      <c r="Q1008" s="373" t="s">
        <v>298</v>
      </c>
    </row>
    <row r="1009" spans="1:20" ht="15" customHeight="1" x14ac:dyDescent="0.3">
      <c r="A1009" s="374"/>
      <c r="B1009" s="374"/>
      <c r="C1009" s="51">
        <v>-7000</v>
      </c>
      <c r="D1009" s="374"/>
      <c r="E1009" s="374"/>
      <c r="F1009" s="374"/>
      <c r="G1009" s="374"/>
      <c r="H1009" s="374"/>
      <c r="I1009" s="374"/>
      <c r="J1009" s="377"/>
      <c r="K1009" s="374"/>
      <c r="L1009" s="374"/>
      <c r="M1009" s="380"/>
      <c r="N1009" s="409"/>
      <c r="O1009" s="374"/>
      <c r="P1009" s="240">
        <v>44072</v>
      </c>
      <c r="Q1009" s="374"/>
      <c r="R1009" s="186">
        <v>44072</v>
      </c>
      <c r="T1009" s="288">
        <v>1</v>
      </c>
    </row>
    <row r="1010" spans="1:20" ht="15" customHeight="1" thickBot="1" x14ac:dyDescent="0.35">
      <c r="A1010" s="375"/>
      <c r="B1010" s="375"/>
      <c r="C1010" s="50">
        <v>7527</v>
      </c>
      <c r="D1010" s="375"/>
      <c r="E1010" s="375"/>
      <c r="F1010" s="375"/>
      <c r="G1010" s="375"/>
      <c r="H1010" s="375"/>
      <c r="I1010" s="375"/>
      <c r="J1010" s="378"/>
      <c r="K1010" s="375"/>
      <c r="L1010" s="375"/>
      <c r="M1010" s="381"/>
      <c r="N1010" s="410"/>
      <c r="O1010" s="375"/>
      <c r="P1010" s="222"/>
      <c r="Q1010" s="375"/>
    </row>
    <row r="1011" spans="1:20" ht="15" hidden="1" customHeight="1" x14ac:dyDescent="0.3">
      <c r="A1011" s="367">
        <v>198</v>
      </c>
      <c r="B1011" s="367" t="s">
        <v>64</v>
      </c>
      <c r="C1011" s="40">
        <v>14350</v>
      </c>
      <c r="D1011" s="367">
        <v>1</v>
      </c>
      <c r="E1011" s="367" t="s">
        <v>50</v>
      </c>
      <c r="F1011" s="367">
        <v>1450</v>
      </c>
      <c r="G1011" s="367">
        <v>1200</v>
      </c>
      <c r="H1011" s="367" t="s">
        <v>12</v>
      </c>
      <c r="I1011" s="367">
        <v>217</v>
      </c>
      <c r="J1011" s="370" t="s">
        <v>45</v>
      </c>
      <c r="K1011" s="367">
        <v>60</v>
      </c>
      <c r="L1011" s="367">
        <v>66.5</v>
      </c>
      <c r="M1011" s="358" t="s">
        <v>14</v>
      </c>
      <c r="N1011" s="396" t="s">
        <v>297</v>
      </c>
      <c r="O1011" s="367" t="s">
        <v>27</v>
      </c>
      <c r="P1011" s="261"/>
      <c r="Q1011" s="370" t="s">
        <v>299</v>
      </c>
    </row>
    <row r="1012" spans="1:20" ht="15" customHeight="1" x14ac:dyDescent="0.3">
      <c r="A1012" s="368"/>
      <c r="B1012" s="368"/>
      <c r="C1012" s="41">
        <v>-7000</v>
      </c>
      <c r="D1012" s="368"/>
      <c r="E1012" s="368"/>
      <c r="F1012" s="368"/>
      <c r="G1012" s="368"/>
      <c r="H1012" s="368"/>
      <c r="I1012" s="368"/>
      <c r="J1012" s="371"/>
      <c r="K1012" s="368"/>
      <c r="L1012" s="368"/>
      <c r="M1012" s="359"/>
      <c r="N1012" s="397"/>
      <c r="O1012" s="368"/>
      <c r="P1012" s="226">
        <v>44090</v>
      </c>
      <c r="Q1012" s="371"/>
      <c r="R1012" s="186">
        <v>44073</v>
      </c>
      <c r="T1012" s="200">
        <v>1</v>
      </c>
    </row>
    <row r="1013" spans="1:20" ht="15" customHeight="1" thickBot="1" x14ac:dyDescent="0.35">
      <c r="A1013" s="369"/>
      <c r="B1013" s="369"/>
      <c r="C1013" s="42">
        <v>7527</v>
      </c>
      <c r="D1013" s="369"/>
      <c r="E1013" s="369"/>
      <c r="F1013" s="369"/>
      <c r="G1013" s="369"/>
      <c r="H1013" s="369"/>
      <c r="I1013" s="369"/>
      <c r="J1013" s="372"/>
      <c r="K1013" s="369"/>
      <c r="L1013" s="369"/>
      <c r="M1013" s="360"/>
      <c r="N1013" s="398"/>
      <c r="O1013" s="369"/>
      <c r="P1013" s="262"/>
      <c r="Q1013" s="372"/>
    </row>
    <row r="1014" spans="1:20" ht="15" hidden="1" customHeight="1" x14ac:dyDescent="0.3">
      <c r="A1014" s="370">
        <v>199</v>
      </c>
      <c r="B1014" s="370" t="s">
        <v>241</v>
      </c>
      <c r="C1014" s="37">
        <v>12150</v>
      </c>
      <c r="D1014" s="370">
        <v>1</v>
      </c>
      <c r="E1014" s="370" t="s">
        <v>242</v>
      </c>
      <c r="F1014" s="367">
        <v>1450</v>
      </c>
      <c r="G1014" s="367">
        <v>1200</v>
      </c>
      <c r="H1014" s="370" t="s">
        <v>55</v>
      </c>
      <c r="I1014" s="370">
        <v>300</v>
      </c>
      <c r="J1014" s="370">
        <f>-71.4 / 80.58</f>
        <v>-0.88607594936708867</v>
      </c>
      <c r="K1014" s="370">
        <v>100</v>
      </c>
      <c r="L1014" s="367">
        <v>-50</v>
      </c>
      <c r="M1014" s="358" t="s">
        <v>14</v>
      </c>
      <c r="N1014" s="399" t="s">
        <v>297</v>
      </c>
      <c r="O1014" s="367" t="s">
        <v>27</v>
      </c>
      <c r="P1014" s="194"/>
      <c r="Q1014" s="367" t="s">
        <v>243</v>
      </c>
      <c r="R1014" s="186">
        <v>44070</v>
      </c>
      <c r="T1014" s="200">
        <v>1</v>
      </c>
    </row>
    <row r="1015" spans="1:20" ht="15" customHeight="1" x14ac:dyDescent="0.3">
      <c r="A1015" s="371"/>
      <c r="B1015" s="371"/>
      <c r="C1015" s="38">
        <v>-8850</v>
      </c>
      <c r="D1015" s="371"/>
      <c r="E1015" s="371"/>
      <c r="F1015" s="368"/>
      <c r="G1015" s="368"/>
      <c r="H1015" s="371"/>
      <c r="I1015" s="371"/>
      <c r="J1015" s="371"/>
      <c r="K1015" s="371"/>
      <c r="L1015" s="368"/>
      <c r="M1015" s="359"/>
      <c r="N1015" s="400"/>
      <c r="O1015" s="368"/>
      <c r="P1015" s="226">
        <v>44066</v>
      </c>
      <c r="Q1015" s="368"/>
    </row>
    <row r="1016" spans="1:20" ht="15" customHeight="1" thickBot="1" x14ac:dyDescent="0.35">
      <c r="A1016" s="372"/>
      <c r="B1016" s="372"/>
      <c r="C1016" s="39">
        <v>7527</v>
      </c>
      <c r="D1016" s="372"/>
      <c r="E1016" s="372"/>
      <c r="F1016" s="369"/>
      <c r="G1016" s="369"/>
      <c r="H1016" s="372"/>
      <c r="I1016" s="372"/>
      <c r="J1016" s="372"/>
      <c r="K1016" s="372"/>
      <c r="L1016" s="369"/>
      <c r="M1016" s="360"/>
      <c r="N1016" s="401"/>
      <c r="O1016" s="369"/>
      <c r="P1016" s="196"/>
      <c r="Q1016" s="369"/>
    </row>
    <row r="1017" spans="1:20" ht="15" hidden="1" customHeight="1" x14ac:dyDescent="0.3">
      <c r="A1017" s="367">
        <v>200</v>
      </c>
      <c r="B1017" s="367" t="s">
        <v>174</v>
      </c>
      <c r="C1017" s="40">
        <v>12150</v>
      </c>
      <c r="D1017" s="370">
        <v>0</v>
      </c>
      <c r="E1017" s="367" t="s">
        <v>13</v>
      </c>
      <c r="F1017" s="367">
        <v>1450</v>
      </c>
      <c r="G1017" s="367">
        <v>1200</v>
      </c>
      <c r="H1017" s="367" t="s">
        <v>55</v>
      </c>
      <c r="I1017" s="367" t="s">
        <v>13</v>
      </c>
      <c r="J1017" s="367" t="s">
        <v>13</v>
      </c>
      <c r="K1017" s="367" t="s">
        <v>13</v>
      </c>
      <c r="L1017" s="367" t="s">
        <v>13</v>
      </c>
      <c r="M1017" s="358" t="s">
        <v>14</v>
      </c>
      <c r="N1017" s="396" t="s">
        <v>297</v>
      </c>
      <c r="O1017" s="367" t="s">
        <v>27</v>
      </c>
      <c r="P1017" s="65"/>
      <c r="Q1017" s="367" t="s">
        <v>176</v>
      </c>
    </row>
    <row r="1018" spans="1:20" ht="15" customHeight="1" x14ac:dyDescent="0.3">
      <c r="A1018" s="368"/>
      <c r="B1018" s="368"/>
      <c r="C1018" s="41">
        <v>-10850</v>
      </c>
      <c r="D1018" s="371"/>
      <c r="E1018" s="368"/>
      <c r="F1018" s="368"/>
      <c r="G1018" s="368"/>
      <c r="H1018" s="368"/>
      <c r="I1018" s="368"/>
      <c r="J1018" s="368"/>
      <c r="K1018" s="368"/>
      <c r="L1018" s="368"/>
      <c r="M1018" s="359"/>
      <c r="N1018" s="397"/>
      <c r="O1018" s="368"/>
      <c r="P1018" s="226">
        <v>44066</v>
      </c>
      <c r="Q1018" s="368"/>
      <c r="T1018" s="200">
        <v>1</v>
      </c>
    </row>
    <row r="1019" spans="1:20" ht="15" customHeight="1" thickBot="1" x14ac:dyDescent="0.35">
      <c r="A1019" s="369"/>
      <c r="B1019" s="369"/>
      <c r="C1019" s="42">
        <v>7527</v>
      </c>
      <c r="D1019" s="372"/>
      <c r="E1019" s="369"/>
      <c r="F1019" s="369"/>
      <c r="G1019" s="369"/>
      <c r="H1019" s="369"/>
      <c r="I1019" s="369"/>
      <c r="J1019" s="369"/>
      <c r="K1019" s="369"/>
      <c r="L1019" s="369"/>
      <c r="M1019" s="360"/>
      <c r="N1019" s="398"/>
      <c r="O1019" s="369"/>
      <c r="P1019" s="67"/>
      <c r="Q1019" s="369"/>
    </row>
    <row r="1020" spans="1:20" ht="15" hidden="1" customHeight="1" x14ac:dyDescent="0.3">
      <c r="A1020" s="373">
        <v>201</v>
      </c>
      <c r="B1020" s="373" t="s">
        <v>191</v>
      </c>
      <c r="C1020" s="49">
        <v>12150</v>
      </c>
      <c r="D1020" s="373">
        <v>1</v>
      </c>
      <c r="E1020" s="373" t="s">
        <v>255</v>
      </c>
      <c r="F1020" s="373">
        <v>1450</v>
      </c>
      <c r="G1020" s="373">
        <v>1200</v>
      </c>
      <c r="H1020" s="373" t="s">
        <v>50</v>
      </c>
      <c r="I1020" s="373">
        <v>150</v>
      </c>
      <c r="J1020" s="376" t="s">
        <v>45</v>
      </c>
      <c r="K1020" s="373">
        <v>30</v>
      </c>
      <c r="L1020" s="373">
        <v>6.5</v>
      </c>
      <c r="M1020" s="379" t="s">
        <v>14</v>
      </c>
      <c r="N1020" s="408" t="s">
        <v>297</v>
      </c>
      <c r="O1020" s="373" t="s">
        <v>27</v>
      </c>
      <c r="P1020" s="271"/>
      <c r="Q1020" s="373" t="s">
        <v>256</v>
      </c>
      <c r="R1020" s="350">
        <v>44042</v>
      </c>
    </row>
    <row r="1021" spans="1:20" ht="15" customHeight="1" x14ac:dyDescent="0.3">
      <c r="A1021" s="374"/>
      <c r="B1021" s="374"/>
      <c r="C1021" s="51">
        <v>-11900</v>
      </c>
      <c r="D1021" s="374"/>
      <c r="E1021" s="374"/>
      <c r="F1021" s="374"/>
      <c r="G1021" s="374"/>
      <c r="H1021" s="374"/>
      <c r="I1021" s="374"/>
      <c r="J1021" s="377"/>
      <c r="K1021" s="374"/>
      <c r="L1021" s="374"/>
      <c r="M1021" s="380"/>
      <c r="N1021" s="409"/>
      <c r="O1021" s="374"/>
      <c r="P1021" s="272"/>
      <c r="Q1021" s="374"/>
      <c r="R1021" s="351"/>
      <c r="T1021" s="288">
        <v>1</v>
      </c>
    </row>
    <row r="1022" spans="1:20" ht="15" customHeight="1" thickBot="1" x14ac:dyDescent="0.35">
      <c r="A1022" s="375"/>
      <c r="B1022" s="375"/>
      <c r="C1022" s="50">
        <v>7527</v>
      </c>
      <c r="D1022" s="375"/>
      <c r="E1022" s="375"/>
      <c r="F1022" s="375"/>
      <c r="G1022" s="375"/>
      <c r="H1022" s="375"/>
      <c r="I1022" s="375"/>
      <c r="J1022" s="378"/>
      <c r="K1022" s="375"/>
      <c r="L1022" s="375"/>
      <c r="M1022" s="381"/>
      <c r="N1022" s="410"/>
      <c r="O1022" s="375"/>
      <c r="P1022" s="299">
        <v>44066</v>
      </c>
      <c r="Q1022" s="375"/>
      <c r="R1022" s="351"/>
    </row>
    <row r="1023" spans="1:20" ht="15" hidden="1" customHeight="1" x14ac:dyDescent="0.3">
      <c r="A1023" s="367">
        <v>202</v>
      </c>
      <c r="B1023" s="367" t="s">
        <v>179</v>
      </c>
      <c r="C1023" s="40">
        <v>12150</v>
      </c>
      <c r="D1023" s="367">
        <v>1</v>
      </c>
      <c r="E1023" s="367" t="s">
        <v>66</v>
      </c>
      <c r="F1023" s="367">
        <v>1450</v>
      </c>
      <c r="G1023" s="367">
        <v>1200</v>
      </c>
      <c r="H1023" s="367" t="s">
        <v>50</v>
      </c>
      <c r="I1023" s="367">
        <v>60</v>
      </c>
      <c r="J1023" s="367">
        <f>-0.05/0.68</f>
        <v>-7.3529411764705885E-2</v>
      </c>
      <c r="K1023" s="367">
        <v>30</v>
      </c>
      <c r="L1023" s="367">
        <v>10</v>
      </c>
      <c r="M1023" s="358" t="s">
        <v>14</v>
      </c>
      <c r="N1023" s="396" t="s">
        <v>297</v>
      </c>
      <c r="O1023" s="367" t="s">
        <v>27</v>
      </c>
      <c r="P1023" s="65"/>
      <c r="Q1023" s="367" t="s">
        <v>237</v>
      </c>
    </row>
    <row r="1024" spans="1:20" ht="15" customHeight="1" x14ac:dyDescent="0.3">
      <c r="A1024" s="368"/>
      <c r="B1024" s="368"/>
      <c r="C1024" s="41">
        <v>-12150</v>
      </c>
      <c r="D1024" s="368"/>
      <c r="E1024" s="368"/>
      <c r="F1024" s="368"/>
      <c r="G1024" s="368"/>
      <c r="H1024" s="368"/>
      <c r="I1024" s="368"/>
      <c r="J1024" s="368"/>
      <c r="K1024" s="368"/>
      <c r="L1024" s="368"/>
      <c r="M1024" s="359"/>
      <c r="N1024" s="397"/>
      <c r="O1024" s="368"/>
      <c r="P1024" s="66"/>
      <c r="Q1024" s="368"/>
      <c r="T1024" s="200">
        <v>1</v>
      </c>
    </row>
    <row r="1025" spans="1:20" ht="15" customHeight="1" thickBot="1" x14ac:dyDescent="0.35">
      <c r="A1025" s="369"/>
      <c r="B1025" s="369"/>
      <c r="C1025" s="42">
        <v>7527</v>
      </c>
      <c r="D1025" s="369"/>
      <c r="E1025" s="369"/>
      <c r="F1025" s="369"/>
      <c r="G1025" s="369"/>
      <c r="H1025" s="369"/>
      <c r="I1025" s="369"/>
      <c r="J1025" s="369"/>
      <c r="K1025" s="369"/>
      <c r="L1025" s="369"/>
      <c r="M1025" s="360"/>
      <c r="N1025" s="398"/>
      <c r="O1025" s="369"/>
      <c r="P1025" s="227">
        <v>44066</v>
      </c>
      <c r="Q1025" s="369"/>
    </row>
    <row r="1026" spans="1:20" ht="15" hidden="1" customHeight="1" x14ac:dyDescent="0.3">
      <c r="A1026" s="367">
        <v>203</v>
      </c>
      <c r="B1026" s="367" t="s">
        <v>59</v>
      </c>
      <c r="C1026" s="40">
        <v>10200</v>
      </c>
      <c r="D1026" s="367">
        <v>1</v>
      </c>
      <c r="E1026" s="367" t="s">
        <v>250</v>
      </c>
      <c r="F1026" s="367">
        <v>1450</v>
      </c>
      <c r="G1026" s="367">
        <v>1200</v>
      </c>
      <c r="H1026" s="367" t="s">
        <v>251</v>
      </c>
      <c r="I1026" s="367">
        <v>150</v>
      </c>
      <c r="J1026" s="370" t="s">
        <v>45</v>
      </c>
      <c r="K1026" s="367">
        <v>50</v>
      </c>
      <c r="L1026" s="367">
        <v>126.5</v>
      </c>
      <c r="M1026" s="358" t="s">
        <v>14</v>
      </c>
      <c r="N1026" s="396" t="s">
        <v>297</v>
      </c>
      <c r="O1026" s="367" t="s">
        <v>27</v>
      </c>
      <c r="P1026" s="65"/>
      <c r="Q1026" s="367" t="s">
        <v>252</v>
      </c>
      <c r="T1026" s="200">
        <v>1</v>
      </c>
    </row>
    <row r="1027" spans="1:20" ht="15" customHeight="1" x14ac:dyDescent="0.3">
      <c r="A1027" s="368"/>
      <c r="B1027" s="368"/>
      <c r="C1027" s="41">
        <v>-6650</v>
      </c>
      <c r="D1027" s="368"/>
      <c r="E1027" s="368"/>
      <c r="F1027" s="368"/>
      <c r="G1027" s="368"/>
      <c r="H1027" s="368"/>
      <c r="I1027" s="368"/>
      <c r="J1027" s="371"/>
      <c r="K1027" s="368"/>
      <c r="L1027" s="368"/>
      <c r="M1027" s="359"/>
      <c r="N1027" s="397"/>
      <c r="O1027" s="368"/>
      <c r="P1027" s="226">
        <v>44066</v>
      </c>
      <c r="Q1027" s="368"/>
    </row>
    <row r="1028" spans="1:20" ht="15" customHeight="1" thickBot="1" x14ac:dyDescent="0.35">
      <c r="A1028" s="369"/>
      <c r="B1028" s="369"/>
      <c r="C1028" s="42">
        <v>7527</v>
      </c>
      <c r="D1028" s="369"/>
      <c r="E1028" s="369"/>
      <c r="F1028" s="369"/>
      <c r="G1028" s="369"/>
      <c r="H1028" s="369"/>
      <c r="I1028" s="369"/>
      <c r="J1028" s="372"/>
      <c r="K1028" s="369"/>
      <c r="L1028" s="369"/>
      <c r="M1028" s="360"/>
      <c r="N1028" s="398"/>
      <c r="O1028" s="369"/>
      <c r="P1028" s="67"/>
      <c r="Q1028" s="369"/>
    </row>
    <row r="1029" spans="1:20" ht="15" hidden="1" customHeight="1" x14ac:dyDescent="0.3">
      <c r="A1029" s="367">
        <v>204</v>
      </c>
      <c r="B1029" s="367" t="s">
        <v>59</v>
      </c>
      <c r="C1029" s="40">
        <v>6065</v>
      </c>
      <c r="D1029" s="367">
        <v>1</v>
      </c>
      <c r="E1029" s="367" t="s">
        <v>250</v>
      </c>
      <c r="F1029" s="367">
        <v>1450</v>
      </c>
      <c r="G1029" s="367">
        <v>1200</v>
      </c>
      <c r="H1029" s="367" t="s">
        <v>251</v>
      </c>
      <c r="I1029" s="367">
        <v>150</v>
      </c>
      <c r="J1029" s="370" t="s">
        <v>45</v>
      </c>
      <c r="K1029" s="367">
        <v>50</v>
      </c>
      <c r="L1029" s="367">
        <v>126.5</v>
      </c>
      <c r="M1029" s="358" t="s">
        <v>14</v>
      </c>
      <c r="N1029" s="396" t="s">
        <v>297</v>
      </c>
      <c r="O1029" s="367" t="s">
        <v>27</v>
      </c>
      <c r="P1029" s="65"/>
      <c r="Q1029" s="367" t="s">
        <v>252</v>
      </c>
      <c r="T1029" s="200">
        <v>1</v>
      </c>
    </row>
    <row r="1030" spans="1:20" ht="15" customHeight="1" x14ac:dyDescent="0.3">
      <c r="A1030" s="368"/>
      <c r="B1030" s="368"/>
      <c r="C1030" s="41">
        <v>-6200</v>
      </c>
      <c r="D1030" s="368"/>
      <c r="E1030" s="368"/>
      <c r="F1030" s="368"/>
      <c r="G1030" s="368"/>
      <c r="H1030" s="368"/>
      <c r="I1030" s="368"/>
      <c r="J1030" s="371"/>
      <c r="K1030" s="368"/>
      <c r="L1030" s="368"/>
      <c r="M1030" s="359"/>
      <c r="N1030" s="397"/>
      <c r="O1030" s="368"/>
      <c r="P1030" s="66"/>
      <c r="Q1030" s="368"/>
    </row>
    <row r="1031" spans="1:20" ht="15" customHeight="1" thickBot="1" x14ac:dyDescent="0.35">
      <c r="A1031" s="369"/>
      <c r="B1031" s="369"/>
      <c r="C1031" s="42">
        <v>7527</v>
      </c>
      <c r="D1031" s="369"/>
      <c r="E1031" s="369"/>
      <c r="F1031" s="369"/>
      <c r="G1031" s="369"/>
      <c r="H1031" s="369"/>
      <c r="I1031" s="369"/>
      <c r="J1031" s="372"/>
      <c r="K1031" s="369"/>
      <c r="L1031" s="369"/>
      <c r="M1031" s="360"/>
      <c r="N1031" s="398"/>
      <c r="O1031" s="369"/>
      <c r="P1031" s="227">
        <v>44066</v>
      </c>
      <c r="Q1031" s="369"/>
    </row>
    <row r="1032" spans="1:20" ht="15" hidden="1" customHeight="1" x14ac:dyDescent="0.3">
      <c r="A1032" s="367">
        <v>205</v>
      </c>
      <c r="B1032" s="367" t="s">
        <v>174</v>
      </c>
      <c r="C1032" s="40">
        <v>-4740</v>
      </c>
      <c r="D1032" s="370">
        <v>0</v>
      </c>
      <c r="E1032" s="367" t="s">
        <v>13</v>
      </c>
      <c r="F1032" s="367">
        <v>1450</v>
      </c>
      <c r="G1032" s="367">
        <v>1200</v>
      </c>
      <c r="H1032" s="367" t="s">
        <v>30</v>
      </c>
      <c r="I1032" s="367" t="s">
        <v>13</v>
      </c>
      <c r="J1032" s="367" t="s">
        <v>13</v>
      </c>
      <c r="K1032" s="367" t="s">
        <v>13</v>
      </c>
      <c r="L1032" s="367" t="s">
        <v>13</v>
      </c>
      <c r="M1032" s="358" t="s">
        <v>14</v>
      </c>
      <c r="N1032" s="396" t="s">
        <v>234</v>
      </c>
      <c r="O1032" s="367" t="s">
        <v>27</v>
      </c>
      <c r="P1032" s="65"/>
      <c r="Q1032" s="367" t="s">
        <v>176</v>
      </c>
    </row>
    <row r="1033" spans="1:20" ht="15" customHeight="1" x14ac:dyDescent="0.3">
      <c r="A1033" s="368"/>
      <c r="B1033" s="368"/>
      <c r="C1033" s="40">
        <v>3700</v>
      </c>
      <c r="D1033" s="371"/>
      <c r="E1033" s="368"/>
      <c r="F1033" s="368"/>
      <c r="G1033" s="368"/>
      <c r="H1033" s="368"/>
      <c r="I1033" s="368"/>
      <c r="J1033" s="368"/>
      <c r="K1033" s="368"/>
      <c r="L1033" s="368"/>
      <c r="M1033" s="359"/>
      <c r="N1033" s="397"/>
      <c r="O1033" s="368"/>
      <c r="P1033" s="226">
        <v>44066</v>
      </c>
      <c r="Q1033" s="368"/>
      <c r="T1033" s="200">
        <v>1</v>
      </c>
    </row>
    <row r="1034" spans="1:20" ht="15" customHeight="1" thickBot="1" x14ac:dyDescent="0.35">
      <c r="A1034" s="369"/>
      <c r="B1034" s="369"/>
      <c r="C1034" s="42">
        <v>7527</v>
      </c>
      <c r="D1034" s="372"/>
      <c r="E1034" s="369"/>
      <c r="F1034" s="369"/>
      <c r="G1034" s="369"/>
      <c r="H1034" s="369"/>
      <c r="I1034" s="369"/>
      <c r="J1034" s="369"/>
      <c r="K1034" s="369"/>
      <c r="L1034" s="369"/>
      <c r="M1034" s="360"/>
      <c r="N1034" s="398"/>
      <c r="O1034" s="369"/>
      <c r="P1034" s="67"/>
      <c r="Q1034" s="369"/>
    </row>
    <row r="1035" spans="1:20" ht="15" hidden="1" customHeight="1" x14ac:dyDescent="0.3">
      <c r="A1035" s="367">
        <v>206</v>
      </c>
      <c r="B1035" s="367" t="s">
        <v>56</v>
      </c>
      <c r="C1035" s="40">
        <v>6970</v>
      </c>
      <c r="D1035" s="367">
        <v>1</v>
      </c>
      <c r="E1035" s="367" t="s">
        <v>248</v>
      </c>
      <c r="F1035" s="367">
        <v>1450</v>
      </c>
      <c r="G1035" s="367">
        <v>1200</v>
      </c>
      <c r="H1035" s="367" t="s">
        <v>61</v>
      </c>
      <c r="I1035" s="367">
        <v>150</v>
      </c>
      <c r="J1035" s="370" t="s">
        <v>45</v>
      </c>
      <c r="K1035" s="367">
        <v>50</v>
      </c>
      <c r="L1035" s="367">
        <v>76.5</v>
      </c>
      <c r="M1035" s="358" t="s">
        <v>14</v>
      </c>
      <c r="N1035" s="396" t="s">
        <v>297</v>
      </c>
      <c r="O1035" s="367" t="s">
        <v>27</v>
      </c>
      <c r="P1035" s="218"/>
      <c r="Q1035" s="367" t="s">
        <v>249</v>
      </c>
    </row>
    <row r="1036" spans="1:20" ht="15" customHeight="1" x14ac:dyDescent="0.3">
      <c r="A1036" s="368"/>
      <c r="B1036" s="368"/>
      <c r="C1036" s="41">
        <v>-6855</v>
      </c>
      <c r="D1036" s="368"/>
      <c r="E1036" s="368"/>
      <c r="F1036" s="368"/>
      <c r="G1036" s="368"/>
      <c r="H1036" s="368"/>
      <c r="I1036" s="368"/>
      <c r="J1036" s="371"/>
      <c r="K1036" s="368"/>
      <c r="L1036" s="368"/>
      <c r="M1036" s="359"/>
      <c r="N1036" s="397"/>
      <c r="O1036" s="368"/>
      <c r="P1036" s="226">
        <v>44072</v>
      </c>
      <c r="Q1036" s="368"/>
      <c r="R1036" s="186">
        <v>44072</v>
      </c>
      <c r="T1036" s="200">
        <v>1</v>
      </c>
    </row>
    <row r="1037" spans="1:20" ht="15" customHeight="1" thickBot="1" x14ac:dyDescent="0.35">
      <c r="A1037" s="369"/>
      <c r="B1037" s="369"/>
      <c r="C1037" s="42">
        <v>7527</v>
      </c>
      <c r="D1037" s="369"/>
      <c r="E1037" s="369"/>
      <c r="F1037" s="369"/>
      <c r="G1037" s="369"/>
      <c r="H1037" s="369"/>
      <c r="I1037" s="369"/>
      <c r="J1037" s="372"/>
      <c r="K1037" s="369"/>
      <c r="L1037" s="369"/>
      <c r="M1037" s="360"/>
      <c r="N1037" s="398"/>
      <c r="O1037" s="369"/>
      <c r="P1037" s="220"/>
      <c r="Q1037" s="369"/>
    </row>
    <row r="1038" spans="1:20" ht="15" hidden="1" customHeight="1" x14ac:dyDescent="0.3">
      <c r="A1038" s="414">
        <v>207</v>
      </c>
      <c r="B1038" s="414" t="s">
        <v>64</v>
      </c>
      <c r="C1038" s="106">
        <v>9500</v>
      </c>
      <c r="D1038" s="414">
        <v>1</v>
      </c>
      <c r="E1038" s="414" t="s">
        <v>245</v>
      </c>
      <c r="F1038" s="414">
        <v>1450</v>
      </c>
      <c r="G1038" s="414">
        <v>1200</v>
      </c>
      <c r="H1038" s="414" t="s">
        <v>12</v>
      </c>
      <c r="I1038" s="414">
        <v>350</v>
      </c>
      <c r="J1038" s="414" t="s">
        <v>45</v>
      </c>
      <c r="K1038" s="414">
        <v>90</v>
      </c>
      <c r="L1038" s="414">
        <v>46</v>
      </c>
      <c r="M1038" s="417" t="s">
        <v>14</v>
      </c>
      <c r="N1038" s="420" t="s">
        <v>297</v>
      </c>
      <c r="O1038" s="414" t="s">
        <v>27</v>
      </c>
      <c r="P1038" s="341"/>
      <c r="Q1038" s="414" t="s">
        <v>246</v>
      </c>
    </row>
    <row r="1039" spans="1:20" ht="15" customHeight="1" x14ac:dyDescent="0.3">
      <c r="A1039" s="415"/>
      <c r="B1039" s="415"/>
      <c r="C1039" s="107">
        <v>-7800</v>
      </c>
      <c r="D1039" s="415"/>
      <c r="E1039" s="415"/>
      <c r="F1039" s="415"/>
      <c r="G1039" s="415"/>
      <c r="H1039" s="415"/>
      <c r="I1039" s="415"/>
      <c r="J1039" s="415"/>
      <c r="K1039" s="415"/>
      <c r="L1039" s="415"/>
      <c r="M1039" s="418"/>
      <c r="N1039" s="421"/>
      <c r="O1039" s="415"/>
      <c r="P1039" s="229">
        <v>44066</v>
      </c>
      <c r="Q1039" s="415"/>
      <c r="T1039" s="200">
        <v>1</v>
      </c>
    </row>
    <row r="1040" spans="1:20" ht="15" customHeight="1" thickBot="1" x14ac:dyDescent="0.35">
      <c r="A1040" s="416"/>
      <c r="B1040" s="416"/>
      <c r="C1040" s="109">
        <v>7527</v>
      </c>
      <c r="D1040" s="416"/>
      <c r="E1040" s="416"/>
      <c r="F1040" s="416"/>
      <c r="G1040" s="416"/>
      <c r="H1040" s="416"/>
      <c r="I1040" s="416"/>
      <c r="J1040" s="416"/>
      <c r="K1040" s="416"/>
      <c r="L1040" s="416"/>
      <c r="M1040" s="419"/>
      <c r="N1040" s="422"/>
      <c r="O1040" s="416"/>
      <c r="P1040" s="342"/>
      <c r="Q1040" s="416"/>
    </row>
    <row r="1041" spans="1:20" ht="15" hidden="1" customHeight="1" x14ac:dyDescent="0.3">
      <c r="A1041" s="367">
        <v>208</v>
      </c>
      <c r="B1041" s="367" t="s">
        <v>257</v>
      </c>
      <c r="C1041" s="40">
        <v>8500</v>
      </c>
      <c r="D1041" s="367">
        <v>1</v>
      </c>
      <c r="E1041" s="367" t="s">
        <v>245</v>
      </c>
      <c r="F1041" s="367">
        <v>1450</v>
      </c>
      <c r="G1041" s="367">
        <v>1200</v>
      </c>
      <c r="H1041" s="367" t="s">
        <v>19</v>
      </c>
      <c r="I1041" s="367">
        <v>350</v>
      </c>
      <c r="J1041" s="370" t="s">
        <v>45</v>
      </c>
      <c r="K1041" s="367">
        <v>90</v>
      </c>
      <c r="L1041" s="367">
        <v>-32</v>
      </c>
      <c r="M1041" s="358" t="s">
        <v>14</v>
      </c>
      <c r="N1041" s="396" t="s">
        <v>297</v>
      </c>
      <c r="O1041" s="367" t="s">
        <v>27</v>
      </c>
      <c r="P1041" s="65"/>
      <c r="Q1041" s="367" t="s">
        <v>243</v>
      </c>
      <c r="T1041" s="200">
        <v>1</v>
      </c>
    </row>
    <row r="1042" spans="1:20" ht="15" customHeight="1" x14ac:dyDescent="0.3">
      <c r="A1042" s="368"/>
      <c r="B1042" s="368"/>
      <c r="C1042" s="41">
        <v>-8000</v>
      </c>
      <c r="D1042" s="368"/>
      <c r="E1042" s="368"/>
      <c r="F1042" s="368"/>
      <c r="G1042" s="368"/>
      <c r="H1042" s="368"/>
      <c r="I1042" s="368"/>
      <c r="J1042" s="371"/>
      <c r="K1042" s="368"/>
      <c r="L1042" s="368"/>
      <c r="M1042" s="359"/>
      <c r="N1042" s="397"/>
      <c r="O1042" s="368"/>
      <c r="P1042" s="226">
        <v>44066</v>
      </c>
      <c r="Q1042" s="368"/>
    </row>
    <row r="1043" spans="1:20" ht="15" customHeight="1" thickBot="1" x14ac:dyDescent="0.35">
      <c r="A1043" s="369"/>
      <c r="B1043" s="369"/>
      <c r="C1043" s="42">
        <v>7527</v>
      </c>
      <c r="D1043" s="369"/>
      <c r="E1043" s="369"/>
      <c r="F1043" s="369"/>
      <c r="G1043" s="369"/>
      <c r="H1043" s="369"/>
      <c r="I1043" s="369"/>
      <c r="J1043" s="372"/>
      <c r="K1043" s="369"/>
      <c r="L1043" s="369"/>
      <c r="M1043" s="360"/>
      <c r="N1043" s="398"/>
      <c r="O1043" s="369"/>
      <c r="P1043" s="67"/>
      <c r="Q1043" s="369"/>
    </row>
    <row r="1044" spans="1:20" ht="15" hidden="1" customHeight="1" x14ac:dyDescent="0.3">
      <c r="A1044" s="367">
        <v>209</v>
      </c>
      <c r="B1044" s="367" t="s">
        <v>174</v>
      </c>
      <c r="C1044" s="40">
        <v>3170</v>
      </c>
      <c r="D1044" s="370">
        <v>0</v>
      </c>
      <c r="E1044" s="367" t="s">
        <v>13</v>
      </c>
      <c r="F1044" s="367">
        <v>1450</v>
      </c>
      <c r="G1044" s="367">
        <v>1200</v>
      </c>
      <c r="H1044" s="367" t="s">
        <v>50</v>
      </c>
      <c r="I1044" s="367" t="s">
        <v>13</v>
      </c>
      <c r="J1044" s="367" t="s">
        <v>13</v>
      </c>
      <c r="K1044" s="367" t="s">
        <v>13</v>
      </c>
      <c r="L1044" s="367" t="s">
        <v>13</v>
      </c>
      <c r="M1044" s="358" t="s">
        <v>14</v>
      </c>
      <c r="N1044" s="396" t="s">
        <v>297</v>
      </c>
      <c r="O1044" s="367" t="s">
        <v>27</v>
      </c>
      <c r="P1044" s="65"/>
      <c r="Q1044" s="367" t="s">
        <v>176</v>
      </c>
    </row>
    <row r="1045" spans="1:20" ht="15" customHeight="1" x14ac:dyDescent="0.3">
      <c r="A1045" s="368"/>
      <c r="B1045" s="368"/>
      <c r="C1045" s="41">
        <v>-4740</v>
      </c>
      <c r="D1045" s="371"/>
      <c r="E1045" s="368"/>
      <c r="F1045" s="368"/>
      <c r="G1045" s="368"/>
      <c r="H1045" s="368"/>
      <c r="I1045" s="368"/>
      <c r="J1045" s="368"/>
      <c r="K1045" s="368"/>
      <c r="L1045" s="368"/>
      <c r="M1045" s="359"/>
      <c r="N1045" s="397"/>
      <c r="O1045" s="368"/>
      <c r="P1045" s="226">
        <v>44066</v>
      </c>
      <c r="Q1045" s="368"/>
      <c r="T1045" s="200">
        <v>1</v>
      </c>
    </row>
    <row r="1046" spans="1:20" ht="15" customHeight="1" thickBot="1" x14ac:dyDescent="0.35">
      <c r="A1046" s="369"/>
      <c r="B1046" s="369"/>
      <c r="C1046" s="42">
        <v>7527</v>
      </c>
      <c r="D1046" s="372"/>
      <c r="E1046" s="369"/>
      <c r="F1046" s="369"/>
      <c r="G1046" s="369"/>
      <c r="H1046" s="369"/>
      <c r="I1046" s="369"/>
      <c r="J1046" s="369"/>
      <c r="K1046" s="369"/>
      <c r="L1046" s="369"/>
      <c r="M1046" s="360"/>
      <c r="N1046" s="398"/>
      <c r="O1046" s="369"/>
      <c r="P1046" s="67"/>
      <c r="Q1046" s="369"/>
    </row>
    <row r="1047" spans="1:20" ht="15" hidden="1" customHeight="1" x14ac:dyDescent="0.3">
      <c r="A1047" s="367">
        <v>210</v>
      </c>
      <c r="B1047" s="367" t="s">
        <v>64</v>
      </c>
      <c r="C1047" s="40">
        <v>2720</v>
      </c>
      <c r="D1047" s="367">
        <v>1</v>
      </c>
      <c r="E1047" s="367" t="s">
        <v>245</v>
      </c>
      <c r="F1047" s="367">
        <v>1450</v>
      </c>
      <c r="G1047" s="367">
        <v>1200</v>
      </c>
      <c r="H1047" s="367" t="s">
        <v>12</v>
      </c>
      <c r="I1047" s="367">
        <v>350</v>
      </c>
      <c r="J1047" s="370" t="s">
        <v>45</v>
      </c>
      <c r="K1047" s="367">
        <v>90</v>
      </c>
      <c r="L1047" s="367">
        <v>46</v>
      </c>
      <c r="M1047" s="358" t="s">
        <v>14</v>
      </c>
      <c r="N1047" s="396" t="s">
        <v>297</v>
      </c>
      <c r="O1047" s="367" t="s">
        <v>27</v>
      </c>
      <c r="P1047" s="290"/>
      <c r="Q1047" s="367" t="s">
        <v>246</v>
      </c>
      <c r="R1047" s="186">
        <v>44066</v>
      </c>
    </row>
    <row r="1048" spans="1:20" ht="15" customHeight="1" x14ac:dyDescent="0.3">
      <c r="A1048" s="368"/>
      <c r="B1048" s="368"/>
      <c r="C1048" s="41">
        <v>-7280</v>
      </c>
      <c r="D1048" s="368"/>
      <c r="E1048" s="368"/>
      <c r="F1048" s="368"/>
      <c r="G1048" s="368"/>
      <c r="H1048" s="368"/>
      <c r="I1048" s="368"/>
      <c r="J1048" s="371"/>
      <c r="K1048" s="368"/>
      <c r="L1048" s="368"/>
      <c r="M1048" s="359"/>
      <c r="N1048" s="397"/>
      <c r="O1048" s="368"/>
      <c r="P1048" s="226">
        <v>44095</v>
      </c>
      <c r="Q1048" s="368"/>
      <c r="T1048" s="200">
        <v>1</v>
      </c>
    </row>
    <row r="1049" spans="1:20" ht="15" customHeight="1" thickBot="1" x14ac:dyDescent="0.35">
      <c r="A1049" s="369"/>
      <c r="B1049" s="369"/>
      <c r="C1049" s="42">
        <v>7527</v>
      </c>
      <c r="D1049" s="369"/>
      <c r="E1049" s="369"/>
      <c r="F1049" s="369"/>
      <c r="G1049" s="369"/>
      <c r="H1049" s="369"/>
      <c r="I1049" s="369"/>
      <c r="J1049" s="372"/>
      <c r="K1049" s="369"/>
      <c r="L1049" s="369"/>
      <c r="M1049" s="360"/>
      <c r="N1049" s="398"/>
      <c r="O1049" s="369"/>
      <c r="P1049" s="292"/>
      <c r="Q1049" s="369"/>
    </row>
    <row r="1050" spans="1:20" ht="15" hidden="1" customHeight="1" thickBot="1" x14ac:dyDescent="0.35">
      <c r="A1050" s="426">
        <v>211</v>
      </c>
      <c r="B1050" s="426" t="s">
        <v>179</v>
      </c>
      <c r="C1050" s="40">
        <v>5600</v>
      </c>
      <c r="D1050" s="426">
        <v>1</v>
      </c>
      <c r="E1050" s="426" t="s">
        <v>239</v>
      </c>
      <c r="F1050" s="426">
        <v>1450</v>
      </c>
      <c r="G1050" s="426">
        <v>1200</v>
      </c>
      <c r="H1050" s="426" t="s">
        <v>44</v>
      </c>
      <c r="I1050" s="426">
        <v>350</v>
      </c>
      <c r="J1050" s="428" t="s">
        <v>45</v>
      </c>
      <c r="K1050" s="426">
        <v>40</v>
      </c>
      <c r="L1050" s="426">
        <v>95.5</v>
      </c>
      <c r="M1050" s="429" t="s">
        <v>14</v>
      </c>
      <c r="N1050" s="430" t="s">
        <v>297</v>
      </c>
      <c r="O1050" s="426" t="s">
        <v>27</v>
      </c>
      <c r="P1050" s="320"/>
      <c r="Q1050" s="426" t="s">
        <v>247</v>
      </c>
      <c r="R1050" s="186">
        <v>44066</v>
      </c>
    </row>
    <row r="1051" spans="1:20" ht="15" customHeight="1" x14ac:dyDescent="0.3">
      <c r="A1051" s="368"/>
      <c r="B1051" s="368"/>
      <c r="C1051" s="41">
        <v>-11000</v>
      </c>
      <c r="D1051" s="368"/>
      <c r="E1051" s="368"/>
      <c r="F1051" s="368"/>
      <c r="G1051" s="368"/>
      <c r="H1051" s="368"/>
      <c r="I1051" s="368"/>
      <c r="J1051" s="371"/>
      <c r="K1051" s="368"/>
      <c r="L1051" s="368"/>
      <c r="M1051" s="359"/>
      <c r="N1051" s="397"/>
      <c r="O1051" s="368"/>
      <c r="P1051" s="226">
        <v>44095</v>
      </c>
      <c r="Q1051" s="368"/>
      <c r="T1051" s="200">
        <v>1</v>
      </c>
    </row>
    <row r="1052" spans="1:20" ht="15" customHeight="1" x14ac:dyDescent="0.3">
      <c r="A1052" s="368"/>
      <c r="B1052" s="368"/>
      <c r="C1052" s="40">
        <v>7527</v>
      </c>
      <c r="D1052" s="368"/>
      <c r="E1052" s="368"/>
      <c r="F1052" s="368"/>
      <c r="G1052" s="368"/>
      <c r="H1052" s="368"/>
      <c r="I1052" s="368"/>
      <c r="J1052" s="371"/>
      <c r="K1052" s="368"/>
      <c r="L1052" s="368"/>
      <c r="M1052" s="359"/>
      <c r="N1052" s="397"/>
      <c r="O1052" s="368"/>
      <c r="P1052" s="291"/>
      <c r="Q1052" s="368"/>
    </row>
    <row r="1053" spans="1:20" ht="15" hidden="1" customHeight="1" x14ac:dyDescent="0.3">
      <c r="A1053" s="423">
        <v>212</v>
      </c>
      <c r="B1053" s="423" t="s">
        <v>174</v>
      </c>
      <c r="C1053" s="62">
        <v>4640</v>
      </c>
      <c r="D1053" s="427">
        <v>0</v>
      </c>
      <c r="E1053" s="423" t="s">
        <v>13</v>
      </c>
      <c r="F1053" s="423">
        <v>1450</v>
      </c>
      <c r="G1053" s="423">
        <v>1200</v>
      </c>
      <c r="H1053" s="423" t="s">
        <v>50</v>
      </c>
      <c r="I1053" s="423" t="s">
        <v>13</v>
      </c>
      <c r="J1053" s="423" t="s">
        <v>13</v>
      </c>
      <c r="K1053" s="423" t="s">
        <v>13</v>
      </c>
      <c r="L1053" s="423" t="s">
        <v>13</v>
      </c>
      <c r="M1053" s="424" t="s">
        <v>14</v>
      </c>
      <c r="N1053" s="425" t="s">
        <v>297</v>
      </c>
      <c r="O1053" s="423" t="s">
        <v>27</v>
      </c>
      <c r="P1053" s="89"/>
      <c r="Q1053" s="423" t="s">
        <v>176</v>
      </c>
    </row>
    <row r="1054" spans="1:20" ht="15" customHeight="1" x14ac:dyDescent="0.3">
      <c r="A1054" s="368"/>
      <c r="B1054" s="368"/>
      <c r="C1054" s="41">
        <v>-12350</v>
      </c>
      <c r="D1054" s="371"/>
      <c r="E1054" s="368"/>
      <c r="F1054" s="368"/>
      <c r="G1054" s="368"/>
      <c r="H1054" s="368"/>
      <c r="I1054" s="368"/>
      <c r="J1054" s="368"/>
      <c r="K1054" s="368"/>
      <c r="L1054" s="368"/>
      <c r="M1054" s="359"/>
      <c r="N1054" s="397"/>
      <c r="O1054" s="368"/>
      <c r="P1054" s="226">
        <v>44066</v>
      </c>
      <c r="Q1054" s="368"/>
      <c r="T1054" s="200">
        <v>1</v>
      </c>
    </row>
    <row r="1055" spans="1:20" ht="15" customHeight="1" thickBot="1" x14ac:dyDescent="0.35">
      <c r="A1055" s="369"/>
      <c r="B1055" s="369"/>
      <c r="C1055" s="42">
        <v>7527</v>
      </c>
      <c r="D1055" s="372"/>
      <c r="E1055" s="369"/>
      <c r="F1055" s="369"/>
      <c r="G1055" s="369"/>
      <c r="H1055" s="369"/>
      <c r="I1055" s="369"/>
      <c r="J1055" s="369"/>
      <c r="K1055" s="369"/>
      <c r="L1055" s="369"/>
      <c r="M1055" s="360"/>
      <c r="N1055" s="398"/>
      <c r="O1055" s="369"/>
      <c r="P1055" s="67"/>
      <c r="Q1055" s="369"/>
    </row>
    <row r="1056" spans="1:20" ht="15" hidden="1" customHeight="1" x14ac:dyDescent="0.3">
      <c r="A1056" s="367">
        <v>213</v>
      </c>
      <c r="B1056" s="367" t="s">
        <v>174</v>
      </c>
      <c r="C1056" s="40">
        <v>4640</v>
      </c>
      <c r="D1056" s="370">
        <v>0</v>
      </c>
      <c r="E1056" s="367" t="s">
        <v>13</v>
      </c>
      <c r="F1056" s="367">
        <v>1450</v>
      </c>
      <c r="G1056" s="367">
        <v>1200</v>
      </c>
      <c r="H1056" s="367" t="s">
        <v>50</v>
      </c>
      <c r="I1056" s="367" t="s">
        <v>13</v>
      </c>
      <c r="J1056" s="367" t="s">
        <v>13</v>
      </c>
      <c r="K1056" s="367" t="s">
        <v>13</v>
      </c>
      <c r="L1056" s="367" t="s">
        <v>13</v>
      </c>
      <c r="M1056" s="358" t="s">
        <v>14</v>
      </c>
      <c r="N1056" s="396" t="s">
        <v>297</v>
      </c>
      <c r="O1056" s="367" t="s">
        <v>27</v>
      </c>
      <c r="P1056" s="65"/>
      <c r="Q1056" s="367" t="s">
        <v>176</v>
      </c>
    </row>
    <row r="1057" spans="1:20" ht="15" customHeight="1" x14ac:dyDescent="0.3">
      <c r="A1057" s="368"/>
      <c r="B1057" s="368"/>
      <c r="C1057" s="41">
        <v>-12700</v>
      </c>
      <c r="D1057" s="371"/>
      <c r="E1057" s="368"/>
      <c r="F1057" s="368"/>
      <c r="G1057" s="368"/>
      <c r="H1057" s="368"/>
      <c r="I1057" s="368"/>
      <c r="J1057" s="368"/>
      <c r="K1057" s="368"/>
      <c r="L1057" s="368"/>
      <c r="M1057" s="359"/>
      <c r="N1057" s="397"/>
      <c r="O1057" s="368"/>
      <c r="P1057" s="226">
        <v>44066</v>
      </c>
      <c r="Q1057" s="368"/>
      <c r="T1057" s="200">
        <v>1</v>
      </c>
    </row>
    <row r="1058" spans="1:20" ht="15" customHeight="1" thickBot="1" x14ac:dyDescent="0.35">
      <c r="A1058" s="369"/>
      <c r="B1058" s="369"/>
      <c r="C1058" s="42">
        <v>7527</v>
      </c>
      <c r="D1058" s="372"/>
      <c r="E1058" s="369"/>
      <c r="F1058" s="369"/>
      <c r="G1058" s="369"/>
      <c r="H1058" s="369"/>
      <c r="I1058" s="369"/>
      <c r="J1058" s="369"/>
      <c r="K1058" s="369"/>
      <c r="L1058" s="369"/>
      <c r="M1058" s="360"/>
      <c r="N1058" s="398"/>
      <c r="O1058" s="369"/>
      <c r="P1058" s="67"/>
      <c r="Q1058" s="369"/>
    </row>
    <row r="1059" spans="1:20" ht="15" hidden="1" customHeight="1" x14ac:dyDescent="0.3">
      <c r="A1059" s="367">
        <v>214</v>
      </c>
      <c r="B1059" s="367" t="s">
        <v>174</v>
      </c>
      <c r="C1059" s="40">
        <v>10550</v>
      </c>
      <c r="D1059" s="370">
        <v>0</v>
      </c>
      <c r="E1059" s="367" t="s">
        <v>13</v>
      </c>
      <c r="F1059" s="367">
        <v>1450</v>
      </c>
      <c r="G1059" s="367">
        <v>1200</v>
      </c>
      <c r="H1059" s="367" t="s">
        <v>50</v>
      </c>
      <c r="I1059" s="367" t="s">
        <v>13</v>
      </c>
      <c r="J1059" s="367" t="s">
        <v>13</v>
      </c>
      <c r="K1059" s="367" t="s">
        <v>13</v>
      </c>
      <c r="L1059" s="367" t="s">
        <v>13</v>
      </c>
      <c r="M1059" s="358" t="s">
        <v>14</v>
      </c>
      <c r="N1059" s="396" t="s">
        <v>297</v>
      </c>
      <c r="O1059" s="367" t="s">
        <v>27</v>
      </c>
      <c r="P1059" s="228">
        <v>44066</v>
      </c>
      <c r="Q1059" s="367" t="s">
        <v>176</v>
      </c>
    </row>
    <row r="1060" spans="1:20" ht="15" customHeight="1" x14ac:dyDescent="0.3">
      <c r="A1060" s="368"/>
      <c r="B1060" s="368"/>
      <c r="C1060" s="41">
        <v>-12700</v>
      </c>
      <c r="D1060" s="371"/>
      <c r="E1060" s="368"/>
      <c r="F1060" s="368"/>
      <c r="G1060" s="368"/>
      <c r="H1060" s="368"/>
      <c r="I1060" s="368"/>
      <c r="J1060" s="368"/>
      <c r="K1060" s="368"/>
      <c r="L1060" s="368"/>
      <c r="M1060" s="359"/>
      <c r="N1060" s="397"/>
      <c r="O1060" s="368"/>
      <c r="P1060" s="66"/>
      <c r="Q1060" s="368"/>
      <c r="T1060" s="200">
        <v>1</v>
      </c>
    </row>
    <row r="1061" spans="1:20" ht="15" customHeight="1" thickBot="1" x14ac:dyDescent="0.35">
      <c r="A1061" s="369"/>
      <c r="B1061" s="369"/>
      <c r="C1061" s="42">
        <v>7527</v>
      </c>
      <c r="D1061" s="372"/>
      <c r="E1061" s="369"/>
      <c r="F1061" s="369"/>
      <c r="G1061" s="369"/>
      <c r="H1061" s="369"/>
      <c r="I1061" s="369"/>
      <c r="J1061" s="369"/>
      <c r="K1061" s="369"/>
      <c r="L1061" s="369"/>
      <c r="M1061" s="360"/>
      <c r="N1061" s="398"/>
      <c r="O1061" s="369"/>
      <c r="P1061" s="67"/>
      <c r="Q1061" s="369"/>
    </row>
    <row r="1062" spans="1:20" ht="15" hidden="1" customHeight="1" x14ac:dyDescent="0.3">
      <c r="A1062" s="367">
        <v>215</v>
      </c>
      <c r="B1062" s="367" t="s">
        <v>174</v>
      </c>
      <c r="C1062" s="40">
        <v>10550</v>
      </c>
      <c r="D1062" s="370">
        <v>0</v>
      </c>
      <c r="E1062" s="367" t="s">
        <v>13</v>
      </c>
      <c r="F1062" s="367">
        <v>1450</v>
      </c>
      <c r="G1062" s="367">
        <v>1200</v>
      </c>
      <c r="H1062" s="367" t="s">
        <v>50</v>
      </c>
      <c r="I1062" s="367" t="s">
        <v>13</v>
      </c>
      <c r="J1062" s="367" t="s">
        <v>13</v>
      </c>
      <c r="K1062" s="367" t="s">
        <v>13</v>
      </c>
      <c r="L1062" s="367"/>
      <c r="M1062" s="358" t="s">
        <v>14</v>
      </c>
      <c r="N1062" s="396" t="s">
        <v>297</v>
      </c>
      <c r="O1062" s="367" t="s">
        <v>27</v>
      </c>
      <c r="P1062" s="228">
        <v>44066</v>
      </c>
      <c r="Q1062" s="367" t="s">
        <v>176</v>
      </c>
    </row>
    <row r="1063" spans="1:20" ht="15" customHeight="1" x14ac:dyDescent="0.3">
      <c r="A1063" s="368"/>
      <c r="B1063" s="368"/>
      <c r="C1063" s="41">
        <v>-12450</v>
      </c>
      <c r="D1063" s="371"/>
      <c r="E1063" s="368"/>
      <c r="F1063" s="368"/>
      <c r="G1063" s="368"/>
      <c r="H1063" s="368"/>
      <c r="I1063" s="368"/>
      <c r="J1063" s="368"/>
      <c r="K1063" s="368"/>
      <c r="L1063" s="368"/>
      <c r="M1063" s="359"/>
      <c r="N1063" s="397"/>
      <c r="O1063" s="368"/>
      <c r="P1063" s="66"/>
      <c r="Q1063" s="368"/>
      <c r="T1063" s="200">
        <v>1</v>
      </c>
    </row>
    <row r="1064" spans="1:20" ht="15" customHeight="1" thickBot="1" x14ac:dyDescent="0.35">
      <c r="A1064" s="369"/>
      <c r="B1064" s="369"/>
      <c r="C1064" s="42">
        <v>7527</v>
      </c>
      <c r="D1064" s="372"/>
      <c r="E1064" s="369"/>
      <c r="F1064" s="369"/>
      <c r="G1064" s="369"/>
      <c r="H1064" s="369"/>
      <c r="I1064" s="369"/>
      <c r="J1064" s="369"/>
      <c r="K1064" s="369"/>
      <c r="L1064" s="369"/>
      <c r="M1064" s="360"/>
      <c r="N1064" s="398"/>
      <c r="O1064" s="369"/>
      <c r="P1064" s="67"/>
      <c r="Q1064" s="369"/>
    </row>
    <row r="1065" spans="1:20" ht="15" hidden="1" customHeight="1" x14ac:dyDescent="0.3">
      <c r="A1065" s="367">
        <v>216</v>
      </c>
      <c r="B1065" s="367" t="s">
        <v>174</v>
      </c>
      <c r="C1065" s="40">
        <v>4740</v>
      </c>
      <c r="D1065" s="370">
        <v>0</v>
      </c>
      <c r="E1065" s="367" t="s">
        <v>13</v>
      </c>
      <c r="F1065" s="367">
        <v>1450</v>
      </c>
      <c r="G1065" s="367">
        <v>1200</v>
      </c>
      <c r="H1065" s="367" t="s">
        <v>50</v>
      </c>
      <c r="I1065" s="367" t="s">
        <v>13</v>
      </c>
      <c r="J1065" s="367" t="s">
        <v>13</v>
      </c>
      <c r="K1065" s="367" t="s">
        <v>13</v>
      </c>
      <c r="L1065" s="367" t="s">
        <v>13</v>
      </c>
      <c r="M1065" s="358" t="s">
        <v>14</v>
      </c>
      <c r="N1065" s="396" t="s">
        <v>297</v>
      </c>
      <c r="O1065" s="367" t="s">
        <v>27</v>
      </c>
      <c r="P1065" s="65"/>
      <c r="Q1065" s="367" t="s">
        <v>176</v>
      </c>
    </row>
    <row r="1066" spans="1:20" ht="15" customHeight="1" x14ac:dyDescent="0.3">
      <c r="A1066" s="368"/>
      <c r="B1066" s="368"/>
      <c r="C1066" s="41">
        <v>-16650</v>
      </c>
      <c r="D1066" s="371"/>
      <c r="E1066" s="368"/>
      <c r="F1066" s="368"/>
      <c r="G1066" s="368"/>
      <c r="H1066" s="368"/>
      <c r="I1066" s="368"/>
      <c r="J1066" s="368"/>
      <c r="K1066" s="368"/>
      <c r="L1066" s="368"/>
      <c r="M1066" s="359"/>
      <c r="N1066" s="397"/>
      <c r="O1066" s="368"/>
      <c r="P1066" s="226">
        <v>44066</v>
      </c>
      <c r="Q1066" s="368"/>
      <c r="T1066" s="200">
        <v>1</v>
      </c>
    </row>
    <row r="1067" spans="1:20" ht="15" customHeight="1" thickBot="1" x14ac:dyDescent="0.35">
      <c r="A1067" s="369"/>
      <c r="B1067" s="369"/>
      <c r="C1067" s="42">
        <v>7527</v>
      </c>
      <c r="D1067" s="372"/>
      <c r="E1067" s="369"/>
      <c r="F1067" s="369"/>
      <c r="G1067" s="369"/>
      <c r="H1067" s="369"/>
      <c r="I1067" s="369"/>
      <c r="J1067" s="369"/>
      <c r="K1067" s="369"/>
      <c r="L1067" s="369"/>
      <c r="M1067" s="360"/>
      <c r="N1067" s="398"/>
      <c r="O1067" s="369"/>
      <c r="P1067" s="67"/>
      <c r="Q1067" s="369"/>
    </row>
    <row r="1068" spans="1:20" ht="15" hidden="1" customHeight="1" x14ac:dyDescent="0.3">
      <c r="A1068" s="367">
        <v>217</v>
      </c>
      <c r="B1068" s="367" t="s">
        <v>174</v>
      </c>
      <c r="C1068" s="40">
        <v>4740</v>
      </c>
      <c r="D1068" s="370">
        <v>0</v>
      </c>
      <c r="E1068" s="367" t="s">
        <v>13</v>
      </c>
      <c r="F1068" s="367">
        <v>1450</v>
      </c>
      <c r="G1068" s="367">
        <v>1200</v>
      </c>
      <c r="H1068" s="367" t="s">
        <v>50</v>
      </c>
      <c r="I1068" s="367" t="s">
        <v>13</v>
      </c>
      <c r="J1068" s="367" t="s">
        <v>13</v>
      </c>
      <c r="K1068" s="367" t="s">
        <v>13</v>
      </c>
      <c r="L1068" s="367" t="s">
        <v>13</v>
      </c>
      <c r="M1068" s="358" t="s">
        <v>14</v>
      </c>
      <c r="N1068" s="396" t="s">
        <v>297</v>
      </c>
      <c r="O1068" s="367" t="s">
        <v>27</v>
      </c>
      <c r="P1068" s="65"/>
      <c r="Q1068" s="367" t="s">
        <v>176</v>
      </c>
    </row>
    <row r="1069" spans="1:20" ht="15" customHeight="1" x14ac:dyDescent="0.3">
      <c r="A1069" s="368"/>
      <c r="B1069" s="368"/>
      <c r="C1069" s="41">
        <v>-16900</v>
      </c>
      <c r="D1069" s="371"/>
      <c r="E1069" s="368"/>
      <c r="F1069" s="368"/>
      <c r="G1069" s="368"/>
      <c r="H1069" s="368"/>
      <c r="I1069" s="368"/>
      <c r="J1069" s="368"/>
      <c r="K1069" s="368"/>
      <c r="L1069" s="368"/>
      <c r="M1069" s="359"/>
      <c r="N1069" s="397"/>
      <c r="O1069" s="368"/>
      <c r="P1069" s="226">
        <v>44066</v>
      </c>
      <c r="Q1069" s="368"/>
      <c r="T1069" s="200">
        <v>1</v>
      </c>
    </row>
    <row r="1070" spans="1:20" ht="15" customHeight="1" x14ac:dyDescent="0.3">
      <c r="A1070" s="432"/>
      <c r="B1070" s="432"/>
      <c r="C1070" s="64">
        <v>7527</v>
      </c>
      <c r="D1070" s="434"/>
      <c r="E1070" s="432"/>
      <c r="F1070" s="432"/>
      <c r="G1070" s="432"/>
      <c r="H1070" s="432"/>
      <c r="I1070" s="432"/>
      <c r="J1070" s="432"/>
      <c r="K1070" s="432"/>
      <c r="L1070" s="432"/>
      <c r="M1070" s="433"/>
      <c r="N1070" s="431"/>
      <c r="O1070" s="432"/>
      <c r="P1070" s="90"/>
      <c r="Q1070" s="432"/>
    </row>
    <row r="1071" spans="1:20" ht="15" hidden="1" customHeight="1" x14ac:dyDescent="0.3">
      <c r="A1071" s="374">
        <v>218</v>
      </c>
      <c r="B1071" s="374" t="s">
        <v>179</v>
      </c>
      <c r="C1071" s="49">
        <v>4740</v>
      </c>
      <c r="D1071" s="374">
        <v>1</v>
      </c>
      <c r="E1071" s="374" t="s">
        <v>66</v>
      </c>
      <c r="F1071" s="374">
        <v>1450</v>
      </c>
      <c r="G1071" s="374">
        <v>1200</v>
      </c>
      <c r="H1071" s="374" t="s">
        <v>50</v>
      </c>
      <c r="I1071" s="374">
        <v>100</v>
      </c>
      <c r="J1071" s="377" t="s">
        <v>45</v>
      </c>
      <c r="K1071" s="374">
        <v>30</v>
      </c>
      <c r="L1071" s="374">
        <v>10</v>
      </c>
      <c r="M1071" s="380" t="s">
        <v>14</v>
      </c>
      <c r="N1071" s="409" t="s">
        <v>297</v>
      </c>
      <c r="O1071" s="374" t="s">
        <v>27</v>
      </c>
      <c r="P1071" s="272"/>
      <c r="Q1071" s="374" t="s">
        <v>238</v>
      </c>
      <c r="R1071" s="186">
        <v>44071</v>
      </c>
      <c r="T1071" s="288">
        <v>1</v>
      </c>
    </row>
    <row r="1072" spans="1:20" ht="15" customHeight="1" x14ac:dyDescent="0.3">
      <c r="A1072" s="374"/>
      <c r="B1072" s="374"/>
      <c r="C1072" s="51">
        <v>-17150</v>
      </c>
      <c r="D1072" s="374"/>
      <c r="E1072" s="374"/>
      <c r="F1072" s="374"/>
      <c r="G1072" s="374"/>
      <c r="H1072" s="374"/>
      <c r="I1072" s="374"/>
      <c r="J1072" s="377"/>
      <c r="K1072" s="374"/>
      <c r="L1072" s="374"/>
      <c r="M1072" s="380"/>
      <c r="N1072" s="409"/>
      <c r="O1072" s="374"/>
      <c r="P1072" s="240">
        <v>44066</v>
      </c>
      <c r="Q1072" s="374"/>
    </row>
    <row r="1073" spans="1:20" ht="15" customHeight="1" thickBot="1" x14ac:dyDescent="0.35">
      <c r="A1073" s="375"/>
      <c r="B1073" s="375"/>
      <c r="C1073" s="50">
        <v>7527</v>
      </c>
      <c r="D1073" s="375"/>
      <c r="E1073" s="375"/>
      <c r="F1073" s="375"/>
      <c r="G1073" s="375"/>
      <c r="H1073" s="375"/>
      <c r="I1073" s="375"/>
      <c r="J1073" s="378"/>
      <c r="K1073" s="375"/>
      <c r="L1073" s="375"/>
      <c r="M1073" s="381"/>
      <c r="N1073" s="410"/>
      <c r="O1073" s="375"/>
      <c r="P1073" s="273"/>
      <c r="Q1073" s="375"/>
    </row>
    <row r="1074" spans="1:20" ht="15" hidden="1" customHeight="1" x14ac:dyDescent="0.3">
      <c r="A1074" s="367">
        <v>219</v>
      </c>
      <c r="B1074" s="367" t="s">
        <v>179</v>
      </c>
      <c r="C1074" s="40">
        <v>4740</v>
      </c>
      <c r="D1074" s="367">
        <v>1</v>
      </c>
      <c r="E1074" s="367" t="s">
        <v>66</v>
      </c>
      <c r="F1074" s="367">
        <v>1450</v>
      </c>
      <c r="G1074" s="367">
        <v>1200</v>
      </c>
      <c r="H1074" s="367" t="s">
        <v>50</v>
      </c>
      <c r="I1074" s="367">
        <v>60</v>
      </c>
      <c r="J1074" s="367" t="s">
        <v>300</v>
      </c>
      <c r="K1074" s="367">
        <v>30</v>
      </c>
      <c r="L1074" s="367">
        <v>10</v>
      </c>
      <c r="M1074" s="358" t="s">
        <v>14</v>
      </c>
      <c r="N1074" s="396" t="s">
        <v>297</v>
      </c>
      <c r="O1074" s="367" t="s">
        <v>27</v>
      </c>
      <c r="P1074" s="65"/>
      <c r="Q1074" s="367" t="s">
        <v>237</v>
      </c>
    </row>
    <row r="1075" spans="1:20" ht="15" customHeight="1" x14ac:dyDescent="0.3">
      <c r="A1075" s="368"/>
      <c r="B1075" s="368"/>
      <c r="C1075" s="41">
        <v>-17400</v>
      </c>
      <c r="D1075" s="368"/>
      <c r="E1075" s="368"/>
      <c r="F1075" s="368"/>
      <c r="G1075" s="368"/>
      <c r="H1075" s="368"/>
      <c r="I1075" s="368"/>
      <c r="J1075" s="368"/>
      <c r="K1075" s="368"/>
      <c r="L1075" s="368"/>
      <c r="M1075" s="359"/>
      <c r="N1075" s="397"/>
      <c r="O1075" s="368"/>
      <c r="P1075" s="226">
        <v>44066</v>
      </c>
      <c r="Q1075" s="368"/>
      <c r="T1075" s="200">
        <v>1</v>
      </c>
    </row>
    <row r="1076" spans="1:20" ht="15" customHeight="1" thickBot="1" x14ac:dyDescent="0.35">
      <c r="A1076" s="369"/>
      <c r="B1076" s="369"/>
      <c r="C1076" s="42">
        <v>7527</v>
      </c>
      <c r="D1076" s="369"/>
      <c r="E1076" s="369"/>
      <c r="F1076" s="369"/>
      <c r="G1076" s="369"/>
      <c r="H1076" s="369"/>
      <c r="I1076" s="369"/>
      <c r="J1076" s="369"/>
      <c r="K1076" s="369"/>
      <c r="L1076" s="369"/>
      <c r="M1076" s="360"/>
      <c r="N1076" s="398"/>
      <c r="O1076" s="369"/>
      <c r="P1076" s="67"/>
      <c r="Q1076" s="369"/>
    </row>
    <row r="1077" spans="1:20" ht="15" hidden="1" customHeight="1" x14ac:dyDescent="0.3">
      <c r="A1077" s="367">
        <v>220</v>
      </c>
      <c r="B1077" s="367" t="s">
        <v>174</v>
      </c>
      <c r="C1077" s="40">
        <v>10345</v>
      </c>
      <c r="D1077" s="370">
        <v>0</v>
      </c>
      <c r="E1077" s="367" t="s">
        <v>13</v>
      </c>
      <c r="F1077" s="367">
        <v>1450</v>
      </c>
      <c r="G1077" s="367">
        <v>1200</v>
      </c>
      <c r="H1077" s="367" t="s">
        <v>50</v>
      </c>
      <c r="I1077" s="367" t="s">
        <v>13</v>
      </c>
      <c r="J1077" s="367" t="s">
        <v>13</v>
      </c>
      <c r="K1077" s="367" t="s">
        <v>13</v>
      </c>
      <c r="L1077" s="367" t="s">
        <v>13</v>
      </c>
      <c r="M1077" s="358" t="s">
        <v>14</v>
      </c>
      <c r="N1077" s="396" t="s">
        <v>297</v>
      </c>
      <c r="O1077" s="367" t="s">
        <v>27</v>
      </c>
      <c r="P1077" s="65"/>
      <c r="Q1077" s="367" t="s">
        <v>176</v>
      </c>
    </row>
    <row r="1078" spans="1:20" ht="15" customHeight="1" x14ac:dyDescent="0.3">
      <c r="A1078" s="368"/>
      <c r="B1078" s="368"/>
      <c r="C1078" s="41">
        <v>-15860</v>
      </c>
      <c r="D1078" s="371"/>
      <c r="E1078" s="368"/>
      <c r="F1078" s="368"/>
      <c r="G1078" s="368"/>
      <c r="H1078" s="368"/>
      <c r="I1078" s="368"/>
      <c r="J1078" s="368"/>
      <c r="K1078" s="368"/>
      <c r="L1078" s="368"/>
      <c r="M1078" s="359"/>
      <c r="N1078" s="397"/>
      <c r="O1078" s="368"/>
      <c r="P1078" s="226">
        <v>44066</v>
      </c>
      <c r="Q1078" s="368"/>
      <c r="T1078" s="200">
        <v>1</v>
      </c>
    </row>
    <row r="1079" spans="1:20" ht="15" customHeight="1" thickBot="1" x14ac:dyDescent="0.35">
      <c r="A1079" s="369"/>
      <c r="B1079" s="369"/>
      <c r="C1079" s="42">
        <v>7527</v>
      </c>
      <c r="D1079" s="372"/>
      <c r="E1079" s="369"/>
      <c r="F1079" s="369"/>
      <c r="G1079" s="369"/>
      <c r="H1079" s="369"/>
      <c r="I1079" s="369"/>
      <c r="J1079" s="369"/>
      <c r="K1079" s="369"/>
      <c r="L1079" s="369"/>
      <c r="M1079" s="360"/>
      <c r="N1079" s="398"/>
      <c r="O1079" s="369"/>
      <c r="P1079" s="67"/>
      <c r="Q1079" s="369"/>
    </row>
    <row r="1080" spans="1:20" ht="15" hidden="1" customHeight="1" x14ac:dyDescent="0.3">
      <c r="A1080" s="367">
        <v>221</v>
      </c>
      <c r="B1080" s="367" t="s">
        <v>179</v>
      </c>
      <c r="C1080" s="40">
        <v>10345</v>
      </c>
      <c r="D1080" s="367">
        <v>1</v>
      </c>
      <c r="E1080" s="367" t="s">
        <v>161</v>
      </c>
      <c r="F1080" s="367">
        <v>1450</v>
      </c>
      <c r="G1080" s="367">
        <v>1200</v>
      </c>
      <c r="H1080" s="367" t="s">
        <v>50</v>
      </c>
      <c r="I1080" s="367">
        <v>60</v>
      </c>
      <c r="J1080" s="367">
        <f>-1.48/0.97</f>
        <v>-1.5257731958762888</v>
      </c>
      <c r="K1080" s="367">
        <v>30</v>
      </c>
      <c r="L1080" s="367">
        <v>3</v>
      </c>
      <c r="M1080" s="358" t="s">
        <v>14</v>
      </c>
      <c r="N1080" s="396" t="s">
        <v>297</v>
      </c>
      <c r="O1080" s="367" t="s">
        <v>27</v>
      </c>
      <c r="P1080" s="65"/>
      <c r="Q1080" s="370" t="s">
        <v>301</v>
      </c>
      <c r="T1080" s="200">
        <v>1</v>
      </c>
    </row>
    <row r="1081" spans="1:20" ht="15" customHeight="1" x14ac:dyDescent="0.3">
      <c r="A1081" s="368"/>
      <c r="B1081" s="368"/>
      <c r="C1081" s="41">
        <v>-16110</v>
      </c>
      <c r="D1081" s="368"/>
      <c r="E1081" s="368"/>
      <c r="F1081" s="368"/>
      <c r="G1081" s="368"/>
      <c r="H1081" s="368"/>
      <c r="I1081" s="368"/>
      <c r="J1081" s="368"/>
      <c r="K1081" s="368"/>
      <c r="L1081" s="368"/>
      <c r="M1081" s="359"/>
      <c r="N1081" s="397"/>
      <c r="O1081" s="368"/>
      <c r="P1081" s="226">
        <v>44066</v>
      </c>
      <c r="Q1081" s="371"/>
    </row>
    <row r="1082" spans="1:20" ht="15" customHeight="1" thickBot="1" x14ac:dyDescent="0.35">
      <c r="A1082" s="369"/>
      <c r="B1082" s="369"/>
      <c r="C1082" s="42">
        <v>7527</v>
      </c>
      <c r="D1082" s="369"/>
      <c r="E1082" s="369"/>
      <c r="F1082" s="369"/>
      <c r="G1082" s="369"/>
      <c r="H1082" s="369"/>
      <c r="I1082" s="369"/>
      <c r="J1082" s="369"/>
      <c r="K1082" s="369"/>
      <c r="L1082" s="369"/>
      <c r="M1082" s="360"/>
      <c r="N1082" s="398"/>
      <c r="O1082" s="369"/>
      <c r="P1082" s="67"/>
      <c r="Q1082" s="372"/>
    </row>
    <row r="1083" spans="1:20" ht="15" hidden="1" customHeight="1" x14ac:dyDescent="0.3">
      <c r="A1083" s="367">
        <v>222</v>
      </c>
      <c r="B1083" s="367" t="s">
        <v>174</v>
      </c>
      <c r="C1083" s="40">
        <v>10195</v>
      </c>
      <c r="D1083" s="370">
        <v>0</v>
      </c>
      <c r="E1083" s="367" t="s">
        <v>13</v>
      </c>
      <c r="F1083" s="367">
        <v>1450</v>
      </c>
      <c r="G1083" s="367">
        <v>1200</v>
      </c>
      <c r="H1083" s="367" t="s">
        <v>50</v>
      </c>
      <c r="I1083" s="367" t="s">
        <v>13</v>
      </c>
      <c r="J1083" s="367" t="s">
        <v>13</v>
      </c>
      <c r="K1083" s="367" t="s">
        <v>13</v>
      </c>
      <c r="L1083" s="367" t="s">
        <v>13</v>
      </c>
      <c r="M1083" s="358" t="s">
        <v>14</v>
      </c>
      <c r="N1083" s="396" t="s">
        <v>297</v>
      </c>
      <c r="O1083" s="367" t="s">
        <v>27</v>
      </c>
      <c r="P1083" s="65"/>
      <c r="Q1083" s="367" t="s">
        <v>176</v>
      </c>
      <c r="T1083" s="200">
        <v>1</v>
      </c>
    </row>
    <row r="1084" spans="1:20" ht="15" customHeight="1" x14ac:dyDescent="0.3">
      <c r="A1084" s="368"/>
      <c r="B1084" s="368"/>
      <c r="C1084" s="41">
        <v>-13915</v>
      </c>
      <c r="D1084" s="371"/>
      <c r="E1084" s="368"/>
      <c r="F1084" s="368"/>
      <c r="G1084" s="368"/>
      <c r="H1084" s="368"/>
      <c r="I1084" s="368"/>
      <c r="J1084" s="368"/>
      <c r="K1084" s="368"/>
      <c r="L1084" s="368"/>
      <c r="M1084" s="359"/>
      <c r="N1084" s="397"/>
      <c r="O1084" s="368"/>
      <c r="P1084" s="226">
        <v>44066</v>
      </c>
      <c r="Q1084" s="368"/>
    </row>
    <row r="1085" spans="1:20" ht="15" customHeight="1" thickBot="1" x14ac:dyDescent="0.35">
      <c r="A1085" s="369"/>
      <c r="B1085" s="369"/>
      <c r="C1085" s="42">
        <v>7527</v>
      </c>
      <c r="D1085" s="372"/>
      <c r="E1085" s="369"/>
      <c r="F1085" s="369"/>
      <c r="G1085" s="369"/>
      <c r="H1085" s="369"/>
      <c r="I1085" s="369"/>
      <c r="J1085" s="369"/>
      <c r="K1085" s="369"/>
      <c r="L1085" s="369"/>
      <c r="M1085" s="360"/>
      <c r="N1085" s="398"/>
      <c r="O1085" s="369"/>
      <c r="P1085" s="67"/>
      <c r="Q1085" s="369"/>
    </row>
    <row r="1086" spans="1:20" ht="15" hidden="1" customHeight="1" x14ac:dyDescent="0.3">
      <c r="A1086" s="367">
        <v>223</v>
      </c>
      <c r="B1086" s="367" t="s">
        <v>174</v>
      </c>
      <c r="C1086" s="40">
        <v>10500</v>
      </c>
      <c r="D1086" s="370">
        <v>0</v>
      </c>
      <c r="E1086" s="367" t="s">
        <v>13</v>
      </c>
      <c r="F1086" s="367">
        <v>1450</v>
      </c>
      <c r="G1086" s="367">
        <v>1200</v>
      </c>
      <c r="H1086" s="367" t="s">
        <v>25</v>
      </c>
      <c r="I1086" s="367" t="s">
        <v>13</v>
      </c>
      <c r="J1086" s="367" t="s">
        <v>13</v>
      </c>
      <c r="K1086" s="367" t="s">
        <v>13</v>
      </c>
      <c r="L1086" s="367" t="s">
        <v>13</v>
      </c>
      <c r="M1086" s="358" t="s">
        <v>14</v>
      </c>
      <c r="N1086" s="396" t="s">
        <v>297</v>
      </c>
      <c r="O1086" s="367" t="s">
        <v>27</v>
      </c>
      <c r="P1086" s="65"/>
      <c r="Q1086" s="367" t="s">
        <v>176</v>
      </c>
    </row>
    <row r="1087" spans="1:20" ht="15" customHeight="1" x14ac:dyDescent="0.3">
      <c r="A1087" s="368"/>
      <c r="B1087" s="368"/>
      <c r="C1087" s="41">
        <v>-13500</v>
      </c>
      <c r="D1087" s="371"/>
      <c r="E1087" s="368"/>
      <c r="F1087" s="368"/>
      <c r="G1087" s="368"/>
      <c r="H1087" s="368"/>
      <c r="I1087" s="368"/>
      <c r="J1087" s="368"/>
      <c r="K1087" s="368"/>
      <c r="L1087" s="368"/>
      <c r="M1087" s="359"/>
      <c r="N1087" s="397"/>
      <c r="O1087" s="368"/>
      <c r="P1087" s="226">
        <v>44066</v>
      </c>
      <c r="Q1087" s="368"/>
      <c r="T1087" s="200">
        <v>1</v>
      </c>
    </row>
    <row r="1088" spans="1:20" ht="15" customHeight="1" thickBot="1" x14ac:dyDescent="0.35">
      <c r="A1088" s="369"/>
      <c r="B1088" s="369"/>
      <c r="C1088" s="42">
        <v>7527</v>
      </c>
      <c r="D1088" s="372"/>
      <c r="E1088" s="369"/>
      <c r="F1088" s="369"/>
      <c r="G1088" s="369"/>
      <c r="H1088" s="369"/>
      <c r="I1088" s="369"/>
      <c r="J1088" s="369"/>
      <c r="K1088" s="369"/>
      <c r="L1088" s="369"/>
      <c r="M1088" s="360"/>
      <c r="N1088" s="398"/>
      <c r="O1088" s="369"/>
      <c r="P1088" s="67"/>
      <c r="Q1088" s="369"/>
    </row>
    <row r="1089" spans="1:20" ht="15" hidden="1" customHeight="1" x14ac:dyDescent="0.3">
      <c r="A1089" s="367">
        <v>224</v>
      </c>
      <c r="B1089" s="367" t="s">
        <v>174</v>
      </c>
      <c r="C1089" s="40">
        <v>9680</v>
      </c>
      <c r="D1089" s="370">
        <v>0</v>
      </c>
      <c r="E1089" s="367" t="s">
        <v>13</v>
      </c>
      <c r="F1089" s="367">
        <v>1450</v>
      </c>
      <c r="G1089" s="367">
        <v>1200</v>
      </c>
      <c r="H1089" s="367" t="s">
        <v>25</v>
      </c>
      <c r="I1089" s="367" t="s">
        <v>13</v>
      </c>
      <c r="J1089" s="367" t="s">
        <v>13</v>
      </c>
      <c r="K1089" s="367" t="s">
        <v>13</v>
      </c>
      <c r="L1089" s="367" t="s">
        <v>13</v>
      </c>
      <c r="M1089" s="358" t="s">
        <v>14</v>
      </c>
      <c r="N1089" s="396" t="s">
        <v>297</v>
      </c>
      <c r="O1089" s="367" t="s">
        <v>27</v>
      </c>
      <c r="P1089" s="65"/>
      <c r="Q1089" s="367" t="s">
        <v>176</v>
      </c>
      <c r="T1089" s="200">
        <v>1</v>
      </c>
    </row>
    <row r="1090" spans="1:20" ht="15" customHeight="1" x14ac:dyDescent="0.3">
      <c r="A1090" s="368"/>
      <c r="B1090" s="368"/>
      <c r="C1090" s="41">
        <v>-16150</v>
      </c>
      <c r="D1090" s="371"/>
      <c r="E1090" s="368"/>
      <c r="F1090" s="368"/>
      <c r="G1090" s="368"/>
      <c r="H1090" s="368"/>
      <c r="I1090" s="368"/>
      <c r="J1090" s="368"/>
      <c r="K1090" s="368"/>
      <c r="L1090" s="368"/>
      <c r="M1090" s="359"/>
      <c r="N1090" s="397"/>
      <c r="O1090" s="368"/>
      <c r="P1090" s="226">
        <v>44066</v>
      </c>
      <c r="Q1090" s="368"/>
    </row>
    <row r="1091" spans="1:20" ht="15" customHeight="1" thickBot="1" x14ac:dyDescent="0.35">
      <c r="A1091" s="369"/>
      <c r="B1091" s="369"/>
      <c r="C1091" s="42">
        <v>7527</v>
      </c>
      <c r="D1091" s="372"/>
      <c r="E1091" s="369"/>
      <c r="F1091" s="369"/>
      <c r="G1091" s="369"/>
      <c r="H1091" s="369"/>
      <c r="I1091" s="369"/>
      <c r="J1091" s="369"/>
      <c r="K1091" s="369"/>
      <c r="L1091" s="369"/>
      <c r="M1091" s="360"/>
      <c r="N1091" s="398"/>
      <c r="O1091" s="369"/>
      <c r="P1091" s="67"/>
      <c r="Q1091" s="369"/>
    </row>
    <row r="1092" spans="1:20" ht="15" hidden="1" customHeight="1" x14ac:dyDescent="0.3">
      <c r="A1092" s="367">
        <v>225</v>
      </c>
      <c r="B1092" s="367" t="s">
        <v>179</v>
      </c>
      <c r="C1092" s="40">
        <v>8870</v>
      </c>
      <c r="D1092" s="367">
        <v>1</v>
      </c>
      <c r="E1092" s="367" t="s">
        <v>161</v>
      </c>
      <c r="F1092" s="367">
        <v>1450</v>
      </c>
      <c r="G1092" s="367">
        <v>1200</v>
      </c>
      <c r="H1092" s="367" t="s">
        <v>50</v>
      </c>
      <c r="I1092" s="367">
        <v>150</v>
      </c>
      <c r="J1092" s="370" t="s">
        <v>45</v>
      </c>
      <c r="K1092" s="367">
        <v>40</v>
      </c>
      <c r="L1092" s="367">
        <v>-7</v>
      </c>
      <c r="M1092" s="358" t="s">
        <v>14</v>
      </c>
      <c r="N1092" s="396" t="s">
        <v>297</v>
      </c>
      <c r="O1092" s="367" t="s">
        <v>27</v>
      </c>
      <c r="P1092" s="261"/>
      <c r="Q1092" s="367" t="s">
        <v>243</v>
      </c>
      <c r="R1092" s="186">
        <v>44066</v>
      </c>
    </row>
    <row r="1093" spans="1:20" ht="15" customHeight="1" x14ac:dyDescent="0.3">
      <c r="A1093" s="368"/>
      <c r="B1093" s="368"/>
      <c r="C1093" s="41">
        <v>-16485</v>
      </c>
      <c r="D1093" s="368"/>
      <c r="E1093" s="368"/>
      <c r="F1093" s="368"/>
      <c r="G1093" s="368"/>
      <c r="H1093" s="368"/>
      <c r="I1093" s="368"/>
      <c r="J1093" s="371"/>
      <c r="K1093" s="368"/>
      <c r="L1093" s="368"/>
      <c r="M1093" s="359"/>
      <c r="N1093" s="397"/>
      <c r="O1093" s="368"/>
      <c r="P1093" s="226">
        <v>44090</v>
      </c>
      <c r="Q1093" s="368"/>
      <c r="T1093" s="200">
        <v>1</v>
      </c>
    </row>
    <row r="1094" spans="1:20" ht="15" customHeight="1" thickBot="1" x14ac:dyDescent="0.35">
      <c r="A1094" s="369"/>
      <c r="B1094" s="369"/>
      <c r="C1094" s="42">
        <v>7527</v>
      </c>
      <c r="D1094" s="369"/>
      <c r="E1094" s="369"/>
      <c r="F1094" s="369"/>
      <c r="G1094" s="369"/>
      <c r="H1094" s="369"/>
      <c r="I1094" s="369"/>
      <c r="J1094" s="372"/>
      <c r="K1094" s="369"/>
      <c r="L1094" s="369"/>
      <c r="M1094" s="360"/>
      <c r="N1094" s="398"/>
      <c r="O1094" s="369"/>
      <c r="P1094" s="262"/>
      <c r="Q1094" s="369"/>
    </row>
    <row r="1095" spans="1:20" ht="15" hidden="1" customHeight="1" x14ac:dyDescent="0.3">
      <c r="A1095" s="367">
        <v>226</v>
      </c>
      <c r="B1095" s="367" t="s">
        <v>174</v>
      </c>
      <c r="C1095" s="40">
        <v>8690</v>
      </c>
      <c r="D1095" s="370">
        <v>0</v>
      </c>
      <c r="E1095" s="367" t="s">
        <v>13</v>
      </c>
      <c r="F1095" s="367">
        <v>1450</v>
      </c>
      <c r="G1095" s="367">
        <v>1200</v>
      </c>
      <c r="H1095" s="367" t="s">
        <v>50</v>
      </c>
      <c r="I1095" s="367" t="s">
        <v>13</v>
      </c>
      <c r="J1095" s="367" t="s">
        <v>13</v>
      </c>
      <c r="K1095" s="367" t="s">
        <v>13</v>
      </c>
      <c r="L1095" s="367" t="s">
        <v>13</v>
      </c>
      <c r="M1095" s="358" t="s">
        <v>14</v>
      </c>
      <c r="N1095" s="396" t="s">
        <v>297</v>
      </c>
      <c r="O1095" s="367" t="s">
        <v>27</v>
      </c>
      <c r="P1095" s="65"/>
      <c r="Q1095" s="367" t="s">
        <v>176</v>
      </c>
    </row>
    <row r="1096" spans="1:20" ht="15" customHeight="1" x14ac:dyDescent="0.3">
      <c r="A1096" s="368"/>
      <c r="B1096" s="368"/>
      <c r="C1096" s="41">
        <v>-16660</v>
      </c>
      <c r="D1096" s="371"/>
      <c r="E1096" s="368"/>
      <c r="F1096" s="368"/>
      <c r="G1096" s="368"/>
      <c r="H1096" s="368"/>
      <c r="I1096" s="368"/>
      <c r="J1096" s="368"/>
      <c r="K1096" s="368"/>
      <c r="L1096" s="368"/>
      <c r="M1096" s="359"/>
      <c r="N1096" s="397"/>
      <c r="O1096" s="368"/>
      <c r="P1096" s="226">
        <v>44066</v>
      </c>
      <c r="Q1096" s="368"/>
      <c r="T1096" s="200">
        <v>1</v>
      </c>
    </row>
    <row r="1097" spans="1:20" ht="15" customHeight="1" thickBot="1" x14ac:dyDescent="0.35">
      <c r="A1097" s="369"/>
      <c r="B1097" s="369"/>
      <c r="C1097" s="42">
        <v>7527</v>
      </c>
      <c r="D1097" s="372"/>
      <c r="E1097" s="369"/>
      <c r="F1097" s="369"/>
      <c r="G1097" s="369"/>
      <c r="H1097" s="369"/>
      <c r="I1097" s="369"/>
      <c r="J1097" s="369"/>
      <c r="K1097" s="369"/>
      <c r="L1097" s="369"/>
      <c r="M1097" s="360"/>
      <c r="N1097" s="398"/>
      <c r="O1097" s="369"/>
      <c r="P1097" s="67"/>
      <c r="Q1097" s="369"/>
    </row>
    <row r="1098" spans="1:20" ht="15" hidden="1" customHeight="1" x14ac:dyDescent="0.3">
      <c r="A1098" s="367">
        <v>227</v>
      </c>
      <c r="B1098" s="367" t="s">
        <v>233</v>
      </c>
      <c r="C1098" s="40">
        <v>5240</v>
      </c>
      <c r="D1098" s="367">
        <v>1</v>
      </c>
      <c r="E1098" s="367" t="s">
        <v>50</v>
      </c>
      <c r="F1098" s="367">
        <v>1450</v>
      </c>
      <c r="G1098" s="367">
        <v>1200</v>
      </c>
      <c r="H1098" s="367" t="s">
        <v>44</v>
      </c>
      <c r="I1098" s="367">
        <v>100</v>
      </c>
      <c r="J1098" s="370" t="s">
        <v>45</v>
      </c>
      <c r="K1098" s="367">
        <v>30</v>
      </c>
      <c r="L1098" s="367">
        <v>70.5</v>
      </c>
      <c r="M1098" s="358" t="s">
        <v>14</v>
      </c>
      <c r="N1098" s="396" t="s">
        <v>297</v>
      </c>
      <c r="O1098" s="367" t="s">
        <v>27</v>
      </c>
      <c r="P1098" s="65"/>
      <c r="Q1098" s="367" t="s">
        <v>267</v>
      </c>
      <c r="R1098" s="186">
        <v>44067</v>
      </c>
      <c r="T1098" s="200">
        <v>1</v>
      </c>
    </row>
    <row r="1099" spans="1:20" ht="15" customHeight="1" x14ac:dyDescent="0.3">
      <c r="A1099" s="368"/>
      <c r="B1099" s="368"/>
      <c r="C1099" s="41">
        <v>-17180</v>
      </c>
      <c r="D1099" s="368"/>
      <c r="E1099" s="368"/>
      <c r="F1099" s="368"/>
      <c r="G1099" s="368"/>
      <c r="H1099" s="368"/>
      <c r="I1099" s="368"/>
      <c r="J1099" s="371"/>
      <c r="K1099" s="368"/>
      <c r="L1099" s="368"/>
      <c r="M1099" s="359"/>
      <c r="N1099" s="397"/>
      <c r="O1099" s="368"/>
      <c r="P1099" s="226">
        <v>44066</v>
      </c>
      <c r="Q1099" s="368"/>
    </row>
    <row r="1100" spans="1:20" ht="15" customHeight="1" thickBot="1" x14ac:dyDescent="0.35">
      <c r="A1100" s="369"/>
      <c r="B1100" s="369"/>
      <c r="C1100" s="42">
        <v>7527</v>
      </c>
      <c r="D1100" s="369"/>
      <c r="E1100" s="369"/>
      <c r="F1100" s="369"/>
      <c r="G1100" s="369"/>
      <c r="H1100" s="369"/>
      <c r="I1100" s="369"/>
      <c r="J1100" s="372"/>
      <c r="K1100" s="369"/>
      <c r="L1100" s="369"/>
      <c r="M1100" s="360"/>
      <c r="N1100" s="398"/>
      <c r="O1100" s="369"/>
      <c r="P1100" s="67"/>
      <c r="Q1100" s="369"/>
    </row>
    <row r="1101" spans="1:20" ht="15" hidden="1" customHeight="1" x14ac:dyDescent="0.3">
      <c r="A1101" s="367">
        <v>228</v>
      </c>
      <c r="B1101" s="367" t="s">
        <v>233</v>
      </c>
      <c r="C1101" s="40">
        <v>5240</v>
      </c>
      <c r="D1101" s="367">
        <v>1</v>
      </c>
      <c r="E1101" s="367" t="s">
        <v>50</v>
      </c>
      <c r="F1101" s="367">
        <v>1450</v>
      </c>
      <c r="G1101" s="367">
        <v>1200</v>
      </c>
      <c r="H1101" s="367" t="s">
        <v>44</v>
      </c>
      <c r="I1101" s="367">
        <v>100</v>
      </c>
      <c r="J1101" s="370" t="s">
        <v>45</v>
      </c>
      <c r="K1101" s="367">
        <v>30</v>
      </c>
      <c r="L1101" s="367">
        <v>70.5</v>
      </c>
      <c r="M1101" s="358" t="s">
        <v>14</v>
      </c>
      <c r="N1101" s="396" t="s">
        <v>297</v>
      </c>
      <c r="O1101" s="367" t="s">
        <v>27</v>
      </c>
      <c r="P1101" s="65"/>
      <c r="Q1101" s="367" t="s">
        <v>267</v>
      </c>
      <c r="R1101" s="186">
        <v>44067</v>
      </c>
      <c r="T1101" s="200">
        <v>1</v>
      </c>
    </row>
    <row r="1102" spans="1:20" ht="15" customHeight="1" x14ac:dyDescent="0.3">
      <c r="A1102" s="368"/>
      <c r="B1102" s="368"/>
      <c r="C1102" s="41">
        <v>-17650</v>
      </c>
      <c r="D1102" s="368"/>
      <c r="E1102" s="368"/>
      <c r="F1102" s="368"/>
      <c r="G1102" s="368"/>
      <c r="H1102" s="368"/>
      <c r="I1102" s="368"/>
      <c r="J1102" s="371"/>
      <c r="K1102" s="368"/>
      <c r="L1102" s="368"/>
      <c r="M1102" s="359"/>
      <c r="N1102" s="397"/>
      <c r="O1102" s="368"/>
      <c r="P1102" s="226">
        <v>44066</v>
      </c>
      <c r="Q1102" s="368"/>
    </row>
    <row r="1103" spans="1:20" ht="15" customHeight="1" thickBot="1" x14ac:dyDescent="0.35">
      <c r="A1103" s="369"/>
      <c r="B1103" s="369"/>
      <c r="C1103" s="42">
        <v>7527</v>
      </c>
      <c r="D1103" s="369"/>
      <c r="E1103" s="369"/>
      <c r="F1103" s="369"/>
      <c r="G1103" s="369"/>
      <c r="H1103" s="369"/>
      <c r="I1103" s="369"/>
      <c r="J1103" s="372"/>
      <c r="K1103" s="369"/>
      <c r="L1103" s="369"/>
      <c r="M1103" s="360"/>
      <c r="N1103" s="398"/>
      <c r="O1103" s="369"/>
      <c r="P1103" s="67"/>
      <c r="Q1103" s="369"/>
    </row>
    <row r="1104" spans="1:20" ht="15" hidden="1" customHeight="1" x14ac:dyDescent="0.3">
      <c r="A1104" s="367">
        <v>229</v>
      </c>
      <c r="B1104" s="367" t="s">
        <v>270</v>
      </c>
      <c r="C1104" s="40">
        <v>0</v>
      </c>
      <c r="D1104" s="367">
        <v>1</v>
      </c>
      <c r="E1104" s="367" t="s">
        <v>161</v>
      </c>
      <c r="F1104" s="367">
        <v>1450</v>
      </c>
      <c r="G1104" s="367">
        <v>1200</v>
      </c>
      <c r="H1104" s="367" t="s">
        <v>50</v>
      </c>
      <c r="I1104" s="367">
        <v>30</v>
      </c>
      <c r="J1104" s="367">
        <f>-0.09/0.05</f>
        <v>-1.7999999999999998</v>
      </c>
      <c r="K1104" s="367">
        <v>0</v>
      </c>
      <c r="L1104" s="367">
        <v>33</v>
      </c>
      <c r="M1104" s="358" t="s">
        <v>14</v>
      </c>
      <c r="N1104" s="396" t="s">
        <v>297</v>
      </c>
      <c r="O1104" s="367" t="s">
        <v>27</v>
      </c>
      <c r="P1104" s="201"/>
      <c r="Q1104" s="367" t="s">
        <v>258</v>
      </c>
      <c r="R1104" s="186">
        <v>44066</v>
      </c>
      <c r="T1104" s="200">
        <v>1</v>
      </c>
    </row>
    <row r="1105" spans="1:20" ht="15" customHeight="1" x14ac:dyDescent="0.3">
      <c r="A1105" s="368"/>
      <c r="B1105" s="368"/>
      <c r="C1105" s="41">
        <v>-5650</v>
      </c>
      <c r="D1105" s="368"/>
      <c r="E1105" s="368"/>
      <c r="F1105" s="368"/>
      <c r="G1105" s="368"/>
      <c r="H1105" s="368"/>
      <c r="I1105" s="368"/>
      <c r="J1105" s="368"/>
      <c r="K1105" s="368"/>
      <c r="L1105" s="368"/>
      <c r="M1105" s="359"/>
      <c r="N1105" s="397"/>
      <c r="O1105" s="368"/>
      <c r="P1105" s="226">
        <v>44066</v>
      </c>
      <c r="Q1105" s="368"/>
    </row>
    <row r="1106" spans="1:20" ht="15" customHeight="1" thickBot="1" x14ac:dyDescent="0.35">
      <c r="A1106" s="369"/>
      <c r="B1106" s="369"/>
      <c r="C1106" s="42">
        <v>7527</v>
      </c>
      <c r="D1106" s="369"/>
      <c r="E1106" s="369"/>
      <c r="F1106" s="369"/>
      <c r="G1106" s="369"/>
      <c r="H1106" s="369"/>
      <c r="I1106" s="369"/>
      <c r="J1106" s="369"/>
      <c r="K1106" s="369"/>
      <c r="L1106" s="369"/>
      <c r="M1106" s="360"/>
      <c r="N1106" s="398"/>
      <c r="O1106" s="369"/>
      <c r="P1106" s="203"/>
      <c r="Q1106" s="369"/>
    </row>
    <row r="1107" spans="1:20" ht="15" hidden="1" customHeight="1" x14ac:dyDescent="0.3">
      <c r="A1107" s="367">
        <v>230</v>
      </c>
      <c r="B1107" s="367" t="s">
        <v>174</v>
      </c>
      <c r="C1107" s="40">
        <v>-4395</v>
      </c>
      <c r="D1107" s="370">
        <v>0</v>
      </c>
      <c r="E1107" s="367" t="s">
        <v>13</v>
      </c>
      <c r="F1107" s="367">
        <v>1450</v>
      </c>
      <c r="G1107" s="367">
        <v>1200</v>
      </c>
      <c r="H1107" s="367" t="s">
        <v>50</v>
      </c>
      <c r="I1107" s="367" t="s">
        <v>13</v>
      </c>
      <c r="J1107" s="367" t="s">
        <v>13</v>
      </c>
      <c r="K1107" s="367" t="s">
        <v>13</v>
      </c>
      <c r="L1107" s="367" t="s">
        <v>13</v>
      </c>
      <c r="M1107" s="358" t="s">
        <v>14</v>
      </c>
      <c r="N1107" s="396" t="s">
        <v>297</v>
      </c>
      <c r="O1107" s="367" t="s">
        <v>27</v>
      </c>
      <c r="P1107" s="65"/>
      <c r="Q1107" s="367" t="s">
        <v>176</v>
      </c>
      <c r="T1107" s="200">
        <v>1</v>
      </c>
    </row>
    <row r="1108" spans="1:20" ht="15" customHeight="1" x14ac:dyDescent="0.3">
      <c r="A1108" s="368"/>
      <c r="B1108" s="368"/>
      <c r="C1108" s="41">
        <v>-3650</v>
      </c>
      <c r="D1108" s="371"/>
      <c r="E1108" s="368"/>
      <c r="F1108" s="368"/>
      <c r="G1108" s="368"/>
      <c r="H1108" s="368"/>
      <c r="I1108" s="368"/>
      <c r="J1108" s="368"/>
      <c r="K1108" s="368"/>
      <c r="L1108" s="368"/>
      <c r="M1108" s="359"/>
      <c r="N1108" s="397"/>
      <c r="O1108" s="368"/>
      <c r="P1108" s="226">
        <v>44066</v>
      </c>
      <c r="Q1108" s="368"/>
    </row>
    <row r="1109" spans="1:20" ht="15" customHeight="1" thickBot="1" x14ac:dyDescent="0.35">
      <c r="A1109" s="369"/>
      <c r="B1109" s="369"/>
      <c r="C1109" s="42">
        <v>7527</v>
      </c>
      <c r="D1109" s="372"/>
      <c r="E1109" s="369"/>
      <c r="F1109" s="369"/>
      <c r="G1109" s="369"/>
      <c r="H1109" s="369"/>
      <c r="I1109" s="369"/>
      <c r="J1109" s="369"/>
      <c r="K1109" s="369"/>
      <c r="L1109" s="369"/>
      <c r="M1109" s="360"/>
      <c r="N1109" s="398"/>
      <c r="O1109" s="369"/>
      <c r="P1109" s="67"/>
      <c r="Q1109" s="369"/>
    </row>
    <row r="1110" spans="1:20" ht="15" hidden="1" customHeight="1" x14ac:dyDescent="0.3">
      <c r="A1110" s="367">
        <v>231</v>
      </c>
      <c r="B1110" s="367" t="s">
        <v>174</v>
      </c>
      <c r="C1110" s="40">
        <v>-1090</v>
      </c>
      <c r="D1110" s="370">
        <v>0</v>
      </c>
      <c r="E1110" s="367" t="s">
        <v>13</v>
      </c>
      <c r="F1110" s="367">
        <v>1450</v>
      </c>
      <c r="G1110" s="367">
        <v>1200</v>
      </c>
      <c r="H1110" s="367" t="s">
        <v>12</v>
      </c>
      <c r="I1110" s="367" t="s">
        <v>13</v>
      </c>
      <c r="J1110" s="367" t="s">
        <v>13</v>
      </c>
      <c r="K1110" s="367" t="s">
        <v>13</v>
      </c>
      <c r="L1110" s="367" t="s">
        <v>13</v>
      </c>
      <c r="M1110" s="358" t="s">
        <v>14</v>
      </c>
      <c r="N1110" s="396" t="s">
        <v>297</v>
      </c>
      <c r="O1110" s="367" t="s">
        <v>27</v>
      </c>
      <c r="P1110" s="65"/>
      <c r="Q1110" s="367" t="s">
        <v>244</v>
      </c>
      <c r="T1110" s="200">
        <v>1</v>
      </c>
    </row>
    <row r="1111" spans="1:20" ht="15" customHeight="1" x14ac:dyDescent="0.3">
      <c r="A1111" s="368"/>
      <c r="B1111" s="368"/>
      <c r="C1111" s="41">
        <v>-7225</v>
      </c>
      <c r="D1111" s="371"/>
      <c r="E1111" s="368"/>
      <c r="F1111" s="368"/>
      <c r="G1111" s="368"/>
      <c r="H1111" s="368"/>
      <c r="I1111" s="368"/>
      <c r="J1111" s="368"/>
      <c r="K1111" s="368"/>
      <c r="L1111" s="368"/>
      <c r="M1111" s="359"/>
      <c r="N1111" s="397"/>
      <c r="O1111" s="368"/>
      <c r="P1111" s="226">
        <v>44066</v>
      </c>
      <c r="Q1111" s="368"/>
    </row>
    <row r="1112" spans="1:20" ht="15" customHeight="1" thickBot="1" x14ac:dyDescent="0.35">
      <c r="A1112" s="369"/>
      <c r="B1112" s="369"/>
      <c r="C1112" s="42">
        <v>7527</v>
      </c>
      <c r="D1112" s="372"/>
      <c r="E1112" s="369"/>
      <c r="F1112" s="369"/>
      <c r="G1112" s="369"/>
      <c r="H1112" s="369"/>
      <c r="I1112" s="369"/>
      <c r="J1112" s="369"/>
      <c r="K1112" s="369"/>
      <c r="L1112" s="369"/>
      <c r="M1112" s="360"/>
      <c r="N1112" s="398"/>
      <c r="O1112" s="369"/>
      <c r="P1112" s="67"/>
      <c r="Q1112" s="369"/>
    </row>
    <row r="1113" spans="1:20" ht="15" hidden="1" customHeight="1" x14ac:dyDescent="0.3">
      <c r="A1113" s="367">
        <v>232</v>
      </c>
      <c r="B1113" s="367" t="s">
        <v>257</v>
      </c>
      <c r="C1113" s="40">
        <v>550</v>
      </c>
      <c r="D1113" s="367">
        <v>1</v>
      </c>
      <c r="E1113" s="367" t="s">
        <v>245</v>
      </c>
      <c r="F1113" s="367">
        <v>1450</v>
      </c>
      <c r="G1113" s="367">
        <v>1200</v>
      </c>
      <c r="H1113" s="367" t="s">
        <v>19</v>
      </c>
      <c r="I1113" s="367">
        <v>350</v>
      </c>
      <c r="J1113" s="370" t="s">
        <v>45</v>
      </c>
      <c r="K1113" s="367">
        <v>90</v>
      </c>
      <c r="L1113" s="367">
        <v>-32</v>
      </c>
      <c r="M1113" s="358" t="s">
        <v>14</v>
      </c>
      <c r="N1113" s="396" t="s">
        <v>297</v>
      </c>
      <c r="O1113" s="367" t="s">
        <v>27</v>
      </c>
      <c r="P1113" s="261"/>
      <c r="Q1113" s="367" t="s">
        <v>243</v>
      </c>
      <c r="R1113" s="186">
        <v>44066</v>
      </c>
    </row>
    <row r="1114" spans="1:20" ht="15" customHeight="1" x14ac:dyDescent="0.3">
      <c r="A1114" s="368"/>
      <c r="B1114" s="368"/>
      <c r="C1114" s="41">
        <v>-7550</v>
      </c>
      <c r="D1114" s="368"/>
      <c r="E1114" s="368"/>
      <c r="F1114" s="368"/>
      <c r="G1114" s="368"/>
      <c r="H1114" s="368"/>
      <c r="I1114" s="368"/>
      <c r="J1114" s="371"/>
      <c r="K1114" s="368"/>
      <c r="L1114" s="368"/>
      <c r="M1114" s="359"/>
      <c r="N1114" s="397"/>
      <c r="O1114" s="368"/>
      <c r="P1114" s="226">
        <v>44090</v>
      </c>
      <c r="Q1114" s="368"/>
      <c r="T1114" s="200">
        <v>1</v>
      </c>
    </row>
    <row r="1115" spans="1:20" ht="15" customHeight="1" thickBot="1" x14ac:dyDescent="0.35">
      <c r="A1115" s="369"/>
      <c r="B1115" s="369"/>
      <c r="C1115" s="42">
        <v>7527</v>
      </c>
      <c r="D1115" s="369"/>
      <c r="E1115" s="369"/>
      <c r="F1115" s="369"/>
      <c r="G1115" s="369"/>
      <c r="H1115" s="369"/>
      <c r="I1115" s="369"/>
      <c r="J1115" s="372"/>
      <c r="K1115" s="369"/>
      <c r="L1115" s="369"/>
      <c r="M1115" s="360"/>
      <c r="N1115" s="398"/>
      <c r="O1115" s="369"/>
      <c r="P1115" s="262"/>
      <c r="Q1115" s="369"/>
    </row>
    <row r="1116" spans="1:20" ht="15" hidden="1" customHeight="1" x14ac:dyDescent="0.3">
      <c r="A1116" s="370">
        <v>233</v>
      </c>
      <c r="B1116" s="370" t="s">
        <v>56</v>
      </c>
      <c r="C1116" s="37">
        <v>550</v>
      </c>
      <c r="D1116" s="370">
        <v>1</v>
      </c>
      <c r="E1116" s="370" t="s">
        <v>248</v>
      </c>
      <c r="F1116" s="367">
        <v>1450</v>
      </c>
      <c r="G1116" s="367">
        <v>1200</v>
      </c>
      <c r="H1116" s="370" t="s">
        <v>61</v>
      </c>
      <c r="I1116" s="370">
        <v>150</v>
      </c>
      <c r="J1116" s="370" t="s">
        <v>45</v>
      </c>
      <c r="K1116" s="370">
        <v>50</v>
      </c>
      <c r="L1116" s="367">
        <v>76.5</v>
      </c>
      <c r="M1116" s="358" t="s">
        <v>14</v>
      </c>
      <c r="N1116" s="399" t="s">
        <v>297</v>
      </c>
      <c r="O1116" s="367" t="s">
        <v>27</v>
      </c>
      <c r="P1116" s="261"/>
      <c r="Q1116" s="367" t="s">
        <v>249</v>
      </c>
      <c r="R1116" s="186">
        <v>44066</v>
      </c>
      <c r="T1116" s="200">
        <v>1</v>
      </c>
    </row>
    <row r="1117" spans="1:20" ht="15" customHeight="1" x14ac:dyDescent="0.3">
      <c r="A1117" s="371"/>
      <c r="B1117" s="371"/>
      <c r="C1117" s="38">
        <v>-8405</v>
      </c>
      <c r="D1117" s="371"/>
      <c r="E1117" s="371"/>
      <c r="F1117" s="368"/>
      <c r="G1117" s="368"/>
      <c r="H1117" s="371"/>
      <c r="I1117" s="371"/>
      <c r="J1117" s="371"/>
      <c r="K1117" s="371"/>
      <c r="L1117" s="368"/>
      <c r="M1117" s="359"/>
      <c r="N1117" s="400"/>
      <c r="O1117" s="368"/>
      <c r="P1117" s="226">
        <v>44090</v>
      </c>
      <c r="Q1117" s="368"/>
    </row>
    <row r="1118" spans="1:20" ht="15" customHeight="1" thickBot="1" x14ac:dyDescent="0.35">
      <c r="A1118" s="372"/>
      <c r="B1118" s="372"/>
      <c r="C1118" s="39">
        <v>7527</v>
      </c>
      <c r="D1118" s="372"/>
      <c r="E1118" s="372"/>
      <c r="F1118" s="369"/>
      <c r="G1118" s="369"/>
      <c r="H1118" s="372"/>
      <c r="I1118" s="372"/>
      <c r="J1118" s="372"/>
      <c r="K1118" s="372"/>
      <c r="L1118" s="369"/>
      <c r="M1118" s="360"/>
      <c r="N1118" s="401"/>
      <c r="O1118" s="369"/>
      <c r="P1118" s="262"/>
      <c r="Q1118" s="369"/>
    </row>
    <row r="1119" spans="1:20" ht="15" hidden="1" customHeight="1" x14ac:dyDescent="0.3">
      <c r="A1119" s="370">
        <v>234</v>
      </c>
      <c r="B1119" s="370" t="s">
        <v>62</v>
      </c>
      <c r="C1119" s="37">
        <v>-1000</v>
      </c>
      <c r="D1119" s="367">
        <v>1</v>
      </c>
      <c r="E1119" s="370" t="s">
        <v>250</v>
      </c>
      <c r="F1119" s="367">
        <v>1450</v>
      </c>
      <c r="G1119" s="367">
        <v>1200</v>
      </c>
      <c r="H1119" s="370" t="s">
        <v>251</v>
      </c>
      <c r="I1119" s="370">
        <v>350</v>
      </c>
      <c r="J1119" s="370" t="s">
        <v>45</v>
      </c>
      <c r="K1119" s="370">
        <v>70</v>
      </c>
      <c r="L1119" s="367">
        <v>106.5</v>
      </c>
      <c r="M1119" s="358" t="s">
        <v>14</v>
      </c>
      <c r="N1119" s="399" t="s">
        <v>297</v>
      </c>
      <c r="O1119" s="367" t="s">
        <v>27</v>
      </c>
      <c r="P1119" s="65"/>
      <c r="Q1119" s="367" t="s">
        <v>252</v>
      </c>
      <c r="T1119" s="200">
        <v>1</v>
      </c>
    </row>
    <row r="1120" spans="1:20" ht="15" customHeight="1" x14ac:dyDescent="0.3">
      <c r="A1120" s="371"/>
      <c r="B1120" s="371"/>
      <c r="C1120" s="38">
        <v>-8835</v>
      </c>
      <c r="D1120" s="368"/>
      <c r="E1120" s="371"/>
      <c r="F1120" s="368"/>
      <c r="G1120" s="368"/>
      <c r="H1120" s="371"/>
      <c r="I1120" s="371"/>
      <c r="J1120" s="371"/>
      <c r="K1120" s="371"/>
      <c r="L1120" s="368"/>
      <c r="M1120" s="359"/>
      <c r="N1120" s="400"/>
      <c r="O1120" s="368"/>
      <c r="P1120" s="226">
        <v>44066</v>
      </c>
      <c r="Q1120" s="368"/>
    </row>
    <row r="1121" spans="1:20" ht="15" customHeight="1" thickBot="1" x14ac:dyDescent="0.35">
      <c r="A1121" s="372"/>
      <c r="B1121" s="372"/>
      <c r="C1121" s="39">
        <v>7527</v>
      </c>
      <c r="D1121" s="369"/>
      <c r="E1121" s="372"/>
      <c r="F1121" s="369"/>
      <c r="G1121" s="369"/>
      <c r="H1121" s="372"/>
      <c r="I1121" s="372"/>
      <c r="J1121" s="372"/>
      <c r="K1121" s="372"/>
      <c r="L1121" s="369"/>
      <c r="M1121" s="360"/>
      <c r="N1121" s="401"/>
      <c r="O1121" s="369"/>
      <c r="P1121" s="67"/>
      <c r="Q1121" s="369"/>
    </row>
    <row r="1122" spans="1:20" ht="15" hidden="1" customHeight="1" x14ac:dyDescent="0.3">
      <c r="A1122" s="367">
        <v>235</v>
      </c>
      <c r="B1122" s="367" t="s">
        <v>191</v>
      </c>
      <c r="C1122" s="40">
        <v>1150</v>
      </c>
      <c r="D1122" s="367">
        <v>1</v>
      </c>
      <c r="E1122" s="367" t="s">
        <v>255</v>
      </c>
      <c r="F1122" s="367">
        <v>1450</v>
      </c>
      <c r="G1122" s="367">
        <v>1200</v>
      </c>
      <c r="H1122" s="367" t="s">
        <v>50</v>
      </c>
      <c r="I1122" s="367">
        <v>150</v>
      </c>
      <c r="J1122" s="370" t="s">
        <v>45</v>
      </c>
      <c r="K1122" s="367">
        <v>30</v>
      </c>
      <c r="L1122" s="367">
        <v>6.5</v>
      </c>
      <c r="M1122" s="358" t="s">
        <v>14</v>
      </c>
      <c r="N1122" s="396" t="s">
        <v>297</v>
      </c>
      <c r="O1122" s="367" t="s">
        <v>27</v>
      </c>
      <c r="P1122" s="261"/>
      <c r="Q1122" s="367" t="s">
        <v>256</v>
      </c>
    </row>
    <row r="1123" spans="1:20" ht="15" customHeight="1" x14ac:dyDescent="0.3">
      <c r="A1123" s="368"/>
      <c r="B1123" s="368"/>
      <c r="C1123" s="41">
        <v>-9160</v>
      </c>
      <c r="D1123" s="368"/>
      <c r="E1123" s="368"/>
      <c r="F1123" s="368"/>
      <c r="G1123" s="368"/>
      <c r="H1123" s="368"/>
      <c r="I1123" s="368"/>
      <c r="J1123" s="371"/>
      <c r="K1123" s="368"/>
      <c r="L1123" s="368"/>
      <c r="M1123" s="359"/>
      <c r="N1123" s="397"/>
      <c r="O1123" s="368"/>
      <c r="P1123" s="226">
        <v>44090</v>
      </c>
      <c r="Q1123" s="368"/>
      <c r="T1123" s="200">
        <v>1</v>
      </c>
    </row>
    <row r="1124" spans="1:20" ht="15" customHeight="1" thickBot="1" x14ac:dyDescent="0.35">
      <c r="A1124" s="369"/>
      <c r="B1124" s="369"/>
      <c r="C1124" s="42">
        <v>7527</v>
      </c>
      <c r="D1124" s="369"/>
      <c r="E1124" s="369"/>
      <c r="F1124" s="369"/>
      <c r="G1124" s="369"/>
      <c r="H1124" s="369"/>
      <c r="I1124" s="369"/>
      <c r="J1124" s="372"/>
      <c r="K1124" s="369"/>
      <c r="L1124" s="369"/>
      <c r="M1124" s="360"/>
      <c r="N1124" s="398"/>
      <c r="O1124" s="369"/>
      <c r="P1124" s="262"/>
      <c r="Q1124" s="369"/>
    </row>
    <row r="1125" spans="1:20" ht="15" hidden="1" customHeight="1" x14ac:dyDescent="0.3">
      <c r="A1125" s="367">
        <v>236</v>
      </c>
      <c r="B1125" s="367" t="s">
        <v>191</v>
      </c>
      <c r="C1125" s="40">
        <v>1150</v>
      </c>
      <c r="D1125" s="367">
        <v>1</v>
      </c>
      <c r="E1125" s="367" t="s">
        <v>168</v>
      </c>
      <c r="F1125" s="367">
        <v>1450</v>
      </c>
      <c r="G1125" s="367">
        <v>1200</v>
      </c>
      <c r="H1125" s="367" t="s">
        <v>50</v>
      </c>
      <c r="I1125" s="367">
        <v>150</v>
      </c>
      <c r="J1125" s="370" t="s">
        <v>45</v>
      </c>
      <c r="K1125" s="367">
        <v>30</v>
      </c>
      <c r="L1125" s="367">
        <v>12</v>
      </c>
      <c r="M1125" s="358" t="s">
        <v>14</v>
      </c>
      <c r="N1125" s="396" t="s">
        <v>297</v>
      </c>
      <c r="O1125" s="367" t="s">
        <v>27</v>
      </c>
      <c r="P1125" s="261"/>
      <c r="Q1125" s="370" t="s">
        <v>169</v>
      </c>
    </row>
    <row r="1126" spans="1:20" ht="15" customHeight="1" x14ac:dyDescent="0.3">
      <c r="A1126" s="368"/>
      <c r="B1126" s="368"/>
      <c r="C1126" s="41">
        <v>-9910</v>
      </c>
      <c r="D1126" s="368"/>
      <c r="E1126" s="368"/>
      <c r="F1126" s="368"/>
      <c r="G1126" s="368"/>
      <c r="H1126" s="368"/>
      <c r="I1126" s="368"/>
      <c r="J1126" s="371"/>
      <c r="K1126" s="368"/>
      <c r="L1126" s="368"/>
      <c r="M1126" s="359"/>
      <c r="N1126" s="397"/>
      <c r="O1126" s="368"/>
      <c r="P1126" s="226">
        <v>44090</v>
      </c>
      <c r="Q1126" s="371"/>
      <c r="T1126" s="200">
        <v>1</v>
      </c>
    </row>
    <row r="1127" spans="1:20" ht="15" customHeight="1" thickBot="1" x14ac:dyDescent="0.35">
      <c r="A1127" s="369"/>
      <c r="B1127" s="369"/>
      <c r="C1127" s="42">
        <v>7527</v>
      </c>
      <c r="D1127" s="369"/>
      <c r="E1127" s="369"/>
      <c r="F1127" s="369"/>
      <c r="G1127" s="369"/>
      <c r="H1127" s="369"/>
      <c r="I1127" s="369"/>
      <c r="J1127" s="372"/>
      <c r="K1127" s="369"/>
      <c r="L1127" s="369"/>
      <c r="M1127" s="360"/>
      <c r="N1127" s="398"/>
      <c r="O1127" s="369"/>
      <c r="P1127" s="262"/>
      <c r="Q1127" s="372"/>
    </row>
    <row r="1128" spans="1:20" ht="15" hidden="1" customHeight="1" x14ac:dyDescent="0.3">
      <c r="A1128" s="367">
        <v>237</v>
      </c>
      <c r="B1128" s="367" t="s">
        <v>64</v>
      </c>
      <c r="C1128" s="40">
        <v>-2050</v>
      </c>
      <c r="D1128" s="367">
        <v>1</v>
      </c>
      <c r="E1128" s="367" t="s">
        <v>245</v>
      </c>
      <c r="F1128" s="367">
        <v>1450</v>
      </c>
      <c r="G1128" s="367">
        <v>1200</v>
      </c>
      <c r="H1128" s="367" t="s">
        <v>12</v>
      </c>
      <c r="I1128" s="367">
        <v>350</v>
      </c>
      <c r="J1128" s="370" t="s">
        <v>45</v>
      </c>
      <c r="K1128" s="367">
        <v>90</v>
      </c>
      <c r="L1128" s="367">
        <v>46</v>
      </c>
      <c r="M1128" s="358" t="s">
        <v>14</v>
      </c>
      <c r="N1128" s="396" t="s">
        <v>297</v>
      </c>
      <c r="O1128" s="367" t="s">
        <v>27</v>
      </c>
      <c r="P1128" s="65"/>
      <c r="Q1128" s="367" t="s">
        <v>246</v>
      </c>
      <c r="T1128" s="200">
        <v>1</v>
      </c>
    </row>
    <row r="1129" spans="1:20" ht="15" customHeight="1" x14ac:dyDescent="0.3">
      <c r="A1129" s="368"/>
      <c r="B1129" s="368"/>
      <c r="C1129" s="41">
        <v>10400</v>
      </c>
      <c r="D1129" s="368"/>
      <c r="E1129" s="368"/>
      <c r="F1129" s="368"/>
      <c r="G1129" s="368"/>
      <c r="H1129" s="368"/>
      <c r="I1129" s="368"/>
      <c r="J1129" s="371"/>
      <c r="K1129" s="368"/>
      <c r="L1129" s="368"/>
      <c r="M1129" s="359"/>
      <c r="N1129" s="397"/>
      <c r="O1129" s="368"/>
      <c r="P1129" s="226">
        <v>44066</v>
      </c>
      <c r="Q1129" s="368"/>
    </row>
    <row r="1130" spans="1:20" ht="15" customHeight="1" thickBot="1" x14ac:dyDescent="0.35">
      <c r="A1130" s="369"/>
      <c r="B1130" s="369"/>
      <c r="C1130" s="42">
        <v>7527</v>
      </c>
      <c r="D1130" s="369"/>
      <c r="E1130" s="369"/>
      <c r="F1130" s="369"/>
      <c r="G1130" s="369"/>
      <c r="H1130" s="369"/>
      <c r="I1130" s="369"/>
      <c r="J1130" s="372"/>
      <c r="K1130" s="369"/>
      <c r="L1130" s="369"/>
      <c r="M1130" s="360"/>
      <c r="N1130" s="398"/>
      <c r="O1130" s="369"/>
      <c r="P1130" s="67"/>
      <c r="Q1130" s="369"/>
    </row>
    <row r="1131" spans="1:20" ht="15" hidden="1" customHeight="1" x14ac:dyDescent="0.3">
      <c r="A1131" s="367">
        <v>238</v>
      </c>
      <c r="B1131" s="367" t="s">
        <v>179</v>
      </c>
      <c r="C1131" s="40">
        <v>-1500</v>
      </c>
      <c r="D1131" s="367">
        <v>1</v>
      </c>
      <c r="E1131" s="367" t="s">
        <v>302</v>
      </c>
      <c r="F1131" s="367">
        <v>1450</v>
      </c>
      <c r="G1131" s="367">
        <v>1200</v>
      </c>
      <c r="H1131" s="367" t="s">
        <v>44</v>
      </c>
      <c r="I1131" s="367">
        <v>350</v>
      </c>
      <c r="J1131" s="370" t="s">
        <v>45</v>
      </c>
      <c r="K1131" s="367">
        <v>40</v>
      </c>
      <c r="L1131" s="367">
        <v>95.5</v>
      </c>
      <c r="M1131" s="358" t="s">
        <v>14</v>
      </c>
      <c r="N1131" s="396" t="s">
        <v>297</v>
      </c>
      <c r="O1131" s="367" t="s">
        <v>27</v>
      </c>
      <c r="P1131" s="65"/>
      <c r="Q1131" s="367" t="s">
        <v>247</v>
      </c>
    </row>
    <row r="1132" spans="1:20" ht="15" customHeight="1" x14ac:dyDescent="0.3">
      <c r="A1132" s="368"/>
      <c r="B1132" s="368"/>
      <c r="C1132" s="40">
        <v>10400</v>
      </c>
      <c r="D1132" s="368"/>
      <c r="E1132" s="368"/>
      <c r="F1132" s="368"/>
      <c r="G1132" s="368"/>
      <c r="H1132" s="368"/>
      <c r="I1132" s="368"/>
      <c r="J1132" s="371"/>
      <c r="K1132" s="368"/>
      <c r="L1132" s="368"/>
      <c r="M1132" s="359"/>
      <c r="N1132" s="397"/>
      <c r="O1132" s="368"/>
      <c r="P1132" s="226">
        <v>44066</v>
      </c>
      <c r="Q1132" s="368"/>
      <c r="T1132" s="200">
        <v>1</v>
      </c>
    </row>
    <row r="1133" spans="1:20" ht="15" customHeight="1" thickBot="1" x14ac:dyDescent="0.35">
      <c r="A1133" s="369"/>
      <c r="B1133" s="369"/>
      <c r="C1133" s="42">
        <v>7527</v>
      </c>
      <c r="D1133" s="369"/>
      <c r="E1133" s="369"/>
      <c r="F1133" s="369"/>
      <c r="G1133" s="369"/>
      <c r="H1133" s="369"/>
      <c r="I1133" s="369"/>
      <c r="J1133" s="372"/>
      <c r="K1133" s="369"/>
      <c r="L1133" s="369"/>
      <c r="M1133" s="360"/>
      <c r="N1133" s="398"/>
      <c r="O1133" s="369"/>
      <c r="P1133" s="67"/>
      <c r="Q1133" s="369"/>
    </row>
    <row r="1134" spans="1:20" ht="15" hidden="1" customHeight="1" x14ac:dyDescent="0.3">
      <c r="A1134" s="367">
        <v>239</v>
      </c>
      <c r="B1134" s="367" t="s">
        <v>268</v>
      </c>
      <c r="C1134" s="40">
        <v>-950</v>
      </c>
      <c r="D1134" s="367">
        <v>1</v>
      </c>
      <c r="E1134" s="367" t="s">
        <v>269</v>
      </c>
      <c r="F1134" s="367">
        <v>1450</v>
      </c>
      <c r="G1134" s="367">
        <v>1200</v>
      </c>
      <c r="H1134" s="367" t="s">
        <v>44</v>
      </c>
      <c r="I1134" s="367">
        <v>300</v>
      </c>
      <c r="J1134" s="370" t="s">
        <v>45</v>
      </c>
      <c r="K1134" s="367">
        <v>100</v>
      </c>
      <c r="L1134" s="367">
        <v>0.5</v>
      </c>
      <c r="M1134" s="358" t="s">
        <v>14</v>
      </c>
      <c r="N1134" s="396" t="s">
        <v>297</v>
      </c>
      <c r="O1134" s="367" t="s">
        <v>27</v>
      </c>
      <c r="P1134" s="261"/>
      <c r="Q1134" s="367" t="s">
        <v>267</v>
      </c>
      <c r="T1134" s="200">
        <v>1</v>
      </c>
    </row>
    <row r="1135" spans="1:20" ht="15" customHeight="1" x14ac:dyDescent="0.3">
      <c r="A1135" s="368"/>
      <c r="B1135" s="368"/>
      <c r="C1135" s="41">
        <v>10425</v>
      </c>
      <c r="D1135" s="368"/>
      <c r="E1135" s="368"/>
      <c r="F1135" s="368"/>
      <c r="G1135" s="368"/>
      <c r="H1135" s="368"/>
      <c r="I1135" s="368"/>
      <c r="J1135" s="371"/>
      <c r="K1135" s="368"/>
      <c r="L1135" s="368"/>
      <c r="M1135" s="359"/>
      <c r="N1135" s="397"/>
      <c r="O1135" s="368"/>
      <c r="P1135" s="226">
        <v>44090</v>
      </c>
      <c r="Q1135" s="368"/>
    </row>
    <row r="1136" spans="1:20" ht="15" customHeight="1" thickBot="1" x14ac:dyDescent="0.35">
      <c r="A1136" s="369"/>
      <c r="B1136" s="369"/>
      <c r="C1136" s="42">
        <v>7527</v>
      </c>
      <c r="D1136" s="369"/>
      <c r="E1136" s="369"/>
      <c r="F1136" s="369"/>
      <c r="G1136" s="369"/>
      <c r="H1136" s="369"/>
      <c r="I1136" s="369"/>
      <c r="J1136" s="372"/>
      <c r="K1136" s="369"/>
      <c r="L1136" s="369"/>
      <c r="M1136" s="360"/>
      <c r="N1136" s="398"/>
      <c r="O1136" s="369"/>
      <c r="P1136" s="262"/>
      <c r="Q1136" s="369"/>
    </row>
    <row r="1137" spans="1:20" ht="15" hidden="1" customHeight="1" x14ac:dyDescent="0.3">
      <c r="A1137" s="367">
        <v>240</v>
      </c>
      <c r="B1137" s="367" t="s">
        <v>174</v>
      </c>
      <c r="C1137" s="40">
        <v>-850</v>
      </c>
      <c r="D1137" s="370">
        <v>0</v>
      </c>
      <c r="E1137" s="367" t="s">
        <v>13</v>
      </c>
      <c r="F1137" s="367">
        <v>1450</v>
      </c>
      <c r="G1137" s="367">
        <v>1200</v>
      </c>
      <c r="H1137" s="367" t="s">
        <v>12</v>
      </c>
      <c r="I1137" s="367" t="s">
        <v>13</v>
      </c>
      <c r="J1137" s="367" t="s">
        <v>13</v>
      </c>
      <c r="K1137" s="367" t="s">
        <v>13</v>
      </c>
      <c r="L1137" s="367" t="s">
        <v>13</v>
      </c>
      <c r="M1137" s="358" t="s">
        <v>14</v>
      </c>
      <c r="N1137" s="396" t="s">
        <v>297</v>
      </c>
      <c r="O1137" s="367" t="s">
        <v>27</v>
      </c>
      <c r="P1137" s="65"/>
      <c r="Q1137" s="367" t="s">
        <v>244</v>
      </c>
    </row>
    <row r="1138" spans="1:20" ht="15" customHeight="1" x14ac:dyDescent="0.3">
      <c r="A1138" s="368"/>
      <c r="B1138" s="368"/>
      <c r="C1138" s="41">
        <v>13140</v>
      </c>
      <c r="D1138" s="371"/>
      <c r="E1138" s="368"/>
      <c r="F1138" s="368"/>
      <c r="G1138" s="368"/>
      <c r="H1138" s="368"/>
      <c r="I1138" s="368"/>
      <c r="J1138" s="368"/>
      <c r="K1138" s="368"/>
      <c r="L1138" s="368"/>
      <c r="M1138" s="359"/>
      <c r="N1138" s="397"/>
      <c r="O1138" s="368"/>
      <c r="P1138" s="226">
        <v>44066</v>
      </c>
      <c r="Q1138" s="368"/>
      <c r="T1138" s="200">
        <v>1</v>
      </c>
    </row>
    <row r="1139" spans="1:20" ht="15" customHeight="1" thickBot="1" x14ac:dyDescent="0.35">
      <c r="A1139" s="369"/>
      <c r="B1139" s="369"/>
      <c r="C1139" s="42">
        <v>7527</v>
      </c>
      <c r="D1139" s="372"/>
      <c r="E1139" s="369"/>
      <c r="F1139" s="369"/>
      <c r="G1139" s="369"/>
      <c r="H1139" s="369"/>
      <c r="I1139" s="369"/>
      <c r="J1139" s="369"/>
      <c r="K1139" s="369"/>
      <c r="L1139" s="369"/>
      <c r="M1139" s="360"/>
      <c r="N1139" s="398"/>
      <c r="O1139" s="369"/>
      <c r="P1139" s="67"/>
      <c r="Q1139" s="369"/>
    </row>
    <row r="1140" spans="1:20" ht="15" hidden="1" customHeight="1" x14ac:dyDescent="0.3">
      <c r="A1140" s="367">
        <v>241</v>
      </c>
      <c r="B1140" s="367" t="s">
        <v>179</v>
      </c>
      <c r="C1140" s="40">
        <v>-2685</v>
      </c>
      <c r="D1140" s="367">
        <v>1</v>
      </c>
      <c r="E1140" s="367" t="s">
        <v>161</v>
      </c>
      <c r="F1140" s="367">
        <v>1450</v>
      </c>
      <c r="G1140" s="367">
        <v>1200</v>
      </c>
      <c r="H1140" s="367" t="s">
        <v>50</v>
      </c>
      <c r="I1140" s="367">
        <v>60</v>
      </c>
      <c r="J1140" s="367">
        <f>-2.11/0.37</f>
        <v>-5.7027027027027026</v>
      </c>
      <c r="K1140" s="367">
        <v>30</v>
      </c>
      <c r="L1140" s="367">
        <v>3</v>
      </c>
      <c r="M1140" s="358" t="s">
        <v>14</v>
      </c>
      <c r="N1140" s="396" t="s">
        <v>297</v>
      </c>
      <c r="O1140" s="367" t="s">
        <v>27</v>
      </c>
      <c r="P1140" s="65"/>
      <c r="Q1140" s="367" t="s">
        <v>258</v>
      </c>
      <c r="T1140" s="200">
        <v>1</v>
      </c>
    </row>
    <row r="1141" spans="1:20" ht="15" customHeight="1" x14ac:dyDescent="0.3">
      <c r="A1141" s="368"/>
      <c r="B1141" s="368"/>
      <c r="C1141" s="41">
        <v>17350</v>
      </c>
      <c r="D1141" s="368"/>
      <c r="E1141" s="368"/>
      <c r="F1141" s="368"/>
      <c r="G1141" s="368"/>
      <c r="H1141" s="368"/>
      <c r="I1141" s="368"/>
      <c r="J1141" s="368"/>
      <c r="K1141" s="368"/>
      <c r="L1141" s="368"/>
      <c r="M1141" s="359"/>
      <c r="N1141" s="397"/>
      <c r="O1141" s="368"/>
      <c r="P1141" s="226">
        <v>44066</v>
      </c>
      <c r="Q1141" s="368"/>
    </row>
    <row r="1142" spans="1:20" ht="15" customHeight="1" thickBot="1" x14ac:dyDescent="0.35">
      <c r="A1142" s="369"/>
      <c r="B1142" s="369"/>
      <c r="C1142" s="42">
        <v>7527</v>
      </c>
      <c r="D1142" s="369"/>
      <c r="E1142" s="369"/>
      <c r="F1142" s="369"/>
      <c r="G1142" s="369"/>
      <c r="H1142" s="369"/>
      <c r="I1142" s="369"/>
      <c r="J1142" s="369"/>
      <c r="K1142" s="369"/>
      <c r="L1142" s="369"/>
      <c r="M1142" s="360"/>
      <c r="N1142" s="398"/>
      <c r="O1142" s="369"/>
      <c r="P1142" s="67"/>
      <c r="Q1142" s="369"/>
    </row>
    <row r="1143" spans="1:20" ht="15" hidden="1" customHeight="1" x14ac:dyDescent="0.3">
      <c r="A1143" s="367">
        <v>242</v>
      </c>
      <c r="B1143" s="367" t="s">
        <v>191</v>
      </c>
      <c r="C1143" s="40">
        <v>-2480</v>
      </c>
      <c r="D1143" s="367">
        <v>1</v>
      </c>
      <c r="E1143" s="367" t="s">
        <v>255</v>
      </c>
      <c r="F1143" s="367">
        <v>1450</v>
      </c>
      <c r="G1143" s="367">
        <v>1200</v>
      </c>
      <c r="H1143" s="367" t="s">
        <v>50</v>
      </c>
      <c r="I1143" s="367">
        <v>150</v>
      </c>
      <c r="J1143" s="370" t="s">
        <v>45</v>
      </c>
      <c r="K1143" s="367">
        <v>30</v>
      </c>
      <c r="L1143" s="367">
        <v>6.5</v>
      </c>
      <c r="M1143" s="358" t="s">
        <v>14</v>
      </c>
      <c r="N1143" s="396" t="s">
        <v>297</v>
      </c>
      <c r="O1143" s="367" t="s">
        <v>27</v>
      </c>
      <c r="P1143" s="261"/>
      <c r="Q1143" s="367" t="s">
        <v>256</v>
      </c>
    </row>
    <row r="1144" spans="1:20" ht="15" customHeight="1" x14ac:dyDescent="0.3">
      <c r="A1144" s="368"/>
      <c r="B1144" s="368"/>
      <c r="C1144" s="41">
        <v>17205</v>
      </c>
      <c r="D1144" s="368"/>
      <c r="E1144" s="368"/>
      <c r="F1144" s="368"/>
      <c r="G1144" s="368"/>
      <c r="H1144" s="368"/>
      <c r="I1144" s="368"/>
      <c r="J1144" s="371"/>
      <c r="K1144" s="368"/>
      <c r="L1144" s="368"/>
      <c r="M1144" s="359"/>
      <c r="N1144" s="397"/>
      <c r="O1144" s="368"/>
      <c r="P1144" s="226">
        <v>44090</v>
      </c>
      <c r="Q1144" s="368"/>
      <c r="T1144" s="200">
        <v>1</v>
      </c>
    </row>
    <row r="1145" spans="1:20" ht="15" customHeight="1" thickBot="1" x14ac:dyDescent="0.35">
      <c r="A1145" s="369"/>
      <c r="B1145" s="369"/>
      <c r="C1145" s="42">
        <v>7527</v>
      </c>
      <c r="D1145" s="369"/>
      <c r="E1145" s="369"/>
      <c r="F1145" s="369"/>
      <c r="G1145" s="369"/>
      <c r="H1145" s="369"/>
      <c r="I1145" s="369"/>
      <c r="J1145" s="372"/>
      <c r="K1145" s="369"/>
      <c r="L1145" s="369"/>
      <c r="M1145" s="360"/>
      <c r="N1145" s="398"/>
      <c r="O1145" s="369"/>
      <c r="P1145" s="262"/>
      <c r="Q1145" s="369"/>
    </row>
    <row r="1146" spans="1:20" ht="15" hidden="1" customHeight="1" x14ac:dyDescent="0.3">
      <c r="A1146" s="367">
        <v>243</v>
      </c>
      <c r="B1146" s="367" t="s">
        <v>174</v>
      </c>
      <c r="C1146" s="40">
        <v>-1540</v>
      </c>
      <c r="D1146" s="370">
        <v>0</v>
      </c>
      <c r="E1146" s="367" t="s">
        <v>13</v>
      </c>
      <c r="F1146" s="367">
        <v>1450</v>
      </c>
      <c r="G1146" s="367">
        <v>1200</v>
      </c>
      <c r="H1146" s="367" t="s">
        <v>55</v>
      </c>
      <c r="I1146" s="367" t="s">
        <v>13</v>
      </c>
      <c r="J1146" s="367" t="s">
        <v>13</v>
      </c>
      <c r="K1146" s="367" t="s">
        <v>13</v>
      </c>
      <c r="L1146" s="367" t="s">
        <v>13</v>
      </c>
      <c r="M1146" s="358" t="s">
        <v>14</v>
      </c>
      <c r="N1146" s="396" t="s">
        <v>297</v>
      </c>
      <c r="O1146" s="367" t="s">
        <v>27</v>
      </c>
      <c r="P1146" s="65"/>
      <c r="Q1146" s="367" t="s">
        <v>176</v>
      </c>
    </row>
    <row r="1147" spans="1:20" ht="15" customHeight="1" x14ac:dyDescent="0.3">
      <c r="A1147" s="368"/>
      <c r="B1147" s="368"/>
      <c r="C1147" s="41">
        <v>16545</v>
      </c>
      <c r="D1147" s="371"/>
      <c r="E1147" s="368"/>
      <c r="F1147" s="368"/>
      <c r="G1147" s="368"/>
      <c r="H1147" s="368"/>
      <c r="I1147" s="368"/>
      <c r="J1147" s="368"/>
      <c r="K1147" s="368"/>
      <c r="L1147" s="368"/>
      <c r="M1147" s="359"/>
      <c r="N1147" s="397"/>
      <c r="O1147" s="368"/>
      <c r="P1147" s="226">
        <v>44066</v>
      </c>
      <c r="Q1147" s="368"/>
      <c r="T1147" s="200">
        <v>1</v>
      </c>
    </row>
    <row r="1148" spans="1:20" ht="15" customHeight="1" thickBot="1" x14ac:dyDescent="0.35">
      <c r="A1148" s="369"/>
      <c r="B1148" s="369"/>
      <c r="C1148" s="42">
        <v>7527</v>
      </c>
      <c r="D1148" s="372"/>
      <c r="E1148" s="369"/>
      <c r="F1148" s="369"/>
      <c r="G1148" s="369"/>
      <c r="H1148" s="369"/>
      <c r="I1148" s="369"/>
      <c r="J1148" s="369"/>
      <c r="K1148" s="369"/>
      <c r="L1148" s="369"/>
      <c r="M1148" s="360"/>
      <c r="N1148" s="398"/>
      <c r="O1148" s="369"/>
      <c r="P1148" s="67"/>
      <c r="Q1148" s="369"/>
    </row>
    <row r="1149" spans="1:20" ht="15" hidden="1" customHeight="1" x14ac:dyDescent="0.3">
      <c r="A1149" s="367">
        <v>244</v>
      </c>
      <c r="B1149" s="367" t="s">
        <v>241</v>
      </c>
      <c r="C1149" s="40">
        <v>100</v>
      </c>
      <c r="D1149" s="367">
        <v>1</v>
      </c>
      <c r="E1149" s="367" t="s">
        <v>242</v>
      </c>
      <c r="F1149" s="367">
        <v>1450</v>
      </c>
      <c r="G1149" s="367">
        <v>1200</v>
      </c>
      <c r="H1149" s="367" t="s">
        <v>55</v>
      </c>
      <c r="I1149" s="367">
        <v>300</v>
      </c>
      <c r="J1149" s="370" t="s">
        <v>45</v>
      </c>
      <c r="K1149" s="367">
        <v>100</v>
      </c>
      <c r="L1149" s="367">
        <v>-50</v>
      </c>
      <c r="M1149" s="358" t="s">
        <v>14</v>
      </c>
      <c r="N1149" s="396" t="s">
        <v>297</v>
      </c>
      <c r="O1149" s="367" t="s">
        <v>27</v>
      </c>
      <c r="P1149" s="194"/>
      <c r="Q1149" s="367" t="s">
        <v>243</v>
      </c>
      <c r="R1149" s="186">
        <v>44070</v>
      </c>
    </row>
    <row r="1150" spans="1:20" ht="15" customHeight="1" x14ac:dyDescent="0.3">
      <c r="A1150" s="368"/>
      <c r="B1150" s="368"/>
      <c r="C1150" s="41">
        <v>-15400</v>
      </c>
      <c r="D1150" s="368"/>
      <c r="E1150" s="368"/>
      <c r="F1150" s="368"/>
      <c r="G1150" s="368"/>
      <c r="H1150" s="368"/>
      <c r="I1150" s="368"/>
      <c r="J1150" s="371"/>
      <c r="K1150" s="368"/>
      <c r="L1150" s="368"/>
      <c r="M1150" s="359"/>
      <c r="N1150" s="397"/>
      <c r="O1150" s="368"/>
      <c r="P1150" s="226">
        <v>44066</v>
      </c>
      <c r="Q1150" s="368"/>
    </row>
    <row r="1151" spans="1:20" ht="15" customHeight="1" thickBot="1" x14ac:dyDescent="0.35">
      <c r="A1151" s="369"/>
      <c r="B1151" s="369"/>
      <c r="C1151" s="42">
        <v>7527</v>
      </c>
      <c r="D1151" s="369"/>
      <c r="E1151" s="369"/>
      <c r="F1151" s="369"/>
      <c r="G1151" s="369"/>
      <c r="H1151" s="369"/>
      <c r="I1151" s="369"/>
      <c r="J1151" s="372"/>
      <c r="K1151" s="369"/>
      <c r="L1151" s="369"/>
      <c r="M1151" s="360"/>
      <c r="N1151" s="398"/>
      <c r="O1151" s="369"/>
      <c r="P1151" s="196"/>
      <c r="Q1151" s="369"/>
      <c r="T1151" s="200">
        <v>1</v>
      </c>
    </row>
    <row r="1152" spans="1:20" ht="15" hidden="1" customHeight="1" x14ac:dyDescent="0.3">
      <c r="A1152" s="367">
        <v>245</v>
      </c>
      <c r="B1152" s="367" t="s">
        <v>174</v>
      </c>
      <c r="C1152" s="40">
        <v>-4120</v>
      </c>
      <c r="D1152" s="370">
        <v>0</v>
      </c>
      <c r="E1152" s="367" t="s">
        <v>13</v>
      </c>
      <c r="F1152" s="367">
        <v>1450</v>
      </c>
      <c r="G1152" s="367">
        <v>1200</v>
      </c>
      <c r="H1152" s="367" t="s">
        <v>25</v>
      </c>
      <c r="I1152" s="367" t="s">
        <v>13</v>
      </c>
      <c r="J1152" s="367" t="s">
        <v>13</v>
      </c>
      <c r="K1152" s="367" t="s">
        <v>13</v>
      </c>
      <c r="L1152" s="367" t="s">
        <v>13</v>
      </c>
      <c r="M1152" s="358" t="s">
        <v>14</v>
      </c>
      <c r="N1152" s="396" t="s">
        <v>297</v>
      </c>
      <c r="O1152" s="367" t="s">
        <v>27</v>
      </c>
      <c r="P1152" s="65"/>
      <c r="Q1152" s="367" t="s">
        <v>176</v>
      </c>
    </row>
    <row r="1153" spans="1:20" ht="15" customHeight="1" x14ac:dyDescent="0.3">
      <c r="A1153" s="368"/>
      <c r="B1153" s="368"/>
      <c r="C1153" s="41">
        <v>15205</v>
      </c>
      <c r="D1153" s="371"/>
      <c r="E1153" s="368"/>
      <c r="F1153" s="368"/>
      <c r="G1153" s="368"/>
      <c r="H1153" s="368"/>
      <c r="I1153" s="368"/>
      <c r="J1153" s="368"/>
      <c r="K1153" s="368"/>
      <c r="L1153" s="368"/>
      <c r="M1153" s="359"/>
      <c r="N1153" s="397"/>
      <c r="O1153" s="368"/>
      <c r="P1153" s="226">
        <v>44066</v>
      </c>
      <c r="Q1153" s="368"/>
    </row>
    <row r="1154" spans="1:20" ht="15" customHeight="1" thickBot="1" x14ac:dyDescent="0.35">
      <c r="A1154" s="369"/>
      <c r="B1154" s="369"/>
      <c r="C1154" s="42">
        <v>7527</v>
      </c>
      <c r="D1154" s="372"/>
      <c r="E1154" s="369"/>
      <c r="F1154" s="369"/>
      <c r="G1154" s="369"/>
      <c r="H1154" s="369"/>
      <c r="I1154" s="369"/>
      <c r="J1154" s="369"/>
      <c r="K1154" s="369"/>
      <c r="L1154" s="369"/>
      <c r="M1154" s="360"/>
      <c r="N1154" s="398"/>
      <c r="O1154" s="369"/>
      <c r="P1154" s="67"/>
      <c r="Q1154" s="369"/>
      <c r="T1154" s="200">
        <v>1</v>
      </c>
    </row>
    <row r="1155" spans="1:20" ht="15" hidden="1" customHeight="1" x14ac:dyDescent="0.3">
      <c r="A1155" s="367">
        <v>246</v>
      </c>
      <c r="B1155" s="367" t="s">
        <v>179</v>
      </c>
      <c r="C1155" s="40">
        <v>-6640</v>
      </c>
      <c r="D1155" s="367">
        <v>1</v>
      </c>
      <c r="E1155" s="367" t="s">
        <v>66</v>
      </c>
      <c r="F1155" s="367">
        <v>1450</v>
      </c>
      <c r="G1155" s="367">
        <v>1200</v>
      </c>
      <c r="H1155" s="367" t="s">
        <v>50</v>
      </c>
      <c r="I1155" s="367">
        <v>60</v>
      </c>
      <c r="J1155" s="367">
        <f>-1.54/0.98</f>
        <v>-1.5714285714285714</v>
      </c>
      <c r="K1155" s="367">
        <v>30</v>
      </c>
      <c r="L1155" s="367">
        <v>10</v>
      </c>
      <c r="M1155" s="358" t="s">
        <v>14</v>
      </c>
      <c r="N1155" s="396" t="s">
        <v>297</v>
      </c>
      <c r="O1155" s="367" t="s">
        <v>27</v>
      </c>
      <c r="P1155" s="65"/>
      <c r="Q1155" s="367" t="s">
        <v>237</v>
      </c>
    </row>
    <row r="1156" spans="1:20" ht="15" customHeight="1" x14ac:dyDescent="0.3">
      <c r="A1156" s="368"/>
      <c r="B1156" s="368"/>
      <c r="C1156" s="41">
        <v>-17030</v>
      </c>
      <c r="D1156" s="368"/>
      <c r="E1156" s="368"/>
      <c r="F1156" s="368"/>
      <c r="G1156" s="368"/>
      <c r="H1156" s="368"/>
      <c r="I1156" s="368"/>
      <c r="J1156" s="368"/>
      <c r="K1156" s="368"/>
      <c r="L1156" s="368"/>
      <c r="M1156" s="359"/>
      <c r="N1156" s="397"/>
      <c r="O1156" s="368"/>
      <c r="P1156" s="226">
        <v>44066</v>
      </c>
      <c r="Q1156" s="368"/>
      <c r="T1156" s="200">
        <v>1</v>
      </c>
    </row>
    <row r="1157" spans="1:20" ht="15" customHeight="1" thickBot="1" x14ac:dyDescent="0.35">
      <c r="A1157" s="369"/>
      <c r="B1157" s="369"/>
      <c r="C1157" s="42">
        <v>7527</v>
      </c>
      <c r="D1157" s="369"/>
      <c r="E1157" s="369"/>
      <c r="F1157" s="369"/>
      <c r="G1157" s="369"/>
      <c r="H1157" s="369"/>
      <c r="I1157" s="369"/>
      <c r="J1157" s="369"/>
      <c r="K1157" s="369"/>
      <c r="L1157" s="369"/>
      <c r="M1157" s="360"/>
      <c r="N1157" s="398"/>
      <c r="O1157" s="369"/>
      <c r="P1157" s="67"/>
      <c r="Q1157" s="369"/>
    </row>
    <row r="1158" spans="1:20" ht="15" hidden="1" customHeight="1" x14ac:dyDescent="0.3">
      <c r="A1158" s="367">
        <v>247</v>
      </c>
      <c r="B1158" s="367" t="s">
        <v>174</v>
      </c>
      <c r="C1158" s="40">
        <v>-6845</v>
      </c>
      <c r="D1158" s="370">
        <v>0</v>
      </c>
      <c r="E1158" s="367" t="s">
        <v>13</v>
      </c>
      <c r="F1158" s="367">
        <v>1450</v>
      </c>
      <c r="G1158" s="367">
        <v>1200</v>
      </c>
      <c r="H1158" s="367" t="s">
        <v>50</v>
      </c>
      <c r="I1158" s="367" t="s">
        <v>13</v>
      </c>
      <c r="J1158" s="367" t="s">
        <v>13</v>
      </c>
      <c r="K1158" s="367" t="s">
        <v>13</v>
      </c>
      <c r="L1158" s="367" t="s">
        <v>13</v>
      </c>
      <c r="M1158" s="358" t="s">
        <v>14</v>
      </c>
      <c r="N1158" s="396" t="s">
        <v>297</v>
      </c>
      <c r="O1158" s="367" t="s">
        <v>27</v>
      </c>
      <c r="P1158" s="65"/>
      <c r="Q1158" s="367" t="s">
        <v>176</v>
      </c>
    </row>
    <row r="1159" spans="1:20" ht="15" customHeight="1" x14ac:dyDescent="0.3">
      <c r="A1159" s="368"/>
      <c r="B1159" s="368"/>
      <c r="C1159" s="41">
        <v>-17175</v>
      </c>
      <c r="D1159" s="371"/>
      <c r="E1159" s="368"/>
      <c r="F1159" s="368"/>
      <c r="G1159" s="368"/>
      <c r="H1159" s="368"/>
      <c r="I1159" s="368"/>
      <c r="J1159" s="368"/>
      <c r="K1159" s="368"/>
      <c r="L1159" s="368"/>
      <c r="M1159" s="359"/>
      <c r="N1159" s="397"/>
      <c r="O1159" s="368"/>
      <c r="P1159" s="226">
        <v>44066</v>
      </c>
      <c r="Q1159" s="368"/>
    </row>
    <row r="1160" spans="1:20" ht="15" customHeight="1" thickBot="1" x14ac:dyDescent="0.35">
      <c r="A1160" s="369"/>
      <c r="B1160" s="369"/>
      <c r="C1160" s="42">
        <v>7527</v>
      </c>
      <c r="D1160" s="372"/>
      <c r="E1160" s="369"/>
      <c r="F1160" s="369"/>
      <c r="G1160" s="369"/>
      <c r="H1160" s="369"/>
      <c r="I1160" s="369"/>
      <c r="J1160" s="369"/>
      <c r="K1160" s="369"/>
      <c r="L1160" s="369"/>
      <c r="M1160" s="360"/>
      <c r="N1160" s="398"/>
      <c r="O1160" s="369"/>
      <c r="P1160" s="67"/>
      <c r="Q1160" s="369"/>
      <c r="T1160" s="200">
        <v>1</v>
      </c>
    </row>
    <row r="1161" spans="1:20" ht="15" hidden="1" customHeight="1" x14ac:dyDescent="0.3">
      <c r="A1161" s="373">
        <v>248</v>
      </c>
      <c r="B1161" s="373" t="s">
        <v>179</v>
      </c>
      <c r="C1161" s="49">
        <v>-7050</v>
      </c>
      <c r="D1161" s="373">
        <v>1</v>
      </c>
      <c r="E1161" s="373" t="s">
        <v>161</v>
      </c>
      <c r="F1161" s="373">
        <v>1450</v>
      </c>
      <c r="G1161" s="373">
        <v>1200</v>
      </c>
      <c r="H1161" s="373" t="s">
        <v>50</v>
      </c>
      <c r="I1161" s="373">
        <v>150</v>
      </c>
      <c r="J1161" s="376" t="s">
        <v>45</v>
      </c>
      <c r="K1161" s="373">
        <v>40</v>
      </c>
      <c r="L1161" s="373">
        <v>-7</v>
      </c>
      <c r="M1161" s="379" t="s">
        <v>14</v>
      </c>
      <c r="N1161" s="408" t="s">
        <v>297</v>
      </c>
      <c r="O1161" s="373" t="s">
        <v>27</v>
      </c>
      <c r="P1161" s="83"/>
      <c r="Q1161" s="373" t="s">
        <v>243</v>
      </c>
    </row>
    <row r="1162" spans="1:20" ht="15" customHeight="1" x14ac:dyDescent="0.3">
      <c r="A1162" s="374"/>
      <c r="B1162" s="374"/>
      <c r="C1162" s="49">
        <v>-17320</v>
      </c>
      <c r="D1162" s="374"/>
      <c r="E1162" s="374"/>
      <c r="F1162" s="374"/>
      <c r="G1162" s="374"/>
      <c r="H1162" s="374"/>
      <c r="I1162" s="374"/>
      <c r="J1162" s="377"/>
      <c r="K1162" s="374"/>
      <c r="L1162" s="374"/>
      <c r="M1162" s="380"/>
      <c r="N1162" s="409"/>
      <c r="O1162" s="374"/>
      <c r="P1162" s="84"/>
      <c r="Q1162" s="374"/>
      <c r="T1162" s="288">
        <v>1</v>
      </c>
    </row>
    <row r="1163" spans="1:20" ht="15" customHeight="1" thickBot="1" x14ac:dyDescent="0.35">
      <c r="A1163" s="375"/>
      <c r="B1163" s="375"/>
      <c r="C1163" s="50">
        <v>7527</v>
      </c>
      <c r="D1163" s="375"/>
      <c r="E1163" s="375"/>
      <c r="F1163" s="375"/>
      <c r="G1163" s="375"/>
      <c r="H1163" s="375"/>
      <c r="I1163" s="375"/>
      <c r="J1163" s="378"/>
      <c r="K1163" s="375"/>
      <c r="L1163" s="375"/>
      <c r="M1163" s="381"/>
      <c r="N1163" s="410"/>
      <c r="O1163" s="375"/>
      <c r="P1163" s="85"/>
      <c r="Q1163" s="375"/>
    </row>
    <row r="1164" spans="1:20" ht="15" hidden="1" customHeight="1" x14ac:dyDescent="0.3">
      <c r="A1164" s="367">
        <v>249</v>
      </c>
      <c r="B1164" s="367" t="s">
        <v>174</v>
      </c>
      <c r="C1164" s="40">
        <v>-7255</v>
      </c>
      <c r="D1164" s="370">
        <v>0</v>
      </c>
      <c r="E1164" s="367" t="s">
        <v>13</v>
      </c>
      <c r="F1164" s="367">
        <v>1450</v>
      </c>
      <c r="G1164" s="367">
        <v>1200</v>
      </c>
      <c r="H1164" s="367" t="s">
        <v>50</v>
      </c>
      <c r="I1164" s="367" t="s">
        <v>13</v>
      </c>
      <c r="J1164" s="367" t="s">
        <v>13</v>
      </c>
      <c r="K1164" s="367" t="s">
        <v>13</v>
      </c>
      <c r="L1164" s="367" t="s">
        <v>13</v>
      </c>
      <c r="M1164" s="358" t="s">
        <v>14</v>
      </c>
      <c r="N1164" s="396" t="s">
        <v>297</v>
      </c>
      <c r="O1164" s="367" t="s">
        <v>27</v>
      </c>
      <c r="P1164" s="65"/>
      <c r="Q1164" s="367" t="s">
        <v>176</v>
      </c>
    </row>
    <row r="1165" spans="1:20" ht="15" customHeight="1" x14ac:dyDescent="0.3">
      <c r="A1165" s="368"/>
      <c r="B1165" s="368"/>
      <c r="C1165" s="41">
        <v>-17465</v>
      </c>
      <c r="D1165" s="371"/>
      <c r="E1165" s="368"/>
      <c r="F1165" s="368"/>
      <c r="G1165" s="368"/>
      <c r="H1165" s="368"/>
      <c r="I1165" s="368"/>
      <c r="J1165" s="368"/>
      <c r="K1165" s="368"/>
      <c r="L1165" s="368"/>
      <c r="M1165" s="359"/>
      <c r="N1165" s="397"/>
      <c r="O1165" s="368"/>
      <c r="P1165" s="226">
        <v>44066</v>
      </c>
      <c r="Q1165" s="368"/>
      <c r="T1165" s="200">
        <v>1</v>
      </c>
    </row>
    <row r="1166" spans="1:20" ht="15" customHeight="1" thickBot="1" x14ac:dyDescent="0.35">
      <c r="A1166" s="369"/>
      <c r="B1166" s="369"/>
      <c r="C1166" s="42">
        <v>7527</v>
      </c>
      <c r="D1166" s="372"/>
      <c r="E1166" s="369"/>
      <c r="F1166" s="369"/>
      <c r="G1166" s="369"/>
      <c r="H1166" s="369"/>
      <c r="I1166" s="369"/>
      <c r="J1166" s="369"/>
      <c r="K1166" s="369"/>
      <c r="L1166" s="369"/>
      <c r="M1166" s="360"/>
      <c r="N1166" s="398"/>
      <c r="O1166" s="369"/>
      <c r="P1166" s="67"/>
      <c r="Q1166" s="369"/>
    </row>
    <row r="1167" spans="1:20" ht="15" hidden="1" customHeight="1" x14ac:dyDescent="0.3">
      <c r="A1167" s="376">
        <v>250</v>
      </c>
      <c r="B1167" s="376" t="s">
        <v>62</v>
      </c>
      <c r="C1167" s="58">
        <v>-5560</v>
      </c>
      <c r="D1167" s="376">
        <v>1</v>
      </c>
      <c r="E1167" s="376" t="s">
        <v>250</v>
      </c>
      <c r="F1167" s="373">
        <v>1450</v>
      </c>
      <c r="G1167" s="373">
        <v>1200</v>
      </c>
      <c r="H1167" s="376" t="s">
        <v>251</v>
      </c>
      <c r="I1167" s="376">
        <v>350</v>
      </c>
      <c r="J1167" s="376" t="s">
        <v>303</v>
      </c>
      <c r="K1167" s="376">
        <v>70</v>
      </c>
      <c r="L1167" s="373">
        <v>106.5</v>
      </c>
      <c r="M1167" s="379" t="s">
        <v>14</v>
      </c>
      <c r="N1167" s="402" t="s">
        <v>297</v>
      </c>
      <c r="O1167" s="373" t="s">
        <v>27</v>
      </c>
      <c r="P1167" s="83"/>
      <c r="Q1167" s="373" t="s">
        <v>252</v>
      </c>
    </row>
    <row r="1168" spans="1:20" ht="15" customHeight="1" x14ac:dyDescent="0.3">
      <c r="A1168" s="377"/>
      <c r="B1168" s="377"/>
      <c r="C1168" s="59">
        <v>-15475</v>
      </c>
      <c r="D1168" s="377"/>
      <c r="E1168" s="377"/>
      <c r="F1168" s="374"/>
      <c r="G1168" s="374"/>
      <c r="H1168" s="377"/>
      <c r="I1168" s="377"/>
      <c r="J1168" s="377"/>
      <c r="K1168" s="377"/>
      <c r="L1168" s="374"/>
      <c r="M1168" s="380"/>
      <c r="N1168" s="403"/>
      <c r="O1168" s="374"/>
      <c r="P1168" s="84"/>
      <c r="Q1168" s="374"/>
    </row>
    <row r="1169" spans="1:20" ht="15" customHeight="1" thickBot="1" x14ac:dyDescent="0.35">
      <c r="A1169" s="378"/>
      <c r="B1169" s="378"/>
      <c r="C1169" s="57">
        <v>7527</v>
      </c>
      <c r="D1169" s="378"/>
      <c r="E1169" s="378"/>
      <c r="F1169" s="375"/>
      <c r="G1169" s="375"/>
      <c r="H1169" s="378"/>
      <c r="I1169" s="378"/>
      <c r="J1169" s="378"/>
      <c r="K1169" s="378"/>
      <c r="L1169" s="375"/>
      <c r="M1169" s="381"/>
      <c r="N1169" s="404"/>
      <c r="O1169" s="375"/>
      <c r="P1169" s="85"/>
      <c r="Q1169" s="375"/>
      <c r="T1169" s="288">
        <v>1</v>
      </c>
    </row>
    <row r="1170" spans="1:20" ht="15" hidden="1" customHeight="1" x14ac:dyDescent="0.3">
      <c r="A1170" s="367">
        <v>251</v>
      </c>
      <c r="B1170" s="367" t="s">
        <v>174</v>
      </c>
      <c r="C1170" s="40">
        <v>-8285</v>
      </c>
      <c r="D1170" s="370">
        <v>0</v>
      </c>
      <c r="E1170" s="367" t="s">
        <v>13</v>
      </c>
      <c r="F1170" s="367">
        <v>1450</v>
      </c>
      <c r="G1170" s="367">
        <v>1200</v>
      </c>
      <c r="H1170" s="367" t="s">
        <v>19</v>
      </c>
      <c r="I1170" s="367" t="s">
        <v>13</v>
      </c>
      <c r="J1170" s="367" t="s">
        <v>13</v>
      </c>
      <c r="K1170" s="367" t="s">
        <v>13</v>
      </c>
      <c r="L1170" s="367" t="s">
        <v>13</v>
      </c>
      <c r="M1170" s="358" t="s">
        <v>14</v>
      </c>
      <c r="N1170" s="396" t="s">
        <v>297</v>
      </c>
      <c r="O1170" s="367" t="s">
        <v>27</v>
      </c>
      <c r="P1170" s="65"/>
      <c r="Q1170" s="367" t="s">
        <v>176</v>
      </c>
    </row>
    <row r="1171" spans="1:20" ht="15" customHeight="1" x14ac:dyDescent="0.3">
      <c r="A1171" s="368"/>
      <c r="B1171" s="368"/>
      <c r="C1171" s="41">
        <v>-16780</v>
      </c>
      <c r="D1171" s="371"/>
      <c r="E1171" s="368"/>
      <c r="F1171" s="368"/>
      <c r="G1171" s="368"/>
      <c r="H1171" s="368"/>
      <c r="I1171" s="368"/>
      <c r="J1171" s="368"/>
      <c r="K1171" s="368"/>
      <c r="L1171" s="368"/>
      <c r="M1171" s="359"/>
      <c r="N1171" s="397"/>
      <c r="O1171" s="368"/>
      <c r="P1171" s="226">
        <v>44066</v>
      </c>
      <c r="Q1171" s="368"/>
      <c r="T1171" s="200">
        <v>1</v>
      </c>
    </row>
    <row r="1172" spans="1:20" ht="15" customHeight="1" thickBot="1" x14ac:dyDescent="0.35">
      <c r="A1172" s="369"/>
      <c r="B1172" s="369"/>
      <c r="C1172" s="42">
        <v>7527</v>
      </c>
      <c r="D1172" s="372"/>
      <c r="E1172" s="369"/>
      <c r="F1172" s="369"/>
      <c r="G1172" s="369"/>
      <c r="H1172" s="369"/>
      <c r="I1172" s="369"/>
      <c r="J1172" s="369"/>
      <c r="K1172" s="369"/>
      <c r="L1172" s="369"/>
      <c r="M1172" s="360"/>
      <c r="N1172" s="398"/>
      <c r="O1172" s="369"/>
      <c r="P1172" s="67"/>
      <c r="Q1172" s="369"/>
    </row>
    <row r="1173" spans="1:20" ht="15" hidden="1" customHeight="1" x14ac:dyDescent="0.3">
      <c r="A1173" s="367">
        <v>252</v>
      </c>
      <c r="B1173" s="367" t="s">
        <v>174</v>
      </c>
      <c r="C1173" s="40">
        <v>-8610</v>
      </c>
      <c r="D1173" s="370">
        <v>0</v>
      </c>
      <c r="E1173" s="367" t="s">
        <v>13</v>
      </c>
      <c r="F1173" s="367">
        <v>1450</v>
      </c>
      <c r="G1173" s="367">
        <v>1200</v>
      </c>
      <c r="H1173" s="367" t="s">
        <v>19</v>
      </c>
      <c r="I1173" s="367" t="s">
        <v>13</v>
      </c>
      <c r="J1173" s="367" t="s">
        <v>13</v>
      </c>
      <c r="K1173" s="367" t="s">
        <v>13</v>
      </c>
      <c r="L1173" s="367" t="s">
        <v>13</v>
      </c>
      <c r="M1173" s="358" t="s">
        <v>14</v>
      </c>
      <c r="N1173" s="396" t="s">
        <v>297</v>
      </c>
      <c r="O1173" s="367" t="s">
        <v>27</v>
      </c>
      <c r="P1173" s="65"/>
      <c r="Q1173" s="367" t="s">
        <v>176</v>
      </c>
      <c r="T1173" s="200">
        <v>1</v>
      </c>
    </row>
    <row r="1174" spans="1:20" ht="15" customHeight="1" x14ac:dyDescent="0.3">
      <c r="A1174" s="368"/>
      <c r="B1174" s="368"/>
      <c r="C1174" s="41">
        <v>-17010</v>
      </c>
      <c r="D1174" s="371"/>
      <c r="E1174" s="368"/>
      <c r="F1174" s="368"/>
      <c r="G1174" s="368"/>
      <c r="H1174" s="368"/>
      <c r="I1174" s="368"/>
      <c r="J1174" s="368"/>
      <c r="K1174" s="368"/>
      <c r="L1174" s="368"/>
      <c r="M1174" s="359"/>
      <c r="N1174" s="397"/>
      <c r="O1174" s="368"/>
      <c r="P1174" s="226">
        <v>44066</v>
      </c>
      <c r="Q1174" s="368"/>
    </row>
    <row r="1175" spans="1:20" ht="15" customHeight="1" thickBot="1" x14ac:dyDescent="0.35">
      <c r="A1175" s="369"/>
      <c r="B1175" s="369"/>
      <c r="C1175" s="42">
        <v>7527</v>
      </c>
      <c r="D1175" s="372"/>
      <c r="E1175" s="369"/>
      <c r="F1175" s="369"/>
      <c r="G1175" s="369"/>
      <c r="H1175" s="369"/>
      <c r="I1175" s="369"/>
      <c r="J1175" s="369"/>
      <c r="K1175" s="369"/>
      <c r="L1175" s="369"/>
      <c r="M1175" s="360"/>
      <c r="N1175" s="398"/>
      <c r="O1175" s="369"/>
      <c r="P1175" s="67"/>
      <c r="Q1175" s="369"/>
      <c r="T1175" s="200">
        <v>1</v>
      </c>
    </row>
    <row r="1176" spans="1:20" ht="15" hidden="1" customHeight="1" x14ac:dyDescent="0.3">
      <c r="A1176" s="367">
        <v>253</v>
      </c>
      <c r="B1176" s="367" t="s">
        <v>174</v>
      </c>
      <c r="C1176" s="40">
        <v>-6155</v>
      </c>
      <c r="D1176" s="370">
        <v>0</v>
      </c>
      <c r="E1176" s="367" t="s">
        <v>13</v>
      </c>
      <c r="F1176" s="367">
        <v>1450</v>
      </c>
      <c r="G1176" s="367">
        <v>1200</v>
      </c>
      <c r="H1176" s="367" t="s">
        <v>25</v>
      </c>
      <c r="I1176" s="367" t="s">
        <v>13</v>
      </c>
      <c r="J1176" s="367" t="s">
        <v>13</v>
      </c>
      <c r="K1176" s="367" t="s">
        <v>13</v>
      </c>
      <c r="L1176" s="367" t="s">
        <v>13</v>
      </c>
      <c r="M1176" s="358" t="s">
        <v>14</v>
      </c>
      <c r="N1176" s="396" t="s">
        <v>297</v>
      </c>
      <c r="O1176" s="367" t="s">
        <v>27</v>
      </c>
      <c r="P1176" s="65"/>
      <c r="Q1176" s="367" t="s">
        <v>176</v>
      </c>
    </row>
    <row r="1177" spans="1:20" ht="15" customHeight="1" x14ac:dyDescent="0.3">
      <c r="A1177" s="368"/>
      <c r="B1177" s="368"/>
      <c r="C1177" s="41">
        <v>-12305</v>
      </c>
      <c r="D1177" s="371"/>
      <c r="E1177" s="368"/>
      <c r="F1177" s="368"/>
      <c r="G1177" s="368"/>
      <c r="H1177" s="368"/>
      <c r="I1177" s="368"/>
      <c r="J1177" s="368"/>
      <c r="K1177" s="368"/>
      <c r="L1177" s="368"/>
      <c r="M1177" s="359"/>
      <c r="N1177" s="397"/>
      <c r="O1177" s="368"/>
      <c r="P1177" s="226">
        <v>44066</v>
      </c>
      <c r="Q1177" s="368"/>
    </row>
    <row r="1178" spans="1:20" ht="15" customHeight="1" thickBot="1" x14ac:dyDescent="0.35">
      <c r="A1178" s="369"/>
      <c r="B1178" s="369"/>
      <c r="C1178" s="42">
        <v>7527</v>
      </c>
      <c r="D1178" s="372"/>
      <c r="E1178" s="369"/>
      <c r="F1178" s="369"/>
      <c r="G1178" s="369"/>
      <c r="H1178" s="369"/>
      <c r="I1178" s="369"/>
      <c r="J1178" s="369"/>
      <c r="K1178" s="369"/>
      <c r="L1178" s="369"/>
      <c r="M1178" s="360"/>
      <c r="N1178" s="398"/>
      <c r="O1178" s="369"/>
      <c r="P1178" s="67"/>
      <c r="Q1178" s="369"/>
      <c r="T1178" s="200">
        <v>1</v>
      </c>
    </row>
    <row r="1179" spans="1:20" ht="15" hidden="1" customHeight="1" x14ac:dyDescent="0.3">
      <c r="A1179" s="367">
        <v>254</v>
      </c>
      <c r="B1179" s="367" t="s">
        <v>64</v>
      </c>
      <c r="C1179" s="40">
        <v>-8000</v>
      </c>
      <c r="D1179" s="367">
        <v>1</v>
      </c>
      <c r="E1179" s="367" t="s">
        <v>245</v>
      </c>
      <c r="F1179" s="367">
        <v>1450</v>
      </c>
      <c r="G1179" s="367">
        <v>1200</v>
      </c>
      <c r="H1179" s="367" t="s">
        <v>12</v>
      </c>
      <c r="I1179" s="367">
        <v>350</v>
      </c>
      <c r="J1179" s="370" t="s">
        <v>45</v>
      </c>
      <c r="K1179" s="367">
        <v>90</v>
      </c>
      <c r="L1179" s="367">
        <v>46</v>
      </c>
      <c r="M1179" s="358" t="s">
        <v>14</v>
      </c>
      <c r="N1179" s="396" t="s">
        <v>297</v>
      </c>
      <c r="O1179" s="367" t="s">
        <v>27</v>
      </c>
      <c r="P1179" s="316"/>
      <c r="Q1179" s="367" t="s">
        <v>246</v>
      </c>
    </row>
    <row r="1180" spans="1:20" ht="15" customHeight="1" x14ac:dyDescent="0.3">
      <c r="A1180" s="368"/>
      <c r="B1180" s="368"/>
      <c r="C1180" s="41">
        <v>-9675</v>
      </c>
      <c r="D1180" s="368"/>
      <c r="E1180" s="368"/>
      <c r="F1180" s="368"/>
      <c r="G1180" s="368"/>
      <c r="H1180" s="368"/>
      <c r="I1180" s="368"/>
      <c r="J1180" s="371"/>
      <c r="K1180" s="368"/>
      <c r="L1180" s="368"/>
      <c r="M1180" s="359"/>
      <c r="N1180" s="397"/>
      <c r="O1180" s="368"/>
      <c r="P1180" s="226">
        <v>44096</v>
      </c>
      <c r="Q1180" s="368"/>
      <c r="R1180" s="186">
        <v>44096</v>
      </c>
      <c r="T1180" s="200">
        <v>1</v>
      </c>
    </row>
    <row r="1181" spans="1:20" ht="15" customHeight="1" thickBot="1" x14ac:dyDescent="0.35">
      <c r="A1181" s="369"/>
      <c r="B1181" s="369"/>
      <c r="C1181" s="42">
        <v>7527</v>
      </c>
      <c r="D1181" s="369"/>
      <c r="E1181" s="369"/>
      <c r="F1181" s="369"/>
      <c r="G1181" s="369"/>
      <c r="H1181" s="369"/>
      <c r="I1181" s="369"/>
      <c r="J1181" s="372"/>
      <c r="K1181" s="369"/>
      <c r="L1181" s="369"/>
      <c r="M1181" s="360"/>
      <c r="N1181" s="398"/>
      <c r="O1181" s="369"/>
      <c r="P1181" s="317"/>
      <c r="Q1181" s="369"/>
    </row>
    <row r="1182" spans="1:20" ht="15" hidden="1" customHeight="1" x14ac:dyDescent="0.3">
      <c r="A1182" s="367">
        <v>255</v>
      </c>
      <c r="B1182" s="367" t="s">
        <v>230</v>
      </c>
      <c r="C1182" s="40">
        <v>-9335</v>
      </c>
      <c r="D1182" s="367">
        <v>1</v>
      </c>
      <c r="E1182" s="367" t="s">
        <v>49</v>
      </c>
      <c r="F1182" s="367">
        <v>1450</v>
      </c>
      <c r="G1182" s="367">
        <v>1200</v>
      </c>
      <c r="H1182" s="367" t="s">
        <v>50</v>
      </c>
      <c r="I1182" s="367">
        <v>150</v>
      </c>
      <c r="J1182" s="370" t="s">
        <v>45</v>
      </c>
      <c r="K1182" s="367">
        <v>40</v>
      </c>
      <c r="L1182" s="367">
        <v>-19.5</v>
      </c>
      <c r="M1182" s="358" t="s">
        <v>14</v>
      </c>
      <c r="N1182" s="396" t="s">
        <v>297</v>
      </c>
      <c r="O1182" s="367" t="s">
        <v>27</v>
      </c>
      <c r="P1182" s="316"/>
      <c r="Q1182" s="367" t="s">
        <v>243</v>
      </c>
    </row>
    <row r="1183" spans="1:20" ht="15" customHeight="1" x14ac:dyDescent="0.3">
      <c r="A1183" s="368"/>
      <c r="B1183" s="368"/>
      <c r="C1183" s="41">
        <v>-12205</v>
      </c>
      <c r="D1183" s="368"/>
      <c r="E1183" s="368"/>
      <c r="F1183" s="368"/>
      <c r="G1183" s="368"/>
      <c r="H1183" s="368"/>
      <c r="I1183" s="368"/>
      <c r="J1183" s="371"/>
      <c r="K1183" s="368"/>
      <c r="L1183" s="368"/>
      <c r="M1183" s="359"/>
      <c r="N1183" s="397"/>
      <c r="O1183" s="368"/>
      <c r="P1183" s="226">
        <v>44096</v>
      </c>
      <c r="Q1183" s="368"/>
      <c r="R1183" s="186">
        <v>44096</v>
      </c>
      <c r="T1183" s="200">
        <v>1</v>
      </c>
    </row>
    <row r="1184" spans="1:20" ht="15" customHeight="1" thickBot="1" x14ac:dyDescent="0.35">
      <c r="A1184" s="369"/>
      <c r="B1184" s="369"/>
      <c r="C1184" s="42">
        <v>7527</v>
      </c>
      <c r="D1184" s="369"/>
      <c r="E1184" s="369"/>
      <c r="F1184" s="369"/>
      <c r="G1184" s="369"/>
      <c r="H1184" s="369"/>
      <c r="I1184" s="369"/>
      <c r="J1184" s="372"/>
      <c r="K1184" s="369"/>
      <c r="L1184" s="369"/>
      <c r="M1184" s="360"/>
      <c r="N1184" s="398"/>
      <c r="O1184" s="369"/>
      <c r="P1184" s="317"/>
      <c r="Q1184" s="369"/>
    </row>
    <row r="1185" spans="1:20" ht="15" hidden="1" customHeight="1" x14ac:dyDescent="0.3">
      <c r="A1185" s="367">
        <v>256</v>
      </c>
      <c r="B1185" s="367" t="s">
        <v>174</v>
      </c>
      <c r="C1185" s="40">
        <v>-9540</v>
      </c>
      <c r="D1185" s="370">
        <v>0</v>
      </c>
      <c r="E1185" s="367" t="s">
        <v>13</v>
      </c>
      <c r="F1185" s="367">
        <v>1450</v>
      </c>
      <c r="G1185" s="367">
        <v>1200</v>
      </c>
      <c r="H1185" s="367" t="s">
        <v>50</v>
      </c>
      <c r="I1185" s="367" t="s">
        <v>13</v>
      </c>
      <c r="J1185" s="367" t="s">
        <v>13</v>
      </c>
      <c r="K1185" s="367" t="s">
        <v>13</v>
      </c>
      <c r="L1185" s="367" t="s">
        <v>13</v>
      </c>
      <c r="M1185" s="358" t="s">
        <v>14</v>
      </c>
      <c r="N1185" s="396" t="s">
        <v>297</v>
      </c>
      <c r="O1185" s="367" t="s">
        <v>27</v>
      </c>
      <c r="P1185" s="65"/>
      <c r="Q1185" s="367" t="s">
        <v>176</v>
      </c>
      <c r="T1185" s="200">
        <v>1</v>
      </c>
    </row>
    <row r="1186" spans="1:20" ht="15" customHeight="1" x14ac:dyDescent="0.3">
      <c r="A1186" s="368"/>
      <c r="B1186" s="368"/>
      <c r="C1186" s="41">
        <v>-12345</v>
      </c>
      <c r="D1186" s="371"/>
      <c r="E1186" s="368"/>
      <c r="F1186" s="368"/>
      <c r="G1186" s="368"/>
      <c r="H1186" s="368"/>
      <c r="I1186" s="368"/>
      <c r="J1186" s="368"/>
      <c r="K1186" s="368"/>
      <c r="L1186" s="368"/>
      <c r="M1186" s="359"/>
      <c r="N1186" s="397"/>
      <c r="O1186" s="368"/>
      <c r="P1186" s="226">
        <v>44066</v>
      </c>
      <c r="Q1186" s="368"/>
    </row>
    <row r="1187" spans="1:20" ht="15" customHeight="1" thickBot="1" x14ac:dyDescent="0.35">
      <c r="A1187" s="369"/>
      <c r="B1187" s="369"/>
      <c r="C1187" s="42">
        <v>7527</v>
      </c>
      <c r="D1187" s="372"/>
      <c r="E1187" s="369"/>
      <c r="F1187" s="369"/>
      <c r="G1187" s="369"/>
      <c r="H1187" s="369"/>
      <c r="I1187" s="369"/>
      <c r="J1187" s="369"/>
      <c r="K1187" s="369"/>
      <c r="L1187" s="369"/>
      <c r="M1187" s="360"/>
      <c r="N1187" s="398"/>
      <c r="O1187" s="369"/>
      <c r="P1187" s="67"/>
      <c r="Q1187" s="369"/>
    </row>
    <row r="1188" spans="1:20" ht="15" hidden="1" customHeight="1" x14ac:dyDescent="0.3">
      <c r="A1188" s="367">
        <v>257</v>
      </c>
      <c r="B1188" s="367" t="s">
        <v>179</v>
      </c>
      <c r="C1188" s="40">
        <v>-10460</v>
      </c>
      <c r="D1188" s="367">
        <v>1</v>
      </c>
      <c r="E1188" s="367" t="s">
        <v>66</v>
      </c>
      <c r="F1188" s="367">
        <v>1450</v>
      </c>
      <c r="G1188" s="367">
        <v>1200</v>
      </c>
      <c r="H1188" s="367" t="s">
        <v>50</v>
      </c>
      <c r="I1188" s="367">
        <v>100</v>
      </c>
      <c r="J1188" s="370" t="s">
        <v>45</v>
      </c>
      <c r="K1188" s="367">
        <v>30</v>
      </c>
      <c r="L1188" s="367">
        <v>10</v>
      </c>
      <c r="M1188" s="358" t="s">
        <v>14</v>
      </c>
      <c r="N1188" s="396" t="s">
        <v>297</v>
      </c>
      <c r="O1188" s="367" t="s">
        <v>27</v>
      </c>
      <c r="P1188" s="197"/>
      <c r="Q1188" s="367" t="s">
        <v>238</v>
      </c>
      <c r="R1188" s="186">
        <v>44071</v>
      </c>
      <c r="T1188" s="200">
        <v>1</v>
      </c>
    </row>
    <row r="1189" spans="1:20" ht="15" customHeight="1" x14ac:dyDescent="0.3">
      <c r="A1189" s="368"/>
      <c r="B1189" s="368"/>
      <c r="C1189" s="41">
        <v>-12990</v>
      </c>
      <c r="D1189" s="368"/>
      <c r="E1189" s="368"/>
      <c r="F1189" s="368"/>
      <c r="G1189" s="368"/>
      <c r="H1189" s="368"/>
      <c r="I1189" s="368"/>
      <c r="J1189" s="371"/>
      <c r="K1189" s="368"/>
      <c r="L1189" s="368"/>
      <c r="M1189" s="359"/>
      <c r="N1189" s="397"/>
      <c r="O1189" s="368"/>
      <c r="P1189" s="226">
        <v>44066</v>
      </c>
      <c r="Q1189" s="368"/>
    </row>
    <row r="1190" spans="1:20" ht="15" customHeight="1" thickBot="1" x14ac:dyDescent="0.35">
      <c r="A1190" s="369"/>
      <c r="B1190" s="369"/>
      <c r="C1190" s="42">
        <v>7527</v>
      </c>
      <c r="D1190" s="369"/>
      <c r="E1190" s="369"/>
      <c r="F1190" s="369"/>
      <c r="G1190" s="369"/>
      <c r="H1190" s="369"/>
      <c r="I1190" s="369"/>
      <c r="J1190" s="372"/>
      <c r="K1190" s="369"/>
      <c r="L1190" s="369"/>
      <c r="M1190" s="360"/>
      <c r="N1190" s="398"/>
      <c r="O1190" s="369"/>
      <c r="P1190" s="199"/>
      <c r="Q1190" s="369"/>
    </row>
    <row r="1191" spans="1:20" ht="15" hidden="1" customHeight="1" x14ac:dyDescent="0.3">
      <c r="A1191" s="367">
        <v>258</v>
      </c>
      <c r="B1191" s="367" t="s">
        <v>179</v>
      </c>
      <c r="C1191" s="40">
        <v>-10665</v>
      </c>
      <c r="D1191" s="367">
        <v>1</v>
      </c>
      <c r="E1191" s="367" t="s">
        <v>66</v>
      </c>
      <c r="F1191" s="367">
        <v>1450</v>
      </c>
      <c r="G1191" s="367">
        <v>1200</v>
      </c>
      <c r="H1191" s="367" t="s">
        <v>50</v>
      </c>
      <c r="I1191" s="367">
        <v>60</v>
      </c>
      <c r="J1191" s="367">
        <f>-0.84/0.37</f>
        <v>-2.2702702702702702</v>
      </c>
      <c r="K1191" s="367">
        <v>30</v>
      </c>
      <c r="L1191" s="367">
        <v>10</v>
      </c>
      <c r="M1191" s="358" t="s">
        <v>14</v>
      </c>
      <c r="N1191" s="396" t="s">
        <v>297</v>
      </c>
      <c r="O1191" s="367" t="s">
        <v>27</v>
      </c>
      <c r="P1191" s="65"/>
      <c r="Q1191" s="367" t="s">
        <v>237</v>
      </c>
      <c r="T1191" s="200">
        <v>1</v>
      </c>
    </row>
    <row r="1192" spans="1:20" ht="15" customHeight="1" x14ac:dyDescent="0.3">
      <c r="A1192" s="368"/>
      <c r="B1192" s="368"/>
      <c r="C1192" s="40">
        <v>-13135</v>
      </c>
      <c r="D1192" s="368"/>
      <c r="E1192" s="368"/>
      <c r="F1192" s="368"/>
      <c r="G1192" s="368"/>
      <c r="H1192" s="368"/>
      <c r="I1192" s="368"/>
      <c r="J1192" s="368"/>
      <c r="K1192" s="368"/>
      <c r="L1192" s="368"/>
      <c r="M1192" s="359"/>
      <c r="N1192" s="397"/>
      <c r="O1192" s="368"/>
      <c r="P1192" s="226">
        <v>44066</v>
      </c>
      <c r="Q1192" s="368"/>
    </row>
    <row r="1193" spans="1:20" ht="15" customHeight="1" thickBot="1" x14ac:dyDescent="0.35">
      <c r="A1193" s="369"/>
      <c r="B1193" s="369"/>
      <c r="C1193" s="42">
        <v>7527</v>
      </c>
      <c r="D1193" s="369"/>
      <c r="E1193" s="369"/>
      <c r="F1193" s="369"/>
      <c r="G1193" s="369"/>
      <c r="H1193" s="369"/>
      <c r="I1193" s="369"/>
      <c r="J1193" s="369"/>
      <c r="K1193" s="369"/>
      <c r="L1193" s="369"/>
      <c r="M1193" s="360"/>
      <c r="N1193" s="398"/>
      <c r="O1193" s="369"/>
      <c r="P1193" s="67"/>
      <c r="Q1193" s="369"/>
    </row>
    <row r="1194" spans="1:20" ht="15" hidden="1" customHeight="1" x14ac:dyDescent="0.3">
      <c r="A1194" s="367">
        <v>259</v>
      </c>
      <c r="B1194" s="367" t="s">
        <v>233</v>
      </c>
      <c r="C1194" s="40">
        <v>-11760</v>
      </c>
      <c r="D1194" s="367">
        <v>1</v>
      </c>
      <c r="E1194" s="367" t="s">
        <v>50</v>
      </c>
      <c r="F1194" s="367">
        <v>1450</v>
      </c>
      <c r="G1194" s="367">
        <v>1200</v>
      </c>
      <c r="H1194" s="367" t="s">
        <v>44</v>
      </c>
      <c r="I1194" s="367">
        <v>100</v>
      </c>
      <c r="J1194" s="370" t="s">
        <v>45</v>
      </c>
      <c r="K1194" s="367">
        <v>30</v>
      </c>
      <c r="L1194" s="367">
        <v>70.5</v>
      </c>
      <c r="M1194" s="358" t="s">
        <v>14</v>
      </c>
      <c r="N1194" s="396" t="s">
        <v>297</v>
      </c>
      <c r="O1194" s="367" t="s">
        <v>27</v>
      </c>
      <c r="P1194" s="290"/>
      <c r="Q1194" s="367" t="s">
        <v>267</v>
      </c>
      <c r="R1194" s="186">
        <v>44066</v>
      </c>
      <c r="T1194" s="200">
        <v>1</v>
      </c>
    </row>
    <row r="1195" spans="1:20" ht="15" customHeight="1" x14ac:dyDescent="0.3">
      <c r="A1195" s="368"/>
      <c r="B1195" s="368"/>
      <c r="C1195" s="41">
        <v>-14570</v>
      </c>
      <c r="D1195" s="368"/>
      <c r="E1195" s="368"/>
      <c r="F1195" s="368"/>
      <c r="G1195" s="368"/>
      <c r="H1195" s="368"/>
      <c r="I1195" s="368"/>
      <c r="J1195" s="371"/>
      <c r="K1195" s="368"/>
      <c r="L1195" s="368"/>
      <c r="M1195" s="359"/>
      <c r="N1195" s="397"/>
      <c r="O1195" s="368"/>
      <c r="P1195" s="226">
        <v>44095</v>
      </c>
      <c r="Q1195" s="368"/>
    </row>
    <row r="1196" spans="1:20" ht="15" customHeight="1" thickBot="1" x14ac:dyDescent="0.35">
      <c r="A1196" s="369"/>
      <c r="B1196" s="369"/>
      <c r="C1196" s="42">
        <v>7527</v>
      </c>
      <c r="D1196" s="369"/>
      <c r="E1196" s="369"/>
      <c r="F1196" s="369"/>
      <c r="G1196" s="369"/>
      <c r="H1196" s="369"/>
      <c r="I1196" s="369"/>
      <c r="J1196" s="372"/>
      <c r="K1196" s="369"/>
      <c r="L1196" s="369"/>
      <c r="M1196" s="360"/>
      <c r="N1196" s="398"/>
      <c r="O1196" s="369"/>
      <c r="P1196" s="292"/>
      <c r="Q1196" s="369"/>
    </row>
    <row r="1197" spans="1:20" ht="15" hidden="1" customHeight="1" x14ac:dyDescent="0.3">
      <c r="A1197" s="367">
        <v>260</v>
      </c>
      <c r="B1197" s="367" t="s">
        <v>233</v>
      </c>
      <c r="C1197" s="40">
        <v>-12185</v>
      </c>
      <c r="D1197" s="367">
        <v>1</v>
      </c>
      <c r="E1197" s="367" t="s">
        <v>50</v>
      </c>
      <c r="F1197" s="367">
        <v>1450</v>
      </c>
      <c r="G1197" s="367">
        <v>1200</v>
      </c>
      <c r="H1197" s="367" t="s">
        <v>44</v>
      </c>
      <c r="I1197" s="367">
        <v>100</v>
      </c>
      <c r="J1197" s="370" t="s">
        <v>45</v>
      </c>
      <c r="K1197" s="367">
        <v>30</v>
      </c>
      <c r="L1197" s="367">
        <v>70.5</v>
      </c>
      <c r="M1197" s="358" t="s">
        <v>14</v>
      </c>
      <c r="N1197" s="396" t="s">
        <v>297</v>
      </c>
      <c r="O1197" s="367" t="s">
        <v>27</v>
      </c>
      <c r="P1197" s="290"/>
      <c r="Q1197" s="367" t="s">
        <v>267</v>
      </c>
      <c r="R1197" s="186">
        <v>44066</v>
      </c>
      <c r="T1197" s="200">
        <v>1</v>
      </c>
    </row>
    <row r="1198" spans="1:20" ht="15" customHeight="1" x14ac:dyDescent="0.3">
      <c r="A1198" s="368"/>
      <c r="B1198" s="368"/>
      <c r="C1198" s="41">
        <v>-14895</v>
      </c>
      <c r="D1198" s="368"/>
      <c r="E1198" s="368"/>
      <c r="F1198" s="368"/>
      <c r="G1198" s="368"/>
      <c r="H1198" s="368"/>
      <c r="I1198" s="368"/>
      <c r="J1198" s="371"/>
      <c r="K1198" s="368"/>
      <c r="L1198" s="368"/>
      <c r="M1198" s="359"/>
      <c r="N1198" s="397"/>
      <c r="O1198" s="368"/>
      <c r="P1198" s="226">
        <v>44095</v>
      </c>
      <c r="Q1198" s="368"/>
    </row>
    <row r="1199" spans="1:20" ht="15" customHeight="1" thickBot="1" x14ac:dyDescent="0.35">
      <c r="A1199" s="369"/>
      <c r="B1199" s="369"/>
      <c r="C1199" s="42">
        <v>7527</v>
      </c>
      <c r="D1199" s="369"/>
      <c r="E1199" s="369"/>
      <c r="F1199" s="369"/>
      <c r="G1199" s="369"/>
      <c r="H1199" s="369"/>
      <c r="I1199" s="369"/>
      <c r="J1199" s="372"/>
      <c r="K1199" s="369"/>
      <c r="L1199" s="369"/>
      <c r="M1199" s="360"/>
      <c r="N1199" s="398"/>
      <c r="O1199" s="369"/>
      <c r="P1199" s="292"/>
      <c r="Q1199" s="369"/>
    </row>
    <row r="1200" spans="1:20" ht="15" hidden="1" customHeight="1" x14ac:dyDescent="0.3">
      <c r="A1200" s="367">
        <v>261</v>
      </c>
      <c r="B1200" s="367" t="s">
        <v>174</v>
      </c>
      <c r="C1200" s="40">
        <v>-13185</v>
      </c>
      <c r="D1200" s="370">
        <v>0</v>
      </c>
      <c r="E1200" s="367" t="s">
        <v>13</v>
      </c>
      <c r="F1200" s="367">
        <v>1450</v>
      </c>
      <c r="G1200" s="367">
        <v>1200</v>
      </c>
      <c r="H1200" s="367" t="s">
        <v>25</v>
      </c>
      <c r="I1200" s="367" t="s">
        <v>13</v>
      </c>
      <c r="J1200" s="367" t="s">
        <v>13</v>
      </c>
      <c r="K1200" s="367" t="s">
        <v>13</v>
      </c>
      <c r="L1200" s="367" t="s">
        <v>13</v>
      </c>
      <c r="M1200" s="358" t="s">
        <v>14</v>
      </c>
      <c r="N1200" s="396" t="s">
        <v>304</v>
      </c>
      <c r="O1200" s="367" t="s">
        <v>27</v>
      </c>
      <c r="P1200" s="65"/>
      <c r="Q1200" s="367" t="s">
        <v>176</v>
      </c>
      <c r="T1200" s="200">
        <v>1</v>
      </c>
    </row>
    <row r="1201" spans="1:20" ht="15" customHeight="1" x14ac:dyDescent="0.3">
      <c r="A1201" s="368"/>
      <c r="B1201" s="368"/>
      <c r="C1201" s="41">
        <v>-12845</v>
      </c>
      <c r="D1201" s="371"/>
      <c r="E1201" s="368"/>
      <c r="F1201" s="368"/>
      <c r="G1201" s="368"/>
      <c r="H1201" s="368"/>
      <c r="I1201" s="368"/>
      <c r="J1201" s="368"/>
      <c r="K1201" s="368"/>
      <c r="L1201" s="368"/>
      <c r="M1201" s="359"/>
      <c r="N1201" s="397"/>
      <c r="O1201" s="368"/>
      <c r="P1201" s="226">
        <v>44066</v>
      </c>
      <c r="Q1201" s="368"/>
    </row>
    <row r="1202" spans="1:20" ht="15" customHeight="1" thickBot="1" x14ac:dyDescent="0.35">
      <c r="A1202" s="369"/>
      <c r="B1202" s="369"/>
      <c r="C1202" s="42">
        <v>7527</v>
      </c>
      <c r="D1202" s="372"/>
      <c r="E1202" s="369"/>
      <c r="F1202" s="369"/>
      <c r="G1202" s="369"/>
      <c r="H1202" s="369"/>
      <c r="I1202" s="369"/>
      <c r="J1202" s="369"/>
      <c r="K1202" s="369"/>
      <c r="L1202" s="369"/>
      <c r="M1202" s="360"/>
      <c r="N1202" s="398"/>
      <c r="O1202" s="369"/>
      <c r="P1202" s="67"/>
      <c r="Q1202" s="369"/>
    </row>
    <row r="1203" spans="1:20" ht="15" hidden="1" customHeight="1" x14ac:dyDescent="0.3">
      <c r="A1203" s="367">
        <v>262</v>
      </c>
      <c r="B1203" s="367" t="s">
        <v>174</v>
      </c>
      <c r="C1203" s="40">
        <v>-13805</v>
      </c>
      <c r="D1203" s="370">
        <v>0</v>
      </c>
      <c r="E1203" s="367" t="s">
        <v>13</v>
      </c>
      <c r="F1203" s="367">
        <v>1450</v>
      </c>
      <c r="G1203" s="367">
        <v>1200</v>
      </c>
      <c r="H1203" s="367" t="s">
        <v>25</v>
      </c>
      <c r="I1203" s="367" t="s">
        <v>13</v>
      </c>
      <c r="J1203" s="367" t="s">
        <v>13</v>
      </c>
      <c r="K1203" s="367" t="s">
        <v>13</v>
      </c>
      <c r="L1203" s="367" t="s">
        <v>13</v>
      </c>
      <c r="M1203" s="358" t="s">
        <v>14</v>
      </c>
      <c r="N1203" s="396" t="s">
        <v>304</v>
      </c>
      <c r="O1203" s="367" t="s">
        <v>27</v>
      </c>
      <c r="P1203" s="65"/>
      <c r="Q1203" s="367" t="s">
        <v>176</v>
      </c>
    </row>
    <row r="1204" spans="1:20" ht="15" customHeight="1" x14ac:dyDescent="0.3">
      <c r="A1204" s="368"/>
      <c r="B1204" s="368"/>
      <c r="C1204" s="41">
        <v>-13350</v>
      </c>
      <c r="D1204" s="371"/>
      <c r="E1204" s="368"/>
      <c r="F1204" s="368"/>
      <c r="G1204" s="368"/>
      <c r="H1204" s="368"/>
      <c r="I1204" s="368"/>
      <c r="J1204" s="368"/>
      <c r="K1204" s="368"/>
      <c r="L1204" s="368"/>
      <c r="M1204" s="359"/>
      <c r="N1204" s="397"/>
      <c r="O1204" s="368"/>
      <c r="P1204" s="226">
        <v>44066</v>
      </c>
      <c r="Q1204" s="368"/>
      <c r="T1204" s="200">
        <v>1</v>
      </c>
    </row>
    <row r="1205" spans="1:20" ht="15" customHeight="1" thickBot="1" x14ac:dyDescent="0.35">
      <c r="A1205" s="369"/>
      <c r="B1205" s="369"/>
      <c r="C1205" s="42">
        <v>7527</v>
      </c>
      <c r="D1205" s="372"/>
      <c r="E1205" s="369"/>
      <c r="F1205" s="369"/>
      <c r="G1205" s="369"/>
      <c r="H1205" s="369"/>
      <c r="I1205" s="369"/>
      <c r="J1205" s="369"/>
      <c r="K1205" s="369"/>
      <c r="L1205" s="369"/>
      <c r="M1205" s="360"/>
      <c r="N1205" s="398"/>
      <c r="O1205" s="369"/>
      <c r="P1205" s="67"/>
      <c r="Q1205" s="369"/>
    </row>
    <row r="1206" spans="1:20" ht="15" hidden="1" customHeight="1" x14ac:dyDescent="0.3">
      <c r="A1206" s="367">
        <v>263</v>
      </c>
      <c r="B1206" s="367" t="s">
        <v>233</v>
      </c>
      <c r="C1206" s="40">
        <v>-14235</v>
      </c>
      <c r="D1206" s="367">
        <v>1</v>
      </c>
      <c r="E1206" s="367" t="s">
        <v>305</v>
      </c>
      <c r="F1206" s="367">
        <v>1450</v>
      </c>
      <c r="G1206" s="367">
        <v>1200</v>
      </c>
      <c r="H1206" s="367" t="s">
        <v>19</v>
      </c>
      <c r="I1206" s="367">
        <v>350</v>
      </c>
      <c r="J1206" s="370" t="s">
        <v>45</v>
      </c>
      <c r="K1206" s="367">
        <v>100</v>
      </c>
      <c r="L1206" s="367">
        <v>-51.5</v>
      </c>
      <c r="M1206" s="358" t="s">
        <v>14</v>
      </c>
      <c r="N1206" s="396" t="s">
        <v>304</v>
      </c>
      <c r="O1206" s="367" t="s">
        <v>27</v>
      </c>
      <c r="P1206" s="261"/>
      <c r="Q1206" s="367" t="s">
        <v>243</v>
      </c>
    </row>
    <row r="1207" spans="1:20" ht="15" customHeight="1" x14ac:dyDescent="0.3">
      <c r="A1207" s="368"/>
      <c r="B1207" s="368"/>
      <c r="C1207" s="41">
        <v>-13230</v>
      </c>
      <c r="D1207" s="368"/>
      <c r="E1207" s="368"/>
      <c r="F1207" s="368"/>
      <c r="G1207" s="368"/>
      <c r="H1207" s="368"/>
      <c r="I1207" s="368"/>
      <c r="J1207" s="371"/>
      <c r="K1207" s="368"/>
      <c r="L1207" s="368"/>
      <c r="M1207" s="359"/>
      <c r="N1207" s="397"/>
      <c r="O1207" s="368"/>
      <c r="P1207" s="226">
        <v>44090</v>
      </c>
      <c r="Q1207" s="368"/>
      <c r="T1207" s="200">
        <v>1</v>
      </c>
    </row>
    <row r="1208" spans="1:20" ht="15" customHeight="1" thickBot="1" x14ac:dyDescent="0.35">
      <c r="A1208" s="369"/>
      <c r="B1208" s="369"/>
      <c r="C1208" s="42">
        <v>7527</v>
      </c>
      <c r="D1208" s="369"/>
      <c r="E1208" s="369"/>
      <c r="F1208" s="369"/>
      <c r="G1208" s="369"/>
      <c r="H1208" s="369"/>
      <c r="I1208" s="369"/>
      <c r="J1208" s="372"/>
      <c r="K1208" s="369"/>
      <c r="L1208" s="369"/>
      <c r="M1208" s="360"/>
      <c r="N1208" s="398"/>
      <c r="O1208" s="369"/>
      <c r="P1208" s="262"/>
      <c r="Q1208" s="369"/>
    </row>
    <row r="1209" spans="1:20" ht="15" hidden="1" customHeight="1" x14ac:dyDescent="0.3">
      <c r="A1209" s="370">
        <v>264</v>
      </c>
      <c r="B1209" s="370" t="s">
        <v>233</v>
      </c>
      <c r="C1209" s="37">
        <v>-14455</v>
      </c>
      <c r="D1209" s="370">
        <v>1</v>
      </c>
      <c r="E1209" s="370" t="s">
        <v>305</v>
      </c>
      <c r="F1209" s="367">
        <v>1450</v>
      </c>
      <c r="G1209" s="367">
        <v>1200</v>
      </c>
      <c r="H1209" s="370" t="s">
        <v>19</v>
      </c>
      <c r="I1209" s="370">
        <v>350</v>
      </c>
      <c r="J1209" s="370" t="s">
        <v>45</v>
      </c>
      <c r="K1209" s="370">
        <v>100</v>
      </c>
      <c r="L1209" s="367">
        <v>-51.5</v>
      </c>
      <c r="M1209" s="358" t="s">
        <v>14</v>
      </c>
      <c r="N1209" s="399" t="s">
        <v>304</v>
      </c>
      <c r="O1209" s="367" t="s">
        <v>27</v>
      </c>
      <c r="P1209" s="261"/>
      <c r="Q1209" s="367" t="s">
        <v>243</v>
      </c>
    </row>
    <row r="1210" spans="1:20" ht="15" customHeight="1" x14ac:dyDescent="0.3">
      <c r="A1210" s="371"/>
      <c r="B1210" s="371"/>
      <c r="C1210" s="37">
        <v>-12920</v>
      </c>
      <c r="D1210" s="371"/>
      <c r="E1210" s="371"/>
      <c r="F1210" s="368"/>
      <c r="G1210" s="368"/>
      <c r="H1210" s="371"/>
      <c r="I1210" s="371"/>
      <c r="J1210" s="371"/>
      <c r="K1210" s="371"/>
      <c r="L1210" s="368"/>
      <c r="M1210" s="359"/>
      <c r="N1210" s="400"/>
      <c r="O1210" s="368"/>
      <c r="P1210" s="226">
        <v>44090</v>
      </c>
      <c r="Q1210" s="368"/>
      <c r="R1210" s="186">
        <v>44073</v>
      </c>
      <c r="T1210" s="200">
        <v>1</v>
      </c>
    </row>
    <row r="1211" spans="1:20" ht="15" customHeight="1" thickBot="1" x14ac:dyDescent="0.35">
      <c r="A1211" s="372"/>
      <c r="B1211" s="372"/>
      <c r="C1211" s="39">
        <v>7527</v>
      </c>
      <c r="D1211" s="372"/>
      <c r="E1211" s="372"/>
      <c r="F1211" s="369"/>
      <c r="G1211" s="369"/>
      <c r="H1211" s="372"/>
      <c r="I1211" s="372"/>
      <c r="J1211" s="372"/>
      <c r="K1211" s="372"/>
      <c r="L1211" s="369"/>
      <c r="M1211" s="360"/>
      <c r="N1211" s="401"/>
      <c r="O1211" s="369"/>
      <c r="P1211" s="262"/>
      <c r="Q1211" s="369"/>
    </row>
    <row r="1212" spans="1:20" ht="15" hidden="1" customHeight="1" x14ac:dyDescent="0.3">
      <c r="A1212" s="367">
        <v>265</v>
      </c>
      <c r="B1212" s="367" t="s">
        <v>174</v>
      </c>
      <c r="C1212" s="40">
        <v>-13680</v>
      </c>
      <c r="D1212" s="370">
        <v>0</v>
      </c>
      <c r="E1212" s="367" t="s">
        <v>13</v>
      </c>
      <c r="F1212" s="367">
        <v>1450</v>
      </c>
      <c r="G1212" s="367">
        <v>1200</v>
      </c>
      <c r="H1212" s="367" t="s">
        <v>25</v>
      </c>
      <c r="I1212" s="367" t="s">
        <v>13</v>
      </c>
      <c r="J1212" s="367" t="s">
        <v>13</v>
      </c>
      <c r="K1212" s="367" t="s">
        <v>13</v>
      </c>
      <c r="L1212" s="367" t="s">
        <v>13</v>
      </c>
      <c r="M1212" s="358" t="s">
        <v>14</v>
      </c>
      <c r="N1212" s="396" t="s">
        <v>304</v>
      </c>
      <c r="O1212" s="367" t="s">
        <v>27</v>
      </c>
      <c r="P1212" s="65"/>
      <c r="Q1212" s="367" t="s">
        <v>176</v>
      </c>
    </row>
    <row r="1213" spans="1:20" ht="15" customHeight="1" x14ac:dyDescent="0.3">
      <c r="A1213" s="368"/>
      <c r="B1213" s="368"/>
      <c r="C1213" s="41">
        <v>-12085</v>
      </c>
      <c r="D1213" s="371"/>
      <c r="E1213" s="368"/>
      <c r="F1213" s="368"/>
      <c r="G1213" s="368"/>
      <c r="H1213" s="368"/>
      <c r="I1213" s="368"/>
      <c r="J1213" s="368"/>
      <c r="K1213" s="368"/>
      <c r="L1213" s="368"/>
      <c r="M1213" s="359"/>
      <c r="N1213" s="397"/>
      <c r="O1213" s="368"/>
      <c r="P1213" s="226">
        <v>44066</v>
      </c>
      <c r="Q1213" s="368"/>
      <c r="T1213" s="200">
        <v>1</v>
      </c>
    </row>
    <row r="1214" spans="1:20" ht="15" customHeight="1" thickBot="1" x14ac:dyDescent="0.35">
      <c r="A1214" s="369"/>
      <c r="B1214" s="369"/>
      <c r="C1214" s="42">
        <v>7527</v>
      </c>
      <c r="D1214" s="372"/>
      <c r="E1214" s="369"/>
      <c r="F1214" s="369"/>
      <c r="G1214" s="369"/>
      <c r="H1214" s="369"/>
      <c r="I1214" s="369"/>
      <c r="J1214" s="369"/>
      <c r="K1214" s="369"/>
      <c r="L1214" s="369"/>
      <c r="M1214" s="360"/>
      <c r="N1214" s="398"/>
      <c r="O1214" s="369"/>
      <c r="P1214" s="67"/>
      <c r="Q1214" s="369"/>
    </row>
    <row r="1215" spans="1:20" ht="15" hidden="1" customHeight="1" x14ac:dyDescent="0.3">
      <c r="A1215" s="367">
        <v>266</v>
      </c>
      <c r="B1215" s="367" t="s">
        <v>174</v>
      </c>
      <c r="C1215" s="40">
        <v>-13350</v>
      </c>
      <c r="D1215" s="370">
        <v>0</v>
      </c>
      <c r="E1215" s="367" t="s">
        <v>13</v>
      </c>
      <c r="F1215" s="367">
        <v>1450</v>
      </c>
      <c r="G1215" s="367">
        <v>1200</v>
      </c>
      <c r="H1215" s="367" t="s">
        <v>50</v>
      </c>
      <c r="I1215" s="367" t="s">
        <v>13</v>
      </c>
      <c r="J1215" s="367" t="s">
        <v>13</v>
      </c>
      <c r="K1215" s="367" t="s">
        <v>13</v>
      </c>
      <c r="L1215" s="367" t="s">
        <v>13</v>
      </c>
      <c r="M1215" s="358" t="s">
        <v>14</v>
      </c>
      <c r="N1215" s="396" t="s">
        <v>304</v>
      </c>
      <c r="O1215" s="367" t="s">
        <v>27</v>
      </c>
      <c r="P1215" s="65"/>
      <c r="Q1215" s="367" t="s">
        <v>176</v>
      </c>
      <c r="T1215" s="200">
        <v>1</v>
      </c>
    </row>
    <row r="1216" spans="1:20" ht="15" customHeight="1" x14ac:dyDescent="0.3">
      <c r="A1216" s="368"/>
      <c r="B1216" s="368"/>
      <c r="C1216" s="41">
        <v>-10810</v>
      </c>
      <c r="D1216" s="371"/>
      <c r="E1216" s="368"/>
      <c r="F1216" s="368"/>
      <c r="G1216" s="368"/>
      <c r="H1216" s="368"/>
      <c r="I1216" s="368"/>
      <c r="J1216" s="368"/>
      <c r="K1216" s="368"/>
      <c r="L1216" s="368"/>
      <c r="M1216" s="359"/>
      <c r="N1216" s="397"/>
      <c r="O1216" s="368"/>
      <c r="P1216" s="226">
        <v>44066</v>
      </c>
      <c r="Q1216" s="368"/>
    </row>
    <row r="1217" spans="1:20" ht="15" customHeight="1" thickBot="1" x14ac:dyDescent="0.35">
      <c r="A1217" s="369"/>
      <c r="B1217" s="369"/>
      <c r="C1217" s="42">
        <v>7527</v>
      </c>
      <c r="D1217" s="372"/>
      <c r="E1217" s="369"/>
      <c r="F1217" s="369"/>
      <c r="G1217" s="369"/>
      <c r="H1217" s="369"/>
      <c r="I1217" s="369"/>
      <c r="J1217" s="369"/>
      <c r="K1217" s="369"/>
      <c r="L1217" s="369"/>
      <c r="M1217" s="360"/>
      <c r="N1217" s="398"/>
      <c r="O1217" s="369"/>
      <c r="P1217" s="67"/>
      <c r="Q1217" s="369"/>
    </row>
    <row r="1218" spans="1:20" ht="15" hidden="1" customHeight="1" x14ac:dyDescent="0.3">
      <c r="A1218" s="367">
        <v>267</v>
      </c>
      <c r="B1218" s="367" t="s">
        <v>174</v>
      </c>
      <c r="C1218" s="40">
        <v>-13030</v>
      </c>
      <c r="D1218" s="370">
        <v>0</v>
      </c>
      <c r="E1218" s="367" t="s">
        <v>13</v>
      </c>
      <c r="F1218" s="367">
        <v>1450</v>
      </c>
      <c r="G1218" s="367">
        <v>1200</v>
      </c>
      <c r="H1218" s="367" t="s">
        <v>50</v>
      </c>
      <c r="I1218" s="367" t="s">
        <v>13</v>
      </c>
      <c r="J1218" s="367" t="s">
        <v>13</v>
      </c>
      <c r="K1218" s="367" t="s">
        <v>13</v>
      </c>
      <c r="L1218" s="367" t="s">
        <v>13</v>
      </c>
      <c r="M1218" s="358" t="s">
        <v>14</v>
      </c>
      <c r="N1218" s="396" t="s">
        <v>304</v>
      </c>
      <c r="O1218" s="367" t="s">
        <v>27</v>
      </c>
      <c r="P1218" s="65"/>
      <c r="Q1218" s="367" t="s">
        <v>176</v>
      </c>
    </row>
    <row r="1219" spans="1:20" ht="15" customHeight="1" x14ac:dyDescent="0.3">
      <c r="A1219" s="368"/>
      <c r="B1219" s="368"/>
      <c r="C1219" s="41">
        <v>-10590</v>
      </c>
      <c r="D1219" s="371"/>
      <c r="E1219" s="368"/>
      <c r="F1219" s="368"/>
      <c r="G1219" s="368"/>
      <c r="H1219" s="368"/>
      <c r="I1219" s="368"/>
      <c r="J1219" s="368"/>
      <c r="K1219" s="368"/>
      <c r="L1219" s="368"/>
      <c r="M1219" s="359"/>
      <c r="N1219" s="397"/>
      <c r="O1219" s="368"/>
      <c r="P1219" s="66"/>
      <c r="Q1219" s="368"/>
    </row>
    <row r="1220" spans="1:20" ht="15" customHeight="1" thickBot="1" x14ac:dyDescent="0.35">
      <c r="A1220" s="369"/>
      <c r="B1220" s="369"/>
      <c r="C1220" s="42">
        <v>7527</v>
      </c>
      <c r="D1220" s="372"/>
      <c r="E1220" s="369"/>
      <c r="F1220" s="369"/>
      <c r="G1220" s="369"/>
      <c r="H1220" s="369"/>
      <c r="I1220" s="369"/>
      <c r="J1220" s="369"/>
      <c r="K1220" s="369"/>
      <c r="L1220" s="369"/>
      <c r="M1220" s="360"/>
      <c r="N1220" s="398"/>
      <c r="O1220" s="369"/>
      <c r="P1220" s="67"/>
      <c r="Q1220" s="369"/>
      <c r="T1220" s="200">
        <v>1</v>
      </c>
    </row>
    <row r="1221" spans="1:20" ht="15" hidden="1" customHeight="1" x14ac:dyDescent="0.3">
      <c r="A1221" s="367">
        <v>268</v>
      </c>
      <c r="B1221" s="367" t="s">
        <v>233</v>
      </c>
      <c r="C1221" s="40">
        <v>-11845</v>
      </c>
      <c r="D1221" s="367">
        <v>1</v>
      </c>
      <c r="E1221" s="367" t="s">
        <v>248</v>
      </c>
      <c r="F1221" s="367">
        <v>1450</v>
      </c>
      <c r="G1221" s="367">
        <v>1200</v>
      </c>
      <c r="H1221" s="367" t="s">
        <v>44</v>
      </c>
      <c r="I1221" s="367">
        <v>350</v>
      </c>
      <c r="J1221" s="370" t="s">
        <v>45</v>
      </c>
      <c r="K1221" s="367">
        <v>100</v>
      </c>
      <c r="L1221" s="367">
        <v>-25</v>
      </c>
      <c r="M1221" s="358" t="s">
        <v>14</v>
      </c>
      <c r="N1221" s="396" t="s">
        <v>304</v>
      </c>
      <c r="O1221" s="367" t="s">
        <v>27</v>
      </c>
      <c r="P1221" s="261"/>
      <c r="Q1221" s="367" t="s">
        <v>243</v>
      </c>
    </row>
    <row r="1222" spans="1:20" ht="15" customHeight="1" x14ac:dyDescent="0.3">
      <c r="A1222" s="368"/>
      <c r="B1222" s="368"/>
      <c r="C1222" s="41">
        <v>-10540</v>
      </c>
      <c r="D1222" s="368"/>
      <c r="E1222" s="368"/>
      <c r="F1222" s="368"/>
      <c r="G1222" s="368"/>
      <c r="H1222" s="368"/>
      <c r="I1222" s="368"/>
      <c r="J1222" s="371"/>
      <c r="K1222" s="368"/>
      <c r="L1222" s="368"/>
      <c r="M1222" s="359"/>
      <c r="N1222" s="397"/>
      <c r="O1222" s="368"/>
      <c r="P1222" s="226">
        <v>44090</v>
      </c>
      <c r="Q1222" s="368"/>
      <c r="T1222" s="200">
        <v>1</v>
      </c>
    </row>
    <row r="1223" spans="1:20" ht="15" customHeight="1" thickBot="1" x14ac:dyDescent="0.35">
      <c r="A1223" s="369"/>
      <c r="B1223" s="369"/>
      <c r="C1223" s="42">
        <v>7527</v>
      </c>
      <c r="D1223" s="369"/>
      <c r="E1223" s="369"/>
      <c r="F1223" s="369"/>
      <c r="G1223" s="369"/>
      <c r="H1223" s="369"/>
      <c r="I1223" s="369"/>
      <c r="J1223" s="372"/>
      <c r="K1223" s="369"/>
      <c r="L1223" s="369"/>
      <c r="M1223" s="360"/>
      <c r="N1223" s="398"/>
      <c r="O1223" s="369"/>
      <c r="P1223" s="262"/>
      <c r="Q1223" s="369"/>
    </row>
    <row r="1224" spans="1:20" ht="15" hidden="1" customHeight="1" x14ac:dyDescent="0.3">
      <c r="A1224" s="370">
        <v>269</v>
      </c>
      <c r="B1224" s="370" t="s">
        <v>233</v>
      </c>
      <c r="C1224" s="37">
        <v>-12020</v>
      </c>
      <c r="D1224" s="370">
        <v>1</v>
      </c>
      <c r="E1224" s="370" t="s">
        <v>248</v>
      </c>
      <c r="F1224" s="367">
        <v>1450</v>
      </c>
      <c r="G1224" s="367">
        <v>1200</v>
      </c>
      <c r="H1224" s="370" t="s">
        <v>44</v>
      </c>
      <c r="I1224" s="370">
        <v>350</v>
      </c>
      <c r="J1224" s="370" t="s">
        <v>45</v>
      </c>
      <c r="K1224" s="370">
        <v>100</v>
      </c>
      <c r="L1224" s="367">
        <v>-25</v>
      </c>
      <c r="M1224" s="358" t="s">
        <v>14</v>
      </c>
      <c r="N1224" s="399" t="s">
        <v>304</v>
      </c>
      <c r="O1224" s="367" t="s">
        <v>27</v>
      </c>
      <c r="P1224" s="261"/>
      <c r="Q1224" s="367" t="s">
        <v>243</v>
      </c>
    </row>
    <row r="1225" spans="1:20" ht="15" customHeight="1" x14ac:dyDescent="0.3">
      <c r="A1225" s="371"/>
      <c r="B1225" s="371"/>
      <c r="C1225" s="38">
        <v>-10115</v>
      </c>
      <c r="D1225" s="371"/>
      <c r="E1225" s="371"/>
      <c r="F1225" s="368"/>
      <c r="G1225" s="368"/>
      <c r="H1225" s="371"/>
      <c r="I1225" s="371"/>
      <c r="J1225" s="371"/>
      <c r="K1225" s="371"/>
      <c r="L1225" s="368"/>
      <c r="M1225" s="359"/>
      <c r="N1225" s="400"/>
      <c r="O1225" s="368"/>
      <c r="P1225" s="226">
        <v>44090</v>
      </c>
      <c r="Q1225" s="368"/>
      <c r="T1225" s="200">
        <v>1</v>
      </c>
    </row>
    <row r="1226" spans="1:20" ht="15" customHeight="1" thickBot="1" x14ac:dyDescent="0.35">
      <c r="A1226" s="372"/>
      <c r="B1226" s="372"/>
      <c r="C1226" s="39">
        <v>7527</v>
      </c>
      <c r="D1226" s="372"/>
      <c r="E1226" s="372"/>
      <c r="F1226" s="369"/>
      <c r="G1226" s="369"/>
      <c r="H1226" s="372"/>
      <c r="I1226" s="372"/>
      <c r="J1226" s="372"/>
      <c r="K1226" s="372"/>
      <c r="L1226" s="369"/>
      <c r="M1226" s="360"/>
      <c r="N1226" s="401"/>
      <c r="O1226" s="369"/>
      <c r="P1226" s="262"/>
      <c r="Q1226" s="369"/>
    </row>
    <row r="1227" spans="1:20" ht="15" hidden="1" customHeight="1" x14ac:dyDescent="0.3">
      <c r="A1227" s="367">
        <v>270</v>
      </c>
      <c r="B1227" s="367" t="s">
        <v>174</v>
      </c>
      <c r="C1227" s="40">
        <v>-11255</v>
      </c>
      <c r="D1227" s="370">
        <v>0</v>
      </c>
      <c r="E1227" s="367" t="s">
        <v>13</v>
      </c>
      <c r="F1227" s="367">
        <v>1450</v>
      </c>
      <c r="G1227" s="367">
        <v>1200</v>
      </c>
      <c r="H1227" s="370" t="s">
        <v>187</v>
      </c>
      <c r="I1227" s="367" t="s">
        <v>13</v>
      </c>
      <c r="J1227" s="367" t="s">
        <v>13</v>
      </c>
      <c r="K1227" s="367" t="s">
        <v>13</v>
      </c>
      <c r="L1227" s="367" t="s">
        <v>13</v>
      </c>
      <c r="M1227" s="358" t="s">
        <v>14</v>
      </c>
      <c r="N1227" s="396" t="s">
        <v>304</v>
      </c>
      <c r="O1227" s="367" t="s">
        <v>27</v>
      </c>
      <c r="P1227" s="65"/>
      <c r="Q1227" s="367" t="s">
        <v>244</v>
      </c>
      <c r="T1227" s="200">
        <v>1</v>
      </c>
    </row>
    <row r="1228" spans="1:20" ht="15" customHeight="1" x14ac:dyDescent="0.3">
      <c r="A1228" s="368"/>
      <c r="B1228" s="368"/>
      <c r="C1228" s="41">
        <v>-9505</v>
      </c>
      <c r="D1228" s="371"/>
      <c r="E1228" s="368"/>
      <c r="F1228" s="368"/>
      <c r="G1228" s="368"/>
      <c r="H1228" s="371"/>
      <c r="I1228" s="368"/>
      <c r="J1228" s="368"/>
      <c r="K1228" s="368"/>
      <c r="L1228" s="368"/>
      <c r="M1228" s="359"/>
      <c r="N1228" s="397"/>
      <c r="O1228" s="368"/>
      <c r="P1228" s="226">
        <v>44066</v>
      </c>
      <c r="Q1228" s="368"/>
    </row>
    <row r="1229" spans="1:20" ht="15" customHeight="1" thickBot="1" x14ac:dyDescent="0.35">
      <c r="A1229" s="369"/>
      <c r="B1229" s="369"/>
      <c r="C1229" s="42">
        <v>7527</v>
      </c>
      <c r="D1229" s="372"/>
      <c r="E1229" s="369"/>
      <c r="F1229" s="369"/>
      <c r="G1229" s="369"/>
      <c r="H1229" s="372"/>
      <c r="I1229" s="369"/>
      <c r="J1229" s="369"/>
      <c r="K1229" s="369"/>
      <c r="L1229" s="369"/>
      <c r="M1229" s="360"/>
      <c r="N1229" s="398"/>
      <c r="O1229" s="369"/>
      <c r="P1229" s="67"/>
      <c r="Q1229" s="369"/>
    </row>
    <row r="1230" spans="1:20" ht="15" hidden="1" customHeight="1" x14ac:dyDescent="0.3">
      <c r="A1230" s="367">
        <v>271</v>
      </c>
      <c r="B1230" s="367" t="s">
        <v>174</v>
      </c>
      <c r="C1230" s="40">
        <v>-13050</v>
      </c>
      <c r="D1230" s="370">
        <v>0</v>
      </c>
      <c r="E1230" s="367" t="s">
        <v>13</v>
      </c>
      <c r="F1230" s="367">
        <v>1450</v>
      </c>
      <c r="G1230" s="367">
        <v>1200</v>
      </c>
      <c r="H1230" s="367" t="s">
        <v>25</v>
      </c>
      <c r="I1230" s="367" t="s">
        <v>13</v>
      </c>
      <c r="J1230" s="367" t="s">
        <v>13</v>
      </c>
      <c r="K1230" s="367" t="s">
        <v>13</v>
      </c>
      <c r="L1230" s="367" t="s">
        <v>13</v>
      </c>
      <c r="M1230" s="358" t="s">
        <v>14</v>
      </c>
      <c r="N1230" s="396" t="s">
        <v>306</v>
      </c>
      <c r="O1230" s="367" t="s">
        <v>27</v>
      </c>
      <c r="P1230" s="65"/>
      <c r="Q1230" s="367" t="s">
        <v>176</v>
      </c>
      <c r="T1230" s="200">
        <v>1</v>
      </c>
    </row>
    <row r="1231" spans="1:20" ht="15" customHeight="1" x14ac:dyDescent="0.3">
      <c r="A1231" s="368"/>
      <c r="B1231" s="368"/>
      <c r="C1231" s="41">
        <v>-9320</v>
      </c>
      <c r="D1231" s="371"/>
      <c r="E1231" s="368"/>
      <c r="F1231" s="368"/>
      <c r="G1231" s="368"/>
      <c r="H1231" s="368"/>
      <c r="I1231" s="368"/>
      <c r="J1231" s="368"/>
      <c r="K1231" s="368"/>
      <c r="L1231" s="368"/>
      <c r="M1231" s="359"/>
      <c r="N1231" s="397"/>
      <c r="O1231" s="368"/>
      <c r="P1231" s="226">
        <v>44066</v>
      </c>
      <c r="Q1231" s="368"/>
    </row>
    <row r="1232" spans="1:20" ht="15" customHeight="1" thickBot="1" x14ac:dyDescent="0.35">
      <c r="A1232" s="369"/>
      <c r="B1232" s="369"/>
      <c r="C1232" s="42">
        <v>7527</v>
      </c>
      <c r="D1232" s="372"/>
      <c r="E1232" s="369"/>
      <c r="F1232" s="369"/>
      <c r="G1232" s="369"/>
      <c r="H1232" s="369"/>
      <c r="I1232" s="369"/>
      <c r="J1232" s="369"/>
      <c r="K1232" s="369"/>
      <c r="L1232" s="369"/>
      <c r="M1232" s="360"/>
      <c r="N1232" s="398"/>
      <c r="O1232" s="369"/>
      <c r="P1232" s="67"/>
      <c r="Q1232" s="369"/>
    </row>
    <row r="1233" spans="1:20" ht="15" hidden="1" customHeight="1" x14ac:dyDescent="0.3">
      <c r="A1233" s="367">
        <v>272</v>
      </c>
      <c r="B1233" s="367" t="s">
        <v>174</v>
      </c>
      <c r="C1233" s="40">
        <v>-12723</v>
      </c>
      <c r="D1233" s="370">
        <v>0</v>
      </c>
      <c r="E1233" s="367" t="s">
        <v>13</v>
      </c>
      <c r="F1233" s="367">
        <v>1450</v>
      </c>
      <c r="G1233" s="367">
        <v>1200</v>
      </c>
      <c r="H1233" s="367" t="s">
        <v>25</v>
      </c>
      <c r="I1233" s="367" t="s">
        <v>13</v>
      </c>
      <c r="J1233" s="367" t="s">
        <v>13</v>
      </c>
      <c r="K1233" s="367" t="s">
        <v>13</v>
      </c>
      <c r="L1233" s="367" t="s">
        <v>13</v>
      </c>
      <c r="M1233" s="358" t="s">
        <v>14</v>
      </c>
      <c r="N1233" s="396" t="s">
        <v>306</v>
      </c>
      <c r="O1233" s="367" t="s">
        <v>27</v>
      </c>
      <c r="P1233" s="65"/>
      <c r="Q1233" s="367" t="s">
        <v>176</v>
      </c>
      <c r="T1233" s="200">
        <v>1</v>
      </c>
    </row>
    <row r="1234" spans="1:20" ht="15" customHeight="1" x14ac:dyDescent="0.3">
      <c r="A1234" s="368"/>
      <c r="B1234" s="368"/>
      <c r="C1234" s="41">
        <v>-9093</v>
      </c>
      <c r="D1234" s="371"/>
      <c r="E1234" s="368"/>
      <c r="F1234" s="368"/>
      <c r="G1234" s="368"/>
      <c r="H1234" s="368"/>
      <c r="I1234" s="368"/>
      <c r="J1234" s="368"/>
      <c r="K1234" s="368"/>
      <c r="L1234" s="368"/>
      <c r="M1234" s="359"/>
      <c r="N1234" s="397"/>
      <c r="O1234" s="368"/>
      <c r="P1234" s="66"/>
      <c r="Q1234" s="368"/>
    </row>
    <row r="1235" spans="1:20" ht="15" customHeight="1" thickBot="1" x14ac:dyDescent="0.35">
      <c r="A1235" s="369"/>
      <c r="B1235" s="369"/>
      <c r="C1235" s="42">
        <v>7527</v>
      </c>
      <c r="D1235" s="372"/>
      <c r="E1235" s="369"/>
      <c r="F1235" s="369"/>
      <c r="G1235" s="369"/>
      <c r="H1235" s="369"/>
      <c r="I1235" s="369"/>
      <c r="J1235" s="369"/>
      <c r="K1235" s="369"/>
      <c r="L1235" s="369"/>
      <c r="M1235" s="360"/>
      <c r="N1235" s="398"/>
      <c r="O1235" s="369"/>
      <c r="P1235" s="227">
        <v>44066</v>
      </c>
      <c r="Q1235" s="369"/>
    </row>
    <row r="1236" spans="1:20" ht="15" hidden="1" customHeight="1" x14ac:dyDescent="0.3">
      <c r="A1236" s="367">
        <v>273</v>
      </c>
      <c r="B1236" s="367" t="s">
        <v>174</v>
      </c>
      <c r="C1236" s="40">
        <v>-16225</v>
      </c>
      <c r="D1236" s="370">
        <v>0</v>
      </c>
      <c r="E1236" s="367" t="s">
        <v>13</v>
      </c>
      <c r="F1236" s="367">
        <v>1450</v>
      </c>
      <c r="G1236" s="367">
        <v>1200</v>
      </c>
      <c r="H1236" s="367" t="s">
        <v>19</v>
      </c>
      <c r="I1236" s="367" t="s">
        <v>13</v>
      </c>
      <c r="J1236" s="367" t="s">
        <v>13</v>
      </c>
      <c r="K1236" s="367" t="s">
        <v>13</v>
      </c>
      <c r="L1236" s="367" t="s">
        <v>13</v>
      </c>
      <c r="M1236" s="358" t="s">
        <v>14</v>
      </c>
      <c r="N1236" s="396" t="s">
        <v>307</v>
      </c>
      <c r="O1236" s="367" t="s">
        <v>27</v>
      </c>
      <c r="P1236" s="65"/>
      <c r="Q1236" s="367" t="s">
        <v>176</v>
      </c>
      <c r="T1236" s="200">
        <v>1</v>
      </c>
    </row>
    <row r="1237" spans="1:20" ht="15" customHeight="1" x14ac:dyDescent="0.3">
      <c r="A1237" s="368"/>
      <c r="B1237" s="368"/>
      <c r="C1237" s="41">
        <v>-11640</v>
      </c>
      <c r="D1237" s="371"/>
      <c r="E1237" s="368"/>
      <c r="F1237" s="368"/>
      <c r="G1237" s="368"/>
      <c r="H1237" s="368"/>
      <c r="I1237" s="368"/>
      <c r="J1237" s="368"/>
      <c r="K1237" s="368"/>
      <c r="L1237" s="368"/>
      <c r="M1237" s="359"/>
      <c r="N1237" s="397"/>
      <c r="O1237" s="368"/>
      <c r="P1237" s="66"/>
      <c r="Q1237" s="368"/>
    </row>
    <row r="1238" spans="1:20" ht="15" customHeight="1" thickBot="1" x14ac:dyDescent="0.35">
      <c r="A1238" s="369"/>
      <c r="B1238" s="369"/>
      <c r="C1238" s="42">
        <v>7527</v>
      </c>
      <c r="D1238" s="372"/>
      <c r="E1238" s="369"/>
      <c r="F1238" s="369"/>
      <c r="G1238" s="369"/>
      <c r="H1238" s="369"/>
      <c r="I1238" s="369"/>
      <c r="J1238" s="369"/>
      <c r="K1238" s="369"/>
      <c r="L1238" s="369"/>
      <c r="M1238" s="360"/>
      <c r="N1238" s="398"/>
      <c r="O1238" s="369"/>
      <c r="P1238" s="227">
        <v>44066</v>
      </c>
      <c r="Q1238" s="369"/>
    </row>
    <row r="1239" spans="1:20" ht="15" hidden="1" customHeight="1" x14ac:dyDescent="0.3">
      <c r="A1239" s="367">
        <v>274</v>
      </c>
      <c r="B1239" s="367" t="s">
        <v>174</v>
      </c>
      <c r="C1239" s="40">
        <v>-17005</v>
      </c>
      <c r="D1239" s="370">
        <v>0</v>
      </c>
      <c r="E1239" s="367" t="s">
        <v>13</v>
      </c>
      <c r="F1239" s="367">
        <v>1450</v>
      </c>
      <c r="G1239" s="367">
        <v>1200</v>
      </c>
      <c r="H1239" s="370" t="s">
        <v>187</v>
      </c>
      <c r="I1239" s="367" t="s">
        <v>13</v>
      </c>
      <c r="J1239" s="367" t="s">
        <v>13</v>
      </c>
      <c r="K1239" s="367" t="s">
        <v>13</v>
      </c>
      <c r="L1239" s="367" t="s">
        <v>13</v>
      </c>
      <c r="M1239" s="358" t="s">
        <v>14</v>
      </c>
      <c r="N1239" s="396" t="s">
        <v>307</v>
      </c>
      <c r="O1239" s="367" t="s">
        <v>27</v>
      </c>
      <c r="P1239" s="65"/>
      <c r="Q1239" s="367" t="s">
        <v>244</v>
      </c>
    </row>
    <row r="1240" spans="1:20" ht="15" customHeight="1" x14ac:dyDescent="0.3">
      <c r="A1240" s="368"/>
      <c r="B1240" s="368"/>
      <c r="C1240" s="41">
        <v>-10520</v>
      </c>
      <c r="D1240" s="371"/>
      <c r="E1240" s="368"/>
      <c r="F1240" s="368"/>
      <c r="G1240" s="368"/>
      <c r="H1240" s="371"/>
      <c r="I1240" s="368"/>
      <c r="J1240" s="368"/>
      <c r="K1240" s="368"/>
      <c r="L1240" s="368"/>
      <c r="M1240" s="359"/>
      <c r="N1240" s="397"/>
      <c r="O1240" s="368"/>
      <c r="P1240" s="226">
        <v>44066</v>
      </c>
      <c r="Q1240" s="368"/>
      <c r="T1240" s="200">
        <v>1</v>
      </c>
    </row>
    <row r="1241" spans="1:20" ht="15" customHeight="1" thickBot="1" x14ac:dyDescent="0.35">
      <c r="A1241" s="369"/>
      <c r="B1241" s="369"/>
      <c r="C1241" s="42">
        <v>7527</v>
      </c>
      <c r="D1241" s="372"/>
      <c r="E1241" s="369"/>
      <c r="F1241" s="369"/>
      <c r="G1241" s="369"/>
      <c r="H1241" s="372"/>
      <c r="I1241" s="369"/>
      <c r="J1241" s="369"/>
      <c r="K1241" s="369"/>
      <c r="L1241" s="369"/>
      <c r="M1241" s="360"/>
      <c r="N1241" s="398"/>
      <c r="O1241" s="369"/>
      <c r="P1241" s="67"/>
      <c r="Q1241" s="369"/>
    </row>
    <row r="1242" spans="1:20" ht="15" hidden="1" customHeight="1" x14ac:dyDescent="0.3">
      <c r="A1242" s="367">
        <v>275</v>
      </c>
      <c r="B1242" s="367" t="s">
        <v>64</v>
      </c>
      <c r="C1242" s="40">
        <v>-15000</v>
      </c>
      <c r="D1242" s="367">
        <v>1</v>
      </c>
      <c r="E1242" s="367" t="s">
        <v>248</v>
      </c>
      <c r="F1242" s="367">
        <v>1450</v>
      </c>
      <c r="G1242" s="367">
        <v>1200</v>
      </c>
      <c r="H1242" s="367" t="s">
        <v>12</v>
      </c>
      <c r="I1242" s="367">
        <v>350</v>
      </c>
      <c r="J1242" s="370" t="s">
        <v>45</v>
      </c>
      <c r="K1242" s="367">
        <v>100</v>
      </c>
      <c r="L1242" s="367">
        <v>1</v>
      </c>
      <c r="M1242" s="358" t="s">
        <v>14</v>
      </c>
      <c r="N1242" s="396" t="s">
        <v>306</v>
      </c>
      <c r="O1242" s="367" t="s">
        <v>27</v>
      </c>
      <c r="P1242" s="261"/>
      <c r="Q1242" s="367" t="s">
        <v>308</v>
      </c>
    </row>
    <row r="1243" spans="1:20" ht="15" customHeight="1" x14ac:dyDescent="0.3">
      <c r="A1243" s="368"/>
      <c r="B1243" s="368"/>
      <c r="C1243" s="41">
        <v>-3800</v>
      </c>
      <c r="D1243" s="368"/>
      <c r="E1243" s="368"/>
      <c r="F1243" s="368"/>
      <c r="G1243" s="368"/>
      <c r="H1243" s="368"/>
      <c r="I1243" s="368"/>
      <c r="J1243" s="371"/>
      <c r="K1243" s="368"/>
      <c r="L1243" s="368"/>
      <c r="M1243" s="359"/>
      <c r="N1243" s="397"/>
      <c r="O1243" s="368"/>
      <c r="P1243" s="226">
        <v>44090</v>
      </c>
      <c r="Q1243" s="368"/>
      <c r="T1243" s="200">
        <v>1</v>
      </c>
    </row>
    <row r="1244" spans="1:20" ht="15" customHeight="1" thickBot="1" x14ac:dyDescent="0.35">
      <c r="A1244" s="369"/>
      <c r="B1244" s="369"/>
      <c r="C1244" s="42">
        <v>7527</v>
      </c>
      <c r="D1244" s="369"/>
      <c r="E1244" s="369"/>
      <c r="F1244" s="369"/>
      <c r="G1244" s="369"/>
      <c r="H1244" s="369"/>
      <c r="I1244" s="369"/>
      <c r="J1244" s="372"/>
      <c r="K1244" s="369"/>
      <c r="L1244" s="369"/>
      <c r="M1244" s="360"/>
      <c r="N1244" s="398"/>
      <c r="O1244" s="369"/>
      <c r="P1244" s="262"/>
      <c r="Q1244" s="369"/>
    </row>
    <row r="1245" spans="1:20" ht="15" hidden="1" customHeight="1" x14ac:dyDescent="0.3">
      <c r="A1245" s="367">
        <v>276</v>
      </c>
      <c r="B1245" s="367" t="s">
        <v>174</v>
      </c>
      <c r="C1245" s="40">
        <v>-16365</v>
      </c>
      <c r="D1245" s="370">
        <v>0</v>
      </c>
      <c r="E1245" s="367" t="s">
        <v>13</v>
      </c>
      <c r="F1245" s="367">
        <v>1450</v>
      </c>
      <c r="G1245" s="367">
        <v>1200</v>
      </c>
      <c r="H1245" s="367" t="s">
        <v>25</v>
      </c>
      <c r="I1245" s="367" t="s">
        <v>13</v>
      </c>
      <c r="J1245" s="367" t="s">
        <v>13</v>
      </c>
      <c r="K1245" s="367" t="s">
        <v>13</v>
      </c>
      <c r="L1245" s="367" t="s">
        <v>13</v>
      </c>
      <c r="M1245" s="358" t="s">
        <v>14</v>
      </c>
      <c r="N1245" s="396" t="s">
        <v>309</v>
      </c>
      <c r="O1245" s="367" t="s">
        <v>27</v>
      </c>
      <c r="P1245" s="65"/>
      <c r="Q1245" s="367" t="s">
        <v>176</v>
      </c>
      <c r="T1245" s="200">
        <v>1</v>
      </c>
    </row>
    <row r="1246" spans="1:20" ht="15" customHeight="1" x14ac:dyDescent="0.3">
      <c r="A1246" s="368"/>
      <c r="B1246" s="368"/>
      <c r="C1246" s="41">
        <v>-5665</v>
      </c>
      <c r="D1246" s="371"/>
      <c r="E1246" s="368"/>
      <c r="F1246" s="368"/>
      <c r="G1246" s="368"/>
      <c r="H1246" s="368"/>
      <c r="I1246" s="368"/>
      <c r="J1246" s="368"/>
      <c r="K1246" s="368"/>
      <c r="L1246" s="368"/>
      <c r="M1246" s="359"/>
      <c r="N1246" s="397"/>
      <c r="O1246" s="368"/>
      <c r="P1246" s="226">
        <v>44066</v>
      </c>
      <c r="Q1246" s="368"/>
    </row>
    <row r="1247" spans="1:20" ht="15" customHeight="1" thickBot="1" x14ac:dyDescent="0.35">
      <c r="A1247" s="369"/>
      <c r="B1247" s="369"/>
      <c r="C1247" s="42">
        <v>7527</v>
      </c>
      <c r="D1247" s="372"/>
      <c r="E1247" s="369"/>
      <c r="F1247" s="369"/>
      <c r="G1247" s="369"/>
      <c r="H1247" s="369"/>
      <c r="I1247" s="369"/>
      <c r="J1247" s="369"/>
      <c r="K1247" s="369"/>
      <c r="L1247" s="369"/>
      <c r="M1247" s="360"/>
      <c r="N1247" s="398"/>
      <c r="O1247" s="369"/>
      <c r="P1247" s="67"/>
      <c r="Q1247" s="369"/>
    </row>
    <row r="1248" spans="1:20" ht="15" hidden="1" customHeight="1" x14ac:dyDescent="0.3">
      <c r="A1248" s="367">
        <v>277</v>
      </c>
      <c r="B1248" s="367" t="s">
        <v>64</v>
      </c>
      <c r="C1248" s="40">
        <v>-16196</v>
      </c>
      <c r="D1248" s="367">
        <v>1</v>
      </c>
      <c r="E1248" s="367" t="s">
        <v>201</v>
      </c>
      <c r="F1248" s="367">
        <v>1450</v>
      </c>
      <c r="G1248" s="367">
        <v>1200</v>
      </c>
      <c r="H1248" s="367" t="s">
        <v>12</v>
      </c>
      <c r="I1248" s="367">
        <v>350</v>
      </c>
      <c r="J1248" s="370" t="s">
        <v>45</v>
      </c>
      <c r="K1248" s="367">
        <v>90</v>
      </c>
      <c r="L1248" s="367">
        <v>24</v>
      </c>
      <c r="M1248" s="358" t="s">
        <v>14</v>
      </c>
      <c r="N1248" s="396" t="s">
        <v>306</v>
      </c>
      <c r="O1248" s="367" t="s">
        <v>27</v>
      </c>
      <c r="P1248" s="184"/>
      <c r="Q1248" s="367" t="s">
        <v>298</v>
      </c>
      <c r="R1248" s="186">
        <v>44068</v>
      </c>
      <c r="T1248" s="200">
        <v>1</v>
      </c>
    </row>
    <row r="1249" spans="1:20" ht="15" customHeight="1" x14ac:dyDescent="0.3">
      <c r="A1249" s="368"/>
      <c r="B1249" s="368"/>
      <c r="C1249" s="41">
        <v>-7812</v>
      </c>
      <c r="D1249" s="368"/>
      <c r="E1249" s="368"/>
      <c r="F1249" s="368"/>
      <c r="G1249" s="368"/>
      <c r="H1249" s="368"/>
      <c r="I1249" s="368"/>
      <c r="J1249" s="371"/>
      <c r="K1249" s="368"/>
      <c r="L1249" s="368"/>
      <c r="M1249" s="359"/>
      <c r="N1249" s="397"/>
      <c r="O1249" s="368"/>
      <c r="P1249" s="226">
        <v>44066</v>
      </c>
      <c r="Q1249" s="368"/>
    </row>
    <row r="1250" spans="1:20" ht="15" customHeight="1" thickBot="1" x14ac:dyDescent="0.35">
      <c r="A1250" s="369"/>
      <c r="B1250" s="369"/>
      <c r="C1250" s="42">
        <v>7527</v>
      </c>
      <c r="D1250" s="369"/>
      <c r="E1250" s="369"/>
      <c r="F1250" s="369"/>
      <c r="G1250" s="369"/>
      <c r="H1250" s="369"/>
      <c r="I1250" s="369"/>
      <c r="J1250" s="372"/>
      <c r="K1250" s="369"/>
      <c r="L1250" s="369"/>
      <c r="M1250" s="360"/>
      <c r="N1250" s="398"/>
      <c r="O1250" s="369"/>
      <c r="P1250" s="185"/>
      <c r="Q1250" s="369"/>
    </row>
    <row r="1251" spans="1:20" ht="15" hidden="1" customHeight="1" x14ac:dyDescent="0.3">
      <c r="A1251" s="367">
        <v>278</v>
      </c>
      <c r="B1251" s="367" t="s">
        <v>64</v>
      </c>
      <c r="C1251" s="40">
        <v>-14297</v>
      </c>
      <c r="D1251" s="367">
        <v>1</v>
      </c>
      <c r="E1251" s="367" t="s">
        <v>248</v>
      </c>
      <c r="F1251" s="367">
        <v>1450</v>
      </c>
      <c r="G1251" s="367">
        <v>1200</v>
      </c>
      <c r="H1251" s="367" t="s">
        <v>12</v>
      </c>
      <c r="I1251" s="367">
        <v>350</v>
      </c>
      <c r="J1251" s="370" t="s">
        <v>45</v>
      </c>
      <c r="K1251" s="367">
        <v>100</v>
      </c>
      <c r="L1251" s="367">
        <v>0</v>
      </c>
      <c r="M1251" s="358" t="s">
        <v>14</v>
      </c>
      <c r="N1251" s="396" t="s">
        <v>306</v>
      </c>
      <c r="O1251" s="367" t="s">
        <v>27</v>
      </c>
      <c r="P1251" s="197"/>
      <c r="Q1251" s="367" t="s">
        <v>308</v>
      </c>
      <c r="R1251" s="186">
        <v>44071</v>
      </c>
    </row>
    <row r="1252" spans="1:20" ht="15" customHeight="1" x14ac:dyDescent="0.3">
      <c r="A1252" s="368"/>
      <c r="B1252" s="368"/>
      <c r="C1252" s="41">
        <v>-7762</v>
      </c>
      <c r="D1252" s="368"/>
      <c r="E1252" s="368"/>
      <c r="F1252" s="368"/>
      <c r="G1252" s="368"/>
      <c r="H1252" s="368"/>
      <c r="I1252" s="368"/>
      <c r="J1252" s="371"/>
      <c r="K1252" s="368"/>
      <c r="L1252" s="368"/>
      <c r="M1252" s="359"/>
      <c r="N1252" s="397"/>
      <c r="O1252" s="368"/>
      <c r="P1252" s="226">
        <v>44066</v>
      </c>
      <c r="Q1252" s="368"/>
      <c r="T1252" s="200">
        <v>1</v>
      </c>
    </row>
    <row r="1253" spans="1:20" ht="15" customHeight="1" thickBot="1" x14ac:dyDescent="0.35">
      <c r="A1253" s="369"/>
      <c r="B1253" s="369"/>
      <c r="C1253" s="42">
        <v>7527</v>
      </c>
      <c r="D1253" s="369"/>
      <c r="E1253" s="369"/>
      <c r="F1253" s="369"/>
      <c r="G1253" s="369"/>
      <c r="H1253" s="369"/>
      <c r="I1253" s="369"/>
      <c r="J1253" s="372"/>
      <c r="K1253" s="369"/>
      <c r="L1253" s="369"/>
      <c r="M1253" s="360"/>
      <c r="N1253" s="398"/>
      <c r="O1253" s="369"/>
      <c r="P1253" s="199"/>
      <c r="Q1253" s="369"/>
    </row>
    <row r="1254" spans="1:20" ht="15" hidden="1" customHeight="1" x14ac:dyDescent="0.3">
      <c r="A1254" s="367">
        <v>279</v>
      </c>
      <c r="B1254" s="367" t="s">
        <v>179</v>
      </c>
      <c r="C1254" s="40">
        <v>-12965</v>
      </c>
      <c r="D1254" s="367">
        <v>1</v>
      </c>
      <c r="E1254" s="367" t="s">
        <v>255</v>
      </c>
      <c r="F1254" s="367">
        <v>1450</v>
      </c>
      <c r="G1254" s="367">
        <v>1200</v>
      </c>
      <c r="H1254" s="367" t="s">
        <v>50</v>
      </c>
      <c r="I1254" s="367">
        <v>60</v>
      </c>
      <c r="J1254" s="367" t="s">
        <v>310</v>
      </c>
      <c r="K1254" s="367">
        <v>30</v>
      </c>
      <c r="L1254" s="367">
        <v>6.5</v>
      </c>
      <c r="M1254" s="358" t="s">
        <v>14</v>
      </c>
      <c r="N1254" s="396" t="s">
        <v>306</v>
      </c>
      <c r="O1254" s="367" t="s">
        <v>27</v>
      </c>
      <c r="P1254" s="65"/>
      <c r="Q1254" s="367" t="s">
        <v>311</v>
      </c>
    </row>
    <row r="1255" spans="1:20" ht="15" customHeight="1" x14ac:dyDescent="0.3">
      <c r="A1255" s="368"/>
      <c r="B1255" s="368"/>
      <c r="C1255" s="41">
        <v>-8380</v>
      </c>
      <c r="D1255" s="368"/>
      <c r="E1255" s="368"/>
      <c r="F1255" s="368"/>
      <c r="G1255" s="368"/>
      <c r="H1255" s="368"/>
      <c r="I1255" s="368"/>
      <c r="J1255" s="368"/>
      <c r="K1255" s="368"/>
      <c r="L1255" s="368"/>
      <c r="M1255" s="359"/>
      <c r="N1255" s="397"/>
      <c r="O1255" s="368"/>
      <c r="P1255" s="226">
        <v>44066</v>
      </c>
      <c r="Q1255" s="368"/>
      <c r="T1255" s="200">
        <v>1</v>
      </c>
    </row>
    <row r="1256" spans="1:20" ht="15" customHeight="1" thickBot="1" x14ac:dyDescent="0.35">
      <c r="A1256" s="369"/>
      <c r="B1256" s="369"/>
      <c r="C1256" s="42">
        <v>7527</v>
      </c>
      <c r="D1256" s="369"/>
      <c r="E1256" s="369"/>
      <c r="F1256" s="369"/>
      <c r="G1256" s="369"/>
      <c r="H1256" s="369"/>
      <c r="I1256" s="369"/>
      <c r="J1256" s="369"/>
      <c r="K1256" s="369"/>
      <c r="L1256" s="369"/>
      <c r="M1256" s="360"/>
      <c r="N1256" s="398"/>
      <c r="O1256" s="369"/>
      <c r="P1256" s="67"/>
      <c r="Q1256" s="369"/>
    </row>
    <row r="1257" spans="1:20" ht="15" hidden="1" customHeight="1" x14ac:dyDescent="0.3">
      <c r="A1257" s="367">
        <v>280</v>
      </c>
      <c r="B1257" s="367" t="s">
        <v>179</v>
      </c>
      <c r="C1257" s="40">
        <v>-13145</v>
      </c>
      <c r="D1257" s="367">
        <v>1</v>
      </c>
      <c r="E1257" s="367" t="s">
        <v>161</v>
      </c>
      <c r="F1257" s="367">
        <v>1450</v>
      </c>
      <c r="G1257" s="367">
        <v>1200</v>
      </c>
      <c r="H1257" s="367" t="s">
        <v>50</v>
      </c>
      <c r="I1257" s="367">
        <v>60</v>
      </c>
      <c r="J1257" s="367">
        <f>-0.03/0.32</f>
        <v>-9.375E-2</v>
      </c>
      <c r="K1257" s="367">
        <v>30</v>
      </c>
      <c r="L1257" s="367">
        <v>3</v>
      </c>
      <c r="M1257" s="358" t="s">
        <v>14</v>
      </c>
      <c r="N1257" s="396" t="s">
        <v>306</v>
      </c>
      <c r="O1257" s="367" t="s">
        <v>27</v>
      </c>
      <c r="P1257" s="65"/>
      <c r="Q1257" s="367" t="s">
        <v>258</v>
      </c>
    </row>
    <row r="1258" spans="1:20" ht="15" customHeight="1" x14ac:dyDescent="0.3">
      <c r="A1258" s="368"/>
      <c r="B1258" s="368"/>
      <c r="C1258" s="41">
        <v>-8270</v>
      </c>
      <c r="D1258" s="368"/>
      <c r="E1258" s="368"/>
      <c r="F1258" s="368"/>
      <c r="G1258" s="368"/>
      <c r="H1258" s="368"/>
      <c r="I1258" s="368"/>
      <c r="J1258" s="368"/>
      <c r="K1258" s="368"/>
      <c r="L1258" s="368"/>
      <c r="M1258" s="359"/>
      <c r="N1258" s="397"/>
      <c r="O1258" s="368"/>
      <c r="P1258" s="226">
        <v>44066</v>
      </c>
      <c r="Q1258" s="368"/>
      <c r="T1258" s="200">
        <v>1</v>
      </c>
    </row>
    <row r="1259" spans="1:20" ht="15" customHeight="1" thickBot="1" x14ac:dyDescent="0.35">
      <c r="A1259" s="369"/>
      <c r="B1259" s="369"/>
      <c r="C1259" s="42">
        <v>7527</v>
      </c>
      <c r="D1259" s="369"/>
      <c r="E1259" s="369"/>
      <c r="F1259" s="369"/>
      <c r="G1259" s="369"/>
      <c r="H1259" s="369"/>
      <c r="I1259" s="369"/>
      <c r="J1259" s="369"/>
      <c r="K1259" s="369"/>
      <c r="L1259" s="369"/>
      <c r="M1259" s="360"/>
      <c r="N1259" s="398"/>
      <c r="O1259" s="369"/>
      <c r="P1259" s="67"/>
      <c r="Q1259" s="369"/>
    </row>
    <row r="1260" spans="1:20" ht="15" hidden="1" customHeight="1" x14ac:dyDescent="0.3">
      <c r="A1260" s="367">
        <v>281</v>
      </c>
      <c r="B1260" s="367" t="s">
        <v>191</v>
      </c>
      <c r="C1260" s="40">
        <v>-12555</v>
      </c>
      <c r="D1260" s="367">
        <v>1</v>
      </c>
      <c r="E1260" s="367" t="s">
        <v>168</v>
      </c>
      <c r="F1260" s="367">
        <v>1450</v>
      </c>
      <c r="G1260" s="367">
        <v>1200</v>
      </c>
      <c r="H1260" s="367" t="s">
        <v>50</v>
      </c>
      <c r="I1260" s="367">
        <v>350</v>
      </c>
      <c r="J1260" s="370" t="s">
        <v>45</v>
      </c>
      <c r="K1260" s="367">
        <v>40</v>
      </c>
      <c r="L1260" s="367">
        <v>2</v>
      </c>
      <c r="M1260" s="358" t="s">
        <v>14</v>
      </c>
      <c r="N1260" s="396" t="s">
        <v>297</v>
      </c>
      <c r="O1260" s="367" t="s">
        <v>27</v>
      </c>
      <c r="P1260" s="228">
        <v>44066</v>
      </c>
      <c r="Q1260" s="370" t="s">
        <v>169</v>
      </c>
      <c r="R1260" s="186">
        <v>44070</v>
      </c>
    </row>
    <row r="1261" spans="1:20" ht="15" customHeight="1" x14ac:dyDescent="0.3">
      <c r="A1261" s="368"/>
      <c r="B1261" s="368"/>
      <c r="C1261" s="41">
        <v>-7105</v>
      </c>
      <c r="D1261" s="368"/>
      <c r="E1261" s="368"/>
      <c r="F1261" s="368"/>
      <c r="G1261" s="368"/>
      <c r="H1261" s="368"/>
      <c r="I1261" s="368"/>
      <c r="J1261" s="371"/>
      <c r="K1261" s="368"/>
      <c r="L1261" s="368"/>
      <c r="M1261" s="359"/>
      <c r="N1261" s="397"/>
      <c r="O1261" s="368"/>
      <c r="P1261" s="188"/>
      <c r="Q1261" s="371"/>
      <c r="T1261" s="200">
        <v>1</v>
      </c>
    </row>
    <row r="1262" spans="1:20" ht="15" customHeight="1" thickBot="1" x14ac:dyDescent="0.35">
      <c r="A1262" s="369"/>
      <c r="B1262" s="369"/>
      <c r="C1262" s="42">
        <v>7527</v>
      </c>
      <c r="D1262" s="369"/>
      <c r="E1262" s="369"/>
      <c r="F1262" s="369"/>
      <c r="G1262" s="369"/>
      <c r="H1262" s="369"/>
      <c r="I1262" s="369"/>
      <c r="J1262" s="372"/>
      <c r="K1262" s="369"/>
      <c r="L1262" s="369"/>
      <c r="M1262" s="360"/>
      <c r="N1262" s="398"/>
      <c r="O1262" s="369"/>
      <c r="P1262" s="189"/>
      <c r="Q1262" s="372"/>
    </row>
    <row r="1263" spans="1:20" ht="15" hidden="1" customHeight="1" x14ac:dyDescent="0.3">
      <c r="A1263" s="367">
        <v>282</v>
      </c>
      <c r="B1263" s="367" t="s">
        <v>191</v>
      </c>
      <c r="C1263" s="40">
        <v>-12385</v>
      </c>
      <c r="D1263" s="367">
        <v>1</v>
      </c>
      <c r="E1263" s="367" t="s">
        <v>168</v>
      </c>
      <c r="F1263" s="367">
        <v>1450</v>
      </c>
      <c r="G1263" s="367">
        <v>1200</v>
      </c>
      <c r="H1263" s="367" t="s">
        <v>50</v>
      </c>
      <c r="I1263" s="367">
        <v>350</v>
      </c>
      <c r="J1263" s="370" t="s">
        <v>45</v>
      </c>
      <c r="K1263" s="367">
        <v>40</v>
      </c>
      <c r="L1263" s="367">
        <v>2</v>
      </c>
      <c r="M1263" s="358" t="s">
        <v>14</v>
      </c>
      <c r="N1263" s="396" t="s">
        <v>297</v>
      </c>
      <c r="O1263" s="367" t="s">
        <v>27</v>
      </c>
      <c r="P1263" s="194"/>
      <c r="Q1263" s="370" t="s">
        <v>169</v>
      </c>
      <c r="R1263" s="186">
        <v>44070</v>
      </c>
    </row>
    <row r="1264" spans="1:20" ht="15" customHeight="1" x14ac:dyDescent="0.3">
      <c r="A1264" s="368"/>
      <c r="B1264" s="368"/>
      <c r="C1264" s="41">
        <v>-7210</v>
      </c>
      <c r="D1264" s="368"/>
      <c r="E1264" s="368"/>
      <c r="F1264" s="368"/>
      <c r="G1264" s="368"/>
      <c r="H1264" s="368"/>
      <c r="I1264" s="368"/>
      <c r="J1264" s="371"/>
      <c r="K1264" s="368"/>
      <c r="L1264" s="368"/>
      <c r="M1264" s="359"/>
      <c r="N1264" s="397"/>
      <c r="O1264" s="368"/>
      <c r="P1264" s="226">
        <v>44066</v>
      </c>
      <c r="Q1264" s="371"/>
      <c r="T1264" s="200">
        <v>1</v>
      </c>
    </row>
    <row r="1265" spans="1:20" ht="15" customHeight="1" thickBot="1" x14ac:dyDescent="0.35">
      <c r="A1265" s="369"/>
      <c r="B1265" s="369"/>
      <c r="C1265" s="42">
        <v>7527</v>
      </c>
      <c r="D1265" s="369"/>
      <c r="E1265" s="369"/>
      <c r="F1265" s="369"/>
      <c r="G1265" s="369"/>
      <c r="H1265" s="369"/>
      <c r="I1265" s="369"/>
      <c r="J1265" s="372"/>
      <c r="K1265" s="369"/>
      <c r="L1265" s="369"/>
      <c r="M1265" s="360"/>
      <c r="N1265" s="398"/>
      <c r="O1265" s="369"/>
      <c r="P1265" s="196"/>
      <c r="Q1265" s="372"/>
    </row>
    <row r="1266" spans="1:20" ht="30" hidden="1" customHeight="1" x14ac:dyDescent="0.3">
      <c r="A1266" s="370">
        <v>283</v>
      </c>
      <c r="B1266" s="370" t="s">
        <v>191</v>
      </c>
      <c r="C1266" s="37">
        <v>-12210</v>
      </c>
      <c r="D1266" s="370">
        <v>2</v>
      </c>
      <c r="E1266" s="370" t="s">
        <v>168</v>
      </c>
      <c r="F1266" s="367">
        <v>1450</v>
      </c>
      <c r="G1266" s="367">
        <v>1200</v>
      </c>
      <c r="H1266" s="370" t="s">
        <v>50</v>
      </c>
      <c r="I1266" s="370">
        <v>350</v>
      </c>
      <c r="J1266" s="370" t="s">
        <v>45</v>
      </c>
      <c r="K1266" s="370" t="s">
        <v>275</v>
      </c>
      <c r="L1266" s="367" t="s">
        <v>13</v>
      </c>
      <c r="M1266" s="358" t="s">
        <v>14</v>
      </c>
      <c r="N1266" s="399" t="s">
        <v>297</v>
      </c>
      <c r="O1266" s="367" t="s">
        <v>27</v>
      </c>
      <c r="P1266" s="194"/>
      <c r="Q1266" s="370" t="s">
        <v>243</v>
      </c>
      <c r="R1266" s="186">
        <v>44070</v>
      </c>
    </row>
    <row r="1267" spans="1:20" ht="30" customHeight="1" thickBot="1" x14ac:dyDescent="0.35">
      <c r="A1267" s="371"/>
      <c r="B1267" s="372"/>
      <c r="C1267" s="38">
        <v>-7310</v>
      </c>
      <c r="D1267" s="371"/>
      <c r="E1267" s="372"/>
      <c r="F1267" s="368"/>
      <c r="G1267" s="368"/>
      <c r="H1267" s="371"/>
      <c r="I1267" s="372"/>
      <c r="J1267" s="372"/>
      <c r="K1267" s="371"/>
      <c r="L1267" s="368"/>
      <c r="M1267" s="359"/>
      <c r="N1267" s="400"/>
      <c r="O1267" s="368"/>
      <c r="P1267" s="226">
        <v>44066</v>
      </c>
      <c r="Q1267" s="371"/>
      <c r="T1267" s="200">
        <v>1</v>
      </c>
    </row>
    <row r="1268" spans="1:20" ht="30" customHeight="1" thickBot="1" x14ac:dyDescent="0.35">
      <c r="A1268" s="372"/>
      <c r="B1268" s="39" t="s">
        <v>191</v>
      </c>
      <c r="C1268" s="39">
        <v>7527</v>
      </c>
      <c r="D1268" s="372"/>
      <c r="E1268" s="39" t="s">
        <v>168</v>
      </c>
      <c r="F1268" s="369"/>
      <c r="G1268" s="369"/>
      <c r="H1268" s="372"/>
      <c r="I1268" s="39">
        <v>350</v>
      </c>
      <c r="J1268" s="39" t="s">
        <v>45</v>
      </c>
      <c r="K1268" s="372"/>
      <c r="L1268" s="369"/>
      <c r="M1268" s="360"/>
      <c r="N1268" s="401"/>
      <c r="O1268" s="369"/>
      <c r="P1268" s="196"/>
      <c r="Q1268" s="372"/>
    </row>
    <row r="1269" spans="1:20" ht="15" hidden="1" customHeight="1" x14ac:dyDescent="0.3">
      <c r="A1269" s="367">
        <v>284</v>
      </c>
      <c r="B1269" s="367" t="s">
        <v>191</v>
      </c>
      <c r="C1269" s="40">
        <v>-12040</v>
      </c>
      <c r="D1269" s="367">
        <v>1</v>
      </c>
      <c r="E1269" s="367" t="s">
        <v>168</v>
      </c>
      <c r="F1269" s="367">
        <v>1450</v>
      </c>
      <c r="G1269" s="367">
        <v>1200</v>
      </c>
      <c r="H1269" s="367" t="s">
        <v>50</v>
      </c>
      <c r="I1269" s="367">
        <v>350</v>
      </c>
      <c r="J1269" s="370" t="s">
        <v>45</v>
      </c>
      <c r="K1269" s="367">
        <v>40</v>
      </c>
      <c r="L1269" s="367">
        <v>2</v>
      </c>
      <c r="M1269" s="358" t="s">
        <v>14</v>
      </c>
      <c r="N1269" s="396" t="s">
        <v>297</v>
      </c>
      <c r="O1269" s="367" t="s">
        <v>27</v>
      </c>
      <c r="P1269" s="194"/>
      <c r="Q1269" s="370" t="s">
        <v>169</v>
      </c>
      <c r="R1269" s="186">
        <v>44070</v>
      </c>
      <c r="T1269" s="200">
        <v>1</v>
      </c>
    </row>
    <row r="1270" spans="1:20" ht="15" customHeight="1" x14ac:dyDescent="0.3">
      <c r="A1270" s="368"/>
      <c r="B1270" s="368"/>
      <c r="C1270" s="40">
        <v>-7410</v>
      </c>
      <c r="D1270" s="368"/>
      <c r="E1270" s="368"/>
      <c r="F1270" s="368"/>
      <c r="G1270" s="368"/>
      <c r="H1270" s="368"/>
      <c r="I1270" s="368"/>
      <c r="J1270" s="371"/>
      <c r="K1270" s="368"/>
      <c r="L1270" s="368"/>
      <c r="M1270" s="359"/>
      <c r="N1270" s="397"/>
      <c r="O1270" s="368"/>
      <c r="P1270" s="226">
        <v>44066</v>
      </c>
      <c r="Q1270" s="371"/>
    </row>
    <row r="1271" spans="1:20" ht="15" customHeight="1" thickBot="1" x14ac:dyDescent="0.35">
      <c r="A1271" s="369"/>
      <c r="B1271" s="369"/>
      <c r="C1271" s="42">
        <v>7527</v>
      </c>
      <c r="D1271" s="369"/>
      <c r="E1271" s="369"/>
      <c r="F1271" s="369"/>
      <c r="G1271" s="369"/>
      <c r="H1271" s="369"/>
      <c r="I1271" s="369"/>
      <c r="J1271" s="372"/>
      <c r="K1271" s="369"/>
      <c r="L1271" s="369"/>
      <c r="M1271" s="360"/>
      <c r="N1271" s="398"/>
      <c r="O1271" s="369"/>
      <c r="P1271" s="196"/>
      <c r="Q1271" s="372"/>
    </row>
    <row r="1272" spans="1:20" ht="15" hidden="1" customHeight="1" x14ac:dyDescent="0.3">
      <c r="A1272" s="367">
        <v>285</v>
      </c>
      <c r="B1272" s="367" t="s">
        <v>191</v>
      </c>
      <c r="C1272" s="40">
        <v>-11865</v>
      </c>
      <c r="D1272" s="367">
        <v>1</v>
      </c>
      <c r="E1272" s="367" t="s">
        <v>168</v>
      </c>
      <c r="F1272" s="367">
        <v>1450</v>
      </c>
      <c r="G1272" s="367">
        <v>1200</v>
      </c>
      <c r="H1272" s="367" t="s">
        <v>50</v>
      </c>
      <c r="I1272" s="367">
        <v>350</v>
      </c>
      <c r="J1272" s="370" t="s">
        <v>45</v>
      </c>
      <c r="K1272" s="367">
        <v>40</v>
      </c>
      <c r="L1272" s="367">
        <v>2</v>
      </c>
      <c r="M1272" s="358" t="s">
        <v>14</v>
      </c>
      <c r="N1272" s="396" t="s">
        <v>297</v>
      </c>
      <c r="O1272" s="367" t="s">
        <v>27</v>
      </c>
      <c r="P1272" s="194"/>
      <c r="Q1272" s="370" t="s">
        <v>169</v>
      </c>
      <c r="R1272" s="186">
        <v>44070</v>
      </c>
    </row>
    <row r="1273" spans="1:20" ht="15" customHeight="1" x14ac:dyDescent="0.3">
      <c r="A1273" s="368"/>
      <c r="B1273" s="368"/>
      <c r="C1273" s="40">
        <v>-7510</v>
      </c>
      <c r="D1273" s="368"/>
      <c r="E1273" s="368"/>
      <c r="F1273" s="368"/>
      <c r="G1273" s="368"/>
      <c r="H1273" s="368"/>
      <c r="I1273" s="368"/>
      <c r="J1273" s="371"/>
      <c r="K1273" s="368"/>
      <c r="L1273" s="368"/>
      <c r="M1273" s="359"/>
      <c r="N1273" s="397"/>
      <c r="O1273" s="368"/>
      <c r="P1273" s="226">
        <v>44066</v>
      </c>
      <c r="Q1273" s="371"/>
      <c r="T1273" s="200">
        <v>1</v>
      </c>
    </row>
    <row r="1274" spans="1:20" ht="15" customHeight="1" thickBot="1" x14ac:dyDescent="0.35">
      <c r="A1274" s="369"/>
      <c r="B1274" s="369"/>
      <c r="C1274" s="42">
        <v>7527</v>
      </c>
      <c r="D1274" s="369"/>
      <c r="E1274" s="369"/>
      <c r="F1274" s="369"/>
      <c r="G1274" s="369"/>
      <c r="H1274" s="369"/>
      <c r="I1274" s="369"/>
      <c r="J1274" s="372"/>
      <c r="K1274" s="369"/>
      <c r="L1274" s="369"/>
      <c r="M1274" s="360"/>
      <c r="N1274" s="398"/>
      <c r="O1274" s="369"/>
      <c r="P1274" s="196"/>
      <c r="Q1274" s="372"/>
    </row>
    <row r="1275" spans="1:20" ht="15" hidden="1" customHeight="1" x14ac:dyDescent="0.3">
      <c r="A1275" s="367">
        <v>286</v>
      </c>
      <c r="B1275" s="367" t="s">
        <v>191</v>
      </c>
      <c r="C1275" s="40">
        <v>-11695</v>
      </c>
      <c r="D1275" s="367">
        <v>1</v>
      </c>
      <c r="E1275" s="367" t="s">
        <v>168</v>
      </c>
      <c r="F1275" s="367">
        <v>1450</v>
      </c>
      <c r="G1275" s="367">
        <v>1200</v>
      </c>
      <c r="H1275" s="367" t="s">
        <v>50</v>
      </c>
      <c r="I1275" s="367">
        <v>350</v>
      </c>
      <c r="J1275" s="370" t="s">
        <v>45</v>
      </c>
      <c r="K1275" s="367">
        <v>40</v>
      </c>
      <c r="L1275" s="367">
        <v>2</v>
      </c>
      <c r="M1275" s="358" t="s">
        <v>14</v>
      </c>
      <c r="N1275" s="396" t="s">
        <v>297</v>
      </c>
      <c r="O1275" s="367" t="s">
        <v>27</v>
      </c>
      <c r="P1275" s="194"/>
      <c r="Q1275" s="370" t="s">
        <v>169</v>
      </c>
      <c r="R1275" s="186">
        <v>44070</v>
      </c>
    </row>
    <row r="1276" spans="1:20" ht="15" customHeight="1" x14ac:dyDescent="0.3">
      <c r="A1276" s="368"/>
      <c r="B1276" s="368"/>
      <c r="C1276" s="40">
        <v>-7610</v>
      </c>
      <c r="D1276" s="368"/>
      <c r="E1276" s="368"/>
      <c r="F1276" s="368"/>
      <c r="G1276" s="368"/>
      <c r="H1276" s="368"/>
      <c r="I1276" s="368"/>
      <c r="J1276" s="371"/>
      <c r="K1276" s="368"/>
      <c r="L1276" s="368"/>
      <c r="M1276" s="359"/>
      <c r="N1276" s="397"/>
      <c r="O1276" s="368"/>
      <c r="P1276" s="226">
        <v>44066</v>
      </c>
      <c r="Q1276" s="371"/>
      <c r="T1276" s="200">
        <v>1</v>
      </c>
    </row>
    <row r="1277" spans="1:20" ht="15" customHeight="1" thickBot="1" x14ac:dyDescent="0.35">
      <c r="A1277" s="369"/>
      <c r="B1277" s="369"/>
      <c r="C1277" s="42">
        <v>7527</v>
      </c>
      <c r="D1277" s="369"/>
      <c r="E1277" s="369"/>
      <c r="F1277" s="369"/>
      <c r="G1277" s="369"/>
      <c r="H1277" s="369"/>
      <c r="I1277" s="369"/>
      <c r="J1277" s="372"/>
      <c r="K1277" s="369"/>
      <c r="L1277" s="369"/>
      <c r="M1277" s="360"/>
      <c r="N1277" s="398"/>
      <c r="O1277" s="369"/>
      <c r="P1277" s="196"/>
      <c r="Q1277" s="372"/>
    </row>
    <row r="1278" spans="1:20" ht="15" hidden="1" customHeight="1" x14ac:dyDescent="0.3">
      <c r="A1278" s="367">
        <v>287</v>
      </c>
      <c r="B1278" s="367" t="s">
        <v>191</v>
      </c>
      <c r="C1278" s="40">
        <v>-10675</v>
      </c>
      <c r="D1278" s="367">
        <v>1</v>
      </c>
      <c r="E1278" s="367" t="s">
        <v>168</v>
      </c>
      <c r="F1278" s="367">
        <v>1450</v>
      </c>
      <c r="G1278" s="367">
        <v>1200</v>
      </c>
      <c r="H1278" s="367" t="s">
        <v>50</v>
      </c>
      <c r="I1278" s="367">
        <v>350</v>
      </c>
      <c r="J1278" s="370" t="s">
        <v>45</v>
      </c>
      <c r="K1278" s="367">
        <v>40</v>
      </c>
      <c r="L1278" s="367">
        <v>2</v>
      </c>
      <c r="M1278" s="358" t="s">
        <v>14</v>
      </c>
      <c r="N1278" s="396" t="s">
        <v>297</v>
      </c>
      <c r="O1278" s="367" t="s">
        <v>27</v>
      </c>
      <c r="P1278" s="194"/>
      <c r="Q1278" s="370" t="s">
        <v>169</v>
      </c>
      <c r="R1278" s="186">
        <v>44070</v>
      </c>
    </row>
    <row r="1279" spans="1:20" ht="15" customHeight="1" x14ac:dyDescent="0.3">
      <c r="A1279" s="368"/>
      <c r="B1279" s="368"/>
      <c r="C1279" s="40">
        <v>-8210</v>
      </c>
      <c r="D1279" s="368"/>
      <c r="E1279" s="368"/>
      <c r="F1279" s="368"/>
      <c r="G1279" s="368"/>
      <c r="H1279" s="368"/>
      <c r="I1279" s="368"/>
      <c r="J1279" s="371"/>
      <c r="K1279" s="368"/>
      <c r="L1279" s="368"/>
      <c r="M1279" s="359"/>
      <c r="N1279" s="397"/>
      <c r="O1279" s="368"/>
      <c r="P1279" s="226">
        <v>44066</v>
      </c>
      <c r="Q1279" s="371"/>
      <c r="T1279" s="200">
        <v>1</v>
      </c>
    </row>
    <row r="1280" spans="1:20" ht="15" customHeight="1" thickBot="1" x14ac:dyDescent="0.35">
      <c r="A1280" s="369"/>
      <c r="B1280" s="369"/>
      <c r="C1280" s="42">
        <v>7527</v>
      </c>
      <c r="D1280" s="369"/>
      <c r="E1280" s="369"/>
      <c r="F1280" s="369"/>
      <c r="G1280" s="369"/>
      <c r="H1280" s="369"/>
      <c r="I1280" s="369"/>
      <c r="J1280" s="372"/>
      <c r="K1280" s="369"/>
      <c r="L1280" s="369"/>
      <c r="M1280" s="360"/>
      <c r="N1280" s="398"/>
      <c r="O1280" s="369"/>
      <c r="P1280" s="196"/>
      <c r="Q1280" s="372"/>
    </row>
    <row r="1281" spans="1:20" ht="30" hidden="1" customHeight="1" x14ac:dyDescent="0.3">
      <c r="A1281" s="370">
        <v>288</v>
      </c>
      <c r="B1281" s="370" t="s">
        <v>191</v>
      </c>
      <c r="C1281" s="37">
        <v>-10505</v>
      </c>
      <c r="D1281" s="370">
        <v>2</v>
      </c>
      <c r="E1281" s="370" t="s">
        <v>168</v>
      </c>
      <c r="F1281" s="367">
        <v>1450</v>
      </c>
      <c r="G1281" s="367">
        <v>1200</v>
      </c>
      <c r="H1281" s="370" t="s">
        <v>50</v>
      </c>
      <c r="I1281" s="370">
        <v>350</v>
      </c>
      <c r="J1281" s="370" t="s">
        <v>45</v>
      </c>
      <c r="K1281" s="370" t="s">
        <v>275</v>
      </c>
      <c r="L1281" s="367" t="s">
        <v>13</v>
      </c>
      <c r="M1281" s="358" t="s">
        <v>14</v>
      </c>
      <c r="N1281" s="399" t="s">
        <v>297</v>
      </c>
      <c r="O1281" s="367" t="s">
        <v>27</v>
      </c>
      <c r="P1281" s="194"/>
      <c r="Q1281" s="370" t="s">
        <v>243</v>
      </c>
      <c r="R1281" s="186">
        <v>44070</v>
      </c>
      <c r="T1281" s="200">
        <v>1</v>
      </c>
    </row>
    <row r="1282" spans="1:20" ht="30" customHeight="1" thickBot="1" x14ac:dyDescent="0.35">
      <c r="A1282" s="371"/>
      <c r="B1282" s="372"/>
      <c r="C1282" s="37">
        <v>-8310</v>
      </c>
      <c r="D1282" s="371"/>
      <c r="E1282" s="372"/>
      <c r="F1282" s="368"/>
      <c r="G1282" s="368"/>
      <c r="H1282" s="371"/>
      <c r="I1282" s="372"/>
      <c r="J1282" s="372"/>
      <c r="K1282" s="371"/>
      <c r="L1282" s="368"/>
      <c r="M1282" s="359"/>
      <c r="N1282" s="400"/>
      <c r="O1282" s="368"/>
      <c r="P1282" s="226">
        <v>44066</v>
      </c>
      <c r="Q1282" s="371"/>
    </row>
    <row r="1283" spans="1:20" ht="30" customHeight="1" thickBot="1" x14ac:dyDescent="0.35">
      <c r="A1283" s="372"/>
      <c r="B1283" s="39" t="s">
        <v>191</v>
      </c>
      <c r="C1283" s="39">
        <v>7527</v>
      </c>
      <c r="D1283" s="372"/>
      <c r="E1283" s="39" t="s">
        <v>168</v>
      </c>
      <c r="F1283" s="369"/>
      <c r="G1283" s="369"/>
      <c r="H1283" s="372"/>
      <c r="I1283" s="39">
        <v>350</v>
      </c>
      <c r="J1283" s="39" t="s">
        <v>45</v>
      </c>
      <c r="K1283" s="372"/>
      <c r="L1283" s="369"/>
      <c r="M1283" s="360"/>
      <c r="N1283" s="401"/>
      <c r="O1283" s="369"/>
      <c r="P1283" s="196"/>
      <c r="Q1283" s="372"/>
    </row>
    <row r="1284" spans="1:20" ht="15" hidden="1" customHeight="1" x14ac:dyDescent="0.3">
      <c r="A1284" s="367">
        <v>289</v>
      </c>
      <c r="B1284" s="367" t="s">
        <v>191</v>
      </c>
      <c r="C1284" s="40">
        <v>-10330</v>
      </c>
      <c r="D1284" s="367">
        <v>1</v>
      </c>
      <c r="E1284" s="367" t="s">
        <v>168</v>
      </c>
      <c r="F1284" s="367">
        <v>1450</v>
      </c>
      <c r="G1284" s="367">
        <v>1200</v>
      </c>
      <c r="H1284" s="367" t="s">
        <v>50</v>
      </c>
      <c r="I1284" s="367">
        <v>350</v>
      </c>
      <c r="J1284" s="370" t="s">
        <v>45</v>
      </c>
      <c r="K1284" s="367">
        <v>40</v>
      </c>
      <c r="L1284" s="367">
        <v>2</v>
      </c>
      <c r="M1284" s="358" t="s">
        <v>14</v>
      </c>
      <c r="N1284" s="367" t="s">
        <v>297</v>
      </c>
      <c r="O1284" s="367" t="s">
        <v>27</v>
      </c>
      <c r="P1284" s="228">
        <v>44066</v>
      </c>
      <c r="Q1284" s="370" t="s">
        <v>169</v>
      </c>
    </row>
    <row r="1285" spans="1:20" ht="15" customHeight="1" x14ac:dyDescent="0.3">
      <c r="A1285" s="368"/>
      <c r="B1285" s="368"/>
      <c r="C1285" s="41">
        <v>-8415</v>
      </c>
      <c r="D1285" s="368"/>
      <c r="E1285" s="368"/>
      <c r="F1285" s="368"/>
      <c r="G1285" s="368"/>
      <c r="H1285" s="368"/>
      <c r="I1285" s="368"/>
      <c r="J1285" s="371"/>
      <c r="K1285" s="368"/>
      <c r="L1285" s="368"/>
      <c r="M1285" s="359"/>
      <c r="N1285" s="368"/>
      <c r="O1285" s="368"/>
      <c r="P1285" s="195"/>
      <c r="Q1285" s="371"/>
      <c r="R1285" s="186">
        <v>44070</v>
      </c>
    </row>
    <row r="1286" spans="1:20" ht="15" customHeight="1" thickBot="1" x14ac:dyDescent="0.35">
      <c r="A1286" s="369"/>
      <c r="B1286" s="369"/>
      <c r="C1286" s="42">
        <v>7527</v>
      </c>
      <c r="D1286" s="369"/>
      <c r="E1286" s="369"/>
      <c r="F1286" s="369"/>
      <c r="G1286" s="369"/>
      <c r="H1286" s="369"/>
      <c r="I1286" s="369"/>
      <c r="J1286" s="372"/>
      <c r="K1286" s="369"/>
      <c r="L1286" s="369"/>
      <c r="M1286" s="360"/>
      <c r="N1286" s="369"/>
      <c r="O1286" s="369"/>
      <c r="P1286" s="196"/>
      <c r="Q1286" s="372"/>
      <c r="T1286" s="200">
        <v>1</v>
      </c>
    </row>
    <row r="1287" spans="1:20" ht="15" hidden="1" customHeight="1" x14ac:dyDescent="0.3">
      <c r="A1287" s="367">
        <v>290</v>
      </c>
      <c r="B1287" s="367" t="s">
        <v>191</v>
      </c>
      <c r="C1287" s="40">
        <v>-10160</v>
      </c>
      <c r="D1287" s="367">
        <v>1</v>
      </c>
      <c r="E1287" s="367" t="s">
        <v>168</v>
      </c>
      <c r="F1287" s="367">
        <v>1450</v>
      </c>
      <c r="G1287" s="367">
        <v>1200</v>
      </c>
      <c r="H1287" s="367" t="s">
        <v>50</v>
      </c>
      <c r="I1287" s="367">
        <v>350</v>
      </c>
      <c r="J1287" s="370" t="s">
        <v>45</v>
      </c>
      <c r="K1287" s="367">
        <v>40</v>
      </c>
      <c r="L1287" s="367">
        <v>2</v>
      </c>
      <c r="M1287" s="358" t="s">
        <v>14</v>
      </c>
      <c r="N1287" s="367" t="s">
        <v>297</v>
      </c>
      <c r="O1287" s="367" t="s">
        <v>27</v>
      </c>
      <c r="P1287" s="194"/>
      <c r="Q1287" s="370" t="s">
        <v>169</v>
      </c>
      <c r="T1287" s="200">
        <v>1</v>
      </c>
    </row>
    <row r="1288" spans="1:20" ht="15" customHeight="1" x14ac:dyDescent="0.3">
      <c r="A1288" s="368"/>
      <c r="B1288" s="368"/>
      <c r="C1288" s="41">
        <v>-8515</v>
      </c>
      <c r="D1288" s="368"/>
      <c r="E1288" s="368"/>
      <c r="F1288" s="368"/>
      <c r="G1288" s="368"/>
      <c r="H1288" s="368"/>
      <c r="I1288" s="368"/>
      <c r="J1288" s="371"/>
      <c r="K1288" s="368"/>
      <c r="L1288" s="368"/>
      <c r="M1288" s="359"/>
      <c r="N1288" s="368"/>
      <c r="O1288" s="368"/>
      <c r="P1288" s="226">
        <v>44066</v>
      </c>
      <c r="Q1288" s="371"/>
      <c r="R1288" s="186">
        <v>44070</v>
      </c>
    </row>
    <row r="1289" spans="1:20" ht="15" customHeight="1" thickBot="1" x14ac:dyDescent="0.35">
      <c r="A1289" s="369"/>
      <c r="B1289" s="369"/>
      <c r="C1289" s="42">
        <v>7527</v>
      </c>
      <c r="D1289" s="369"/>
      <c r="E1289" s="369"/>
      <c r="F1289" s="369"/>
      <c r="G1289" s="369"/>
      <c r="H1289" s="369"/>
      <c r="I1289" s="369"/>
      <c r="J1289" s="372"/>
      <c r="K1289" s="369"/>
      <c r="L1289" s="369"/>
      <c r="M1289" s="360"/>
      <c r="N1289" s="369"/>
      <c r="O1289" s="369"/>
      <c r="P1289" s="196"/>
      <c r="Q1289" s="372"/>
    </row>
    <row r="1290" spans="1:20" ht="15" hidden="1" customHeight="1" x14ac:dyDescent="0.3">
      <c r="A1290" s="367">
        <v>291</v>
      </c>
      <c r="B1290" s="367" t="s">
        <v>191</v>
      </c>
      <c r="C1290" s="40">
        <v>-13215</v>
      </c>
      <c r="D1290" s="367">
        <v>1</v>
      </c>
      <c r="E1290" s="367" t="s">
        <v>168</v>
      </c>
      <c r="F1290" s="367">
        <v>1450</v>
      </c>
      <c r="G1290" s="367">
        <v>1200</v>
      </c>
      <c r="H1290" s="367" t="s">
        <v>50</v>
      </c>
      <c r="I1290" s="367">
        <v>350</v>
      </c>
      <c r="J1290" s="370" t="s">
        <v>45</v>
      </c>
      <c r="K1290" s="367">
        <v>40</v>
      </c>
      <c r="L1290" s="367">
        <v>2</v>
      </c>
      <c r="M1290" s="358" t="s">
        <v>14</v>
      </c>
      <c r="N1290" s="367" t="s">
        <v>297</v>
      </c>
      <c r="O1290" s="367" t="s">
        <v>27</v>
      </c>
      <c r="P1290" s="194"/>
      <c r="Q1290" s="370" t="s">
        <v>169</v>
      </c>
      <c r="R1290" s="186">
        <v>44070</v>
      </c>
    </row>
    <row r="1291" spans="1:20" ht="15" customHeight="1" x14ac:dyDescent="0.3">
      <c r="A1291" s="368"/>
      <c r="B1291" s="368"/>
      <c r="C1291" s="41">
        <v>-6720</v>
      </c>
      <c r="D1291" s="368"/>
      <c r="E1291" s="368"/>
      <c r="F1291" s="368"/>
      <c r="G1291" s="368"/>
      <c r="H1291" s="368"/>
      <c r="I1291" s="368"/>
      <c r="J1291" s="371"/>
      <c r="K1291" s="368"/>
      <c r="L1291" s="368"/>
      <c r="M1291" s="359"/>
      <c r="N1291" s="368"/>
      <c r="O1291" s="368"/>
      <c r="P1291" s="226">
        <v>44066</v>
      </c>
      <c r="Q1291" s="371"/>
    </row>
    <row r="1292" spans="1:20" ht="15" customHeight="1" thickBot="1" x14ac:dyDescent="0.35">
      <c r="A1292" s="369"/>
      <c r="B1292" s="369"/>
      <c r="C1292" s="42">
        <v>7527</v>
      </c>
      <c r="D1292" s="369"/>
      <c r="E1292" s="369"/>
      <c r="F1292" s="369"/>
      <c r="G1292" s="369"/>
      <c r="H1292" s="369"/>
      <c r="I1292" s="369"/>
      <c r="J1292" s="372"/>
      <c r="K1292" s="369"/>
      <c r="L1292" s="369"/>
      <c r="M1292" s="360"/>
      <c r="N1292" s="369"/>
      <c r="O1292" s="369"/>
      <c r="P1292" s="196"/>
      <c r="Q1292" s="372"/>
      <c r="T1292" s="200">
        <v>1</v>
      </c>
    </row>
    <row r="1293" spans="1:20" ht="15" hidden="1" customHeight="1" x14ac:dyDescent="0.3">
      <c r="A1293" s="367">
        <v>292</v>
      </c>
      <c r="B1293" s="367" t="s">
        <v>191</v>
      </c>
      <c r="C1293" s="40">
        <v>-13050</v>
      </c>
      <c r="D1293" s="367">
        <v>1</v>
      </c>
      <c r="E1293" s="367" t="s">
        <v>168</v>
      </c>
      <c r="F1293" s="367">
        <v>1450</v>
      </c>
      <c r="G1293" s="367">
        <v>1200</v>
      </c>
      <c r="H1293" s="367" t="s">
        <v>50</v>
      </c>
      <c r="I1293" s="367">
        <v>350</v>
      </c>
      <c r="J1293" s="370" t="s">
        <v>45</v>
      </c>
      <c r="K1293" s="367">
        <v>40</v>
      </c>
      <c r="L1293" s="367">
        <v>2</v>
      </c>
      <c r="M1293" s="358" t="s">
        <v>14</v>
      </c>
      <c r="N1293" s="367" t="s">
        <v>297</v>
      </c>
      <c r="O1293" s="367" t="s">
        <v>27</v>
      </c>
      <c r="P1293" s="228">
        <v>44066</v>
      </c>
      <c r="Q1293" s="370" t="s">
        <v>169</v>
      </c>
    </row>
    <row r="1294" spans="1:20" ht="15" customHeight="1" x14ac:dyDescent="0.3">
      <c r="A1294" s="368"/>
      <c r="B1294" s="368"/>
      <c r="C1294" s="41">
        <v>-5900</v>
      </c>
      <c r="D1294" s="368"/>
      <c r="E1294" s="368"/>
      <c r="F1294" s="368"/>
      <c r="G1294" s="368"/>
      <c r="H1294" s="368"/>
      <c r="I1294" s="368"/>
      <c r="J1294" s="371"/>
      <c r="K1294" s="368"/>
      <c r="L1294" s="368"/>
      <c r="M1294" s="359"/>
      <c r="N1294" s="368"/>
      <c r="O1294" s="368"/>
      <c r="P1294" s="195"/>
      <c r="Q1294" s="371"/>
      <c r="R1294" s="186">
        <v>44070</v>
      </c>
      <c r="T1294" s="200">
        <v>1</v>
      </c>
    </row>
    <row r="1295" spans="1:20" ht="15" customHeight="1" thickBot="1" x14ac:dyDescent="0.35">
      <c r="A1295" s="369"/>
      <c r="B1295" s="369"/>
      <c r="C1295" s="42">
        <v>7527</v>
      </c>
      <c r="D1295" s="369"/>
      <c r="E1295" s="369"/>
      <c r="F1295" s="369"/>
      <c r="G1295" s="369"/>
      <c r="H1295" s="369"/>
      <c r="I1295" s="369"/>
      <c r="J1295" s="372"/>
      <c r="K1295" s="369"/>
      <c r="L1295" s="369"/>
      <c r="M1295" s="360"/>
      <c r="N1295" s="369"/>
      <c r="O1295" s="369"/>
      <c r="P1295" s="196"/>
      <c r="Q1295" s="372"/>
    </row>
    <row r="1296" spans="1:20" ht="15" hidden="1" customHeight="1" x14ac:dyDescent="0.3">
      <c r="A1296" s="367">
        <v>293</v>
      </c>
      <c r="B1296" s="367" t="s">
        <v>191</v>
      </c>
      <c r="C1296" s="40">
        <v>-12800</v>
      </c>
      <c r="D1296" s="367">
        <v>1</v>
      </c>
      <c r="E1296" s="367" t="s">
        <v>168</v>
      </c>
      <c r="F1296" s="367">
        <v>1450</v>
      </c>
      <c r="G1296" s="367">
        <v>1200</v>
      </c>
      <c r="H1296" s="367" t="s">
        <v>50</v>
      </c>
      <c r="I1296" s="367">
        <v>350</v>
      </c>
      <c r="J1296" s="370" t="s">
        <v>45</v>
      </c>
      <c r="K1296" s="367">
        <v>40</v>
      </c>
      <c r="L1296" s="367">
        <v>2</v>
      </c>
      <c r="M1296" s="358" t="s">
        <v>14</v>
      </c>
      <c r="N1296" s="367" t="s">
        <v>297</v>
      </c>
      <c r="O1296" s="367" t="s">
        <v>27</v>
      </c>
      <c r="P1296" s="194"/>
      <c r="Q1296" s="370" t="s">
        <v>169</v>
      </c>
      <c r="R1296" s="186">
        <v>44070</v>
      </c>
    </row>
    <row r="1297" spans="1:20" ht="15" customHeight="1" x14ac:dyDescent="0.3">
      <c r="A1297" s="368"/>
      <c r="B1297" s="368"/>
      <c r="C1297" s="41">
        <v>-5900</v>
      </c>
      <c r="D1297" s="368"/>
      <c r="E1297" s="368"/>
      <c r="F1297" s="368"/>
      <c r="G1297" s="368"/>
      <c r="H1297" s="368"/>
      <c r="I1297" s="368"/>
      <c r="J1297" s="371"/>
      <c r="K1297" s="368"/>
      <c r="L1297" s="368"/>
      <c r="M1297" s="359"/>
      <c r="N1297" s="368"/>
      <c r="O1297" s="368"/>
      <c r="P1297" s="226">
        <v>44066</v>
      </c>
      <c r="Q1297" s="371"/>
      <c r="T1297" s="200">
        <v>1</v>
      </c>
    </row>
    <row r="1298" spans="1:20" ht="15" customHeight="1" thickBot="1" x14ac:dyDescent="0.35">
      <c r="A1298" s="369"/>
      <c r="B1298" s="369"/>
      <c r="C1298" s="42">
        <v>7527</v>
      </c>
      <c r="D1298" s="369"/>
      <c r="E1298" s="369"/>
      <c r="F1298" s="369"/>
      <c r="G1298" s="369"/>
      <c r="H1298" s="369"/>
      <c r="I1298" s="369"/>
      <c r="J1298" s="372"/>
      <c r="K1298" s="369"/>
      <c r="L1298" s="369"/>
      <c r="M1298" s="360"/>
      <c r="N1298" s="369"/>
      <c r="O1298" s="369"/>
      <c r="P1298" s="196"/>
      <c r="Q1298" s="372"/>
    </row>
    <row r="1299" spans="1:20" ht="15" hidden="1" customHeight="1" x14ac:dyDescent="0.3">
      <c r="A1299" s="367">
        <v>294</v>
      </c>
      <c r="B1299" s="367" t="s">
        <v>191</v>
      </c>
      <c r="C1299" s="40">
        <v>-12550</v>
      </c>
      <c r="D1299" s="367">
        <v>1</v>
      </c>
      <c r="E1299" s="367" t="s">
        <v>168</v>
      </c>
      <c r="F1299" s="367">
        <v>1450</v>
      </c>
      <c r="G1299" s="367">
        <v>1200</v>
      </c>
      <c r="H1299" s="367" t="s">
        <v>50</v>
      </c>
      <c r="I1299" s="367">
        <v>350</v>
      </c>
      <c r="J1299" s="370" t="s">
        <v>45</v>
      </c>
      <c r="K1299" s="367">
        <v>40</v>
      </c>
      <c r="L1299" s="367">
        <v>0</v>
      </c>
      <c r="M1299" s="358" t="s">
        <v>14</v>
      </c>
      <c r="N1299" s="367" t="s">
        <v>297</v>
      </c>
      <c r="O1299" s="367" t="s">
        <v>27</v>
      </c>
      <c r="P1299" s="194"/>
      <c r="Q1299" s="370" t="s">
        <v>169</v>
      </c>
      <c r="R1299" s="186">
        <v>44070</v>
      </c>
    </row>
    <row r="1300" spans="1:20" ht="15" customHeight="1" x14ac:dyDescent="0.3">
      <c r="A1300" s="368"/>
      <c r="B1300" s="368"/>
      <c r="C1300" s="41">
        <v>-5900</v>
      </c>
      <c r="D1300" s="368"/>
      <c r="E1300" s="368"/>
      <c r="F1300" s="368"/>
      <c r="G1300" s="368"/>
      <c r="H1300" s="368"/>
      <c r="I1300" s="368"/>
      <c r="J1300" s="371"/>
      <c r="K1300" s="368"/>
      <c r="L1300" s="368"/>
      <c r="M1300" s="359"/>
      <c r="N1300" s="368"/>
      <c r="O1300" s="368"/>
      <c r="P1300" s="226">
        <v>44066</v>
      </c>
      <c r="Q1300" s="371"/>
      <c r="T1300" s="200">
        <v>1</v>
      </c>
    </row>
    <row r="1301" spans="1:20" ht="15" customHeight="1" thickBot="1" x14ac:dyDescent="0.35">
      <c r="A1301" s="369"/>
      <c r="B1301" s="369"/>
      <c r="C1301" s="42">
        <v>7527</v>
      </c>
      <c r="D1301" s="369"/>
      <c r="E1301" s="369"/>
      <c r="F1301" s="369"/>
      <c r="G1301" s="369"/>
      <c r="H1301" s="369"/>
      <c r="I1301" s="369"/>
      <c r="J1301" s="372"/>
      <c r="K1301" s="369"/>
      <c r="L1301" s="369"/>
      <c r="M1301" s="360"/>
      <c r="N1301" s="369"/>
      <c r="O1301" s="369"/>
      <c r="P1301" s="196"/>
      <c r="Q1301" s="372"/>
    </row>
    <row r="1302" spans="1:20" ht="15" hidden="1" customHeight="1" x14ac:dyDescent="0.3">
      <c r="A1302" s="367">
        <v>295</v>
      </c>
      <c r="B1302" s="367" t="s">
        <v>257</v>
      </c>
      <c r="C1302" s="40">
        <v>-13505</v>
      </c>
      <c r="D1302" s="367">
        <v>1</v>
      </c>
      <c r="E1302" s="367" t="s">
        <v>245</v>
      </c>
      <c r="F1302" s="367">
        <v>1450</v>
      </c>
      <c r="G1302" s="367">
        <v>1200</v>
      </c>
      <c r="H1302" s="367" t="s">
        <v>19</v>
      </c>
      <c r="I1302" s="367">
        <v>350</v>
      </c>
      <c r="J1302" s="370" t="s">
        <v>45</v>
      </c>
      <c r="K1302" s="367">
        <v>90</v>
      </c>
      <c r="L1302" s="367">
        <v>-32</v>
      </c>
      <c r="M1302" s="358" t="s">
        <v>14</v>
      </c>
      <c r="N1302" s="367" t="s">
        <v>297</v>
      </c>
      <c r="O1302" s="367" t="s">
        <v>27</v>
      </c>
      <c r="P1302" s="237"/>
      <c r="Q1302" s="367" t="s">
        <v>243</v>
      </c>
      <c r="R1302" s="186">
        <v>44076</v>
      </c>
    </row>
    <row r="1303" spans="1:20" ht="15" customHeight="1" x14ac:dyDescent="0.3">
      <c r="A1303" s="368"/>
      <c r="B1303" s="368"/>
      <c r="C1303" s="41">
        <v>-6470</v>
      </c>
      <c r="D1303" s="368"/>
      <c r="E1303" s="368"/>
      <c r="F1303" s="368"/>
      <c r="G1303" s="368"/>
      <c r="H1303" s="368"/>
      <c r="I1303" s="368"/>
      <c r="J1303" s="371"/>
      <c r="K1303" s="368"/>
      <c r="L1303" s="368"/>
      <c r="M1303" s="359"/>
      <c r="N1303" s="368"/>
      <c r="O1303" s="368"/>
      <c r="P1303" s="238">
        <v>2.09</v>
      </c>
      <c r="Q1303" s="368"/>
      <c r="T1303" s="200">
        <v>1</v>
      </c>
    </row>
    <row r="1304" spans="1:20" ht="15" customHeight="1" thickBot="1" x14ac:dyDescent="0.35">
      <c r="A1304" s="369"/>
      <c r="B1304" s="369"/>
      <c r="C1304" s="42">
        <v>7527</v>
      </c>
      <c r="D1304" s="369"/>
      <c r="E1304" s="369"/>
      <c r="F1304" s="369"/>
      <c r="G1304" s="369"/>
      <c r="H1304" s="369"/>
      <c r="I1304" s="369"/>
      <c r="J1304" s="372"/>
      <c r="K1304" s="369"/>
      <c r="L1304" s="369"/>
      <c r="M1304" s="360"/>
      <c r="N1304" s="369"/>
      <c r="O1304" s="369"/>
      <c r="P1304" s="239"/>
      <c r="Q1304" s="369"/>
    </row>
    <row r="1305" spans="1:20" ht="15" hidden="1" customHeight="1" x14ac:dyDescent="0.3">
      <c r="A1305" s="367">
        <v>296</v>
      </c>
      <c r="B1305" s="367" t="s">
        <v>257</v>
      </c>
      <c r="C1305" s="40">
        <v>-12525</v>
      </c>
      <c r="D1305" s="367">
        <v>1</v>
      </c>
      <c r="E1305" s="367" t="s">
        <v>245</v>
      </c>
      <c r="F1305" s="367">
        <v>1450</v>
      </c>
      <c r="G1305" s="367">
        <v>1200</v>
      </c>
      <c r="H1305" s="367" t="s">
        <v>19</v>
      </c>
      <c r="I1305" s="367">
        <v>350</v>
      </c>
      <c r="J1305" s="370" t="s">
        <v>45</v>
      </c>
      <c r="K1305" s="367">
        <v>90</v>
      </c>
      <c r="L1305" s="367">
        <v>-32</v>
      </c>
      <c r="M1305" s="358" t="s">
        <v>14</v>
      </c>
      <c r="N1305" s="367" t="s">
        <v>297</v>
      </c>
      <c r="O1305" s="367" t="s">
        <v>27</v>
      </c>
      <c r="P1305" s="261"/>
      <c r="Q1305" s="367" t="s">
        <v>243</v>
      </c>
      <c r="R1305" s="200"/>
      <c r="T1305" s="200">
        <v>1</v>
      </c>
    </row>
    <row r="1306" spans="1:20" ht="15" customHeight="1" x14ac:dyDescent="0.3">
      <c r="A1306" s="368"/>
      <c r="B1306" s="368"/>
      <c r="C1306" s="41">
        <v>-6470</v>
      </c>
      <c r="D1306" s="368"/>
      <c r="E1306" s="368"/>
      <c r="F1306" s="368"/>
      <c r="G1306" s="368"/>
      <c r="H1306" s="368"/>
      <c r="I1306" s="368"/>
      <c r="J1306" s="371"/>
      <c r="K1306" s="368"/>
      <c r="L1306" s="368"/>
      <c r="M1306" s="359"/>
      <c r="N1306" s="368"/>
      <c r="O1306" s="368"/>
      <c r="P1306" s="226">
        <v>44090</v>
      </c>
      <c r="Q1306" s="368"/>
    </row>
    <row r="1307" spans="1:20" ht="15" customHeight="1" thickBot="1" x14ac:dyDescent="0.35">
      <c r="A1307" s="369"/>
      <c r="B1307" s="369"/>
      <c r="C1307" s="42">
        <v>7527</v>
      </c>
      <c r="D1307" s="369"/>
      <c r="E1307" s="369"/>
      <c r="F1307" s="369"/>
      <c r="G1307" s="369"/>
      <c r="H1307" s="369"/>
      <c r="I1307" s="369"/>
      <c r="J1307" s="372"/>
      <c r="K1307" s="369"/>
      <c r="L1307" s="369"/>
      <c r="M1307" s="360"/>
      <c r="N1307" s="369"/>
      <c r="O1307" s="369"/>
      <c r="P1307" s="262"/>
      <c r="Q1307" s="369"/>
    </row>
    <row r="1308" spans="1:20" ht="15" hidden="1" customHeight="1" x14ac:dyDescent="0.3">
      <c r="A1308" s="367">
        <v>297</v>
      </c>
      <c r="B1308" s="367" t="s">
        <v>257</v>
      </c>
      <c r="C1308" s="40">
        <v>-11500</v>
      </c>
      <c r="D1308" s="367">
        <v>1</v>
      </c>
      <c r="E1308" s="367" t="s">
        <v>245</v>
      </c>
      <c r="F1308" s="367">
        <v>1450</v>
      </c>
      <c r="G1308" s="367">
        <v>1200</v>
      </c>
      <c r="H1308" s="367" t="s">
        <v>19</v>
      </c>
      <c r="I1308" s="367">
        <v>350</v>
      </c>
      <c r="J1308" s="370" t="s">
        <v>45</v>
      </c>
      <c r="K1308" s="367">
        <v>90</v>
      </c>
      <c r="L1308" s="367">
        <v>-32</v>
      </c>
      <c r="M1308" s="358" t="s">
        <v>14</v>
      </c>
      <c r="N1308" s="367" t="s">
        <v>297</v>
      </c>
      <c r="O1308" s="367" t="s">
        <v>27</v>
      </c>
      <c r="P1308" s="261"/>
      <c r="Q1308" s="367" t="s">
        <v>243</v>
      </c>
    </row>
    <row r="1309" spans="1:20" ht="15" customHeight="1" x14ac:dyDescent="0.3">
      <c r="A1309" s="368"/>
      <c r="B1309" s="368"/>
      <c r="C1309" s="41">
        <v>-6470</v>
      </c>
      <c r="D1309" s="368"/>
      <c r="E1309" s="368"/>
      <c r="F1309" s="368"/>
      <c r="G1309" s="368"/>
      <c r="H1309" s="368"/>
      <c r="I1309" s="368"/>
      <c r="J1309" s="371"/>
      <c r="K1309" s="368"/>
      <c r="L1309" s="368"/>
      <c r="M1309" s="359"/>
      <c r="N1309" s="368"/>
      <c r="O1309" s="368"/>
      <c r="P1309" s="226">
        <v>44090</v>
      </c>
      <c r="Q1309" s="368"/>
      <c r="T1309" s="200">
        <v>1</v>
      </c>
    </row>
    <row r="1310" spans="1:20" ht="15" customHeight="1" thickBot="1" x14ac:dyDescent="0.35">
      <c r="A1310" s="369"/>
      <c r="B1310" s="369"/>
      <c r="C1310" s="42">
        <v>7527</v>
      </c>
      <c r="D1310" s="369"/>
      <c r="E1310" s="369"/>
      <c r="F1310" s="369"/>
      <c r="G1310" s="369"/>
      <c r="H1310" s="369"/>
      <c r="I1310" s="369"/>
      <c r="J1310" s="372"/>
      <c r="K1310" s="369"/>
      <c r="L1310" s="369"/>
      <c r="M1310" s="360"/>
      <c r="N1310" s="369"/>
      <c r="O1310" s="369"/>
      <c r="P1310" s="262"/>
      <c r="Q1310" s="369"/>
    </row>
    <row r="1311" spans="1:20" ht="15" hidden="1" customHeight="1" x14ac:dyDescent="0.3">
      <c r="A1311" s="367">
        <v>298</v>
      </c>
      <c r="B1311" s="367" t="s">
        <v>257</v>
      </c>
      <c r="C1311" s="40">
        <v>-10900</v>
      </c>
      <c r="D1311" s="367">
        <v>1</v>
      </c>
      <c r="E1311" s="367" t="s">
        <v>245</v>
      </c>
      <c r="F1311" s="367">
        <v>1450</v>
      </c>
      <c r="G1311" s="367">
        <v>1200</v>
      </c>
      <c r="H1311" s="367" t="s">
        <v>19</v>
      </c>
      <c r="I1311" s="367">
        <v>350</v>
      </c>
      <c r="J1311" s="370" t="s">
        <v>45</v>
      </c>
      <c r="K1311" s="367">
        <v>90</v>
      </c>
      <c r="L1311" s="367">
        <v>-32</v>
      </c>
      <c r="M1311" s="358" t="s">
        <v>14</v>
      </c>
      <c r="N1311" s="396" t="s">
        <v>297</v>
      </c>
      <c r="O1311" s="367" t="s">
        <v>27</v>
      </c>
      <c r="P1311" s="261"/>
      <c r="Q1311" s="367" t="s">
        <v>243</v>
      </c>
      <c r="T1311" s="200">
        <v>1</v>
      </c>
    </row>
    <row r="1312" spans="1:20" ht="15" customHeight="1" x14ac:dyDescent="0.3">
      <c r="A1312" s="368"/>
      <c r="B1312" s="368"/>
      <c r="C1312" s="41">
        <v>-6470</v>
      </c>
      <c r="D1312" s="368"/>
      <c r="E1312" s="368"/>
      <c r="F1312" s="368"/>
      <c r="G1312" s="368"/>
      <c r="H1312" s="368"/>
      <c r="I1312" s="368"/>
      <c r="J1312" s="371"/>
      <c r="K1312" s="368"/>
      <c r="L1312" s="368"/>
      <c r="M1312" s="359"/>
      <c r="N1312" s="397"/>
      <c r="O1312" s="368"/>
      <c r="P1312" s="226">
        <v>44090</v>
      </c>
      <c r="Q1312" s="368"/>
    </row>
    <row r="1313" spans="1:20" ht="15" customHeight="1" thickBot="1" x14ac:dyDescent="0.35">
      <c r="A1313" s="369"/>
      <c r="B1313" s="369"/>
      <c r="C1313" s="42">
        <v>7527</v>
      </c>
      <c r="D1313" s="369"/>
      <c r="E1313" s="369"/>
      <c r="F1313" s="369"/>
      <c r="G1313" s="369"/>
      <c r="H1313" s="369"/>
      <c r="I1313" s="369"/>
      <c r="J1313" s="372"/>
      <c r="K1313" s="369"/>
      <c r="L1313" s="369"/>
      <c r="M1313" s="360"/>
      <c r="N1313" s="398"/>
      <c r="O1313" s="369"/>
      <c r="P1313" s="262"/>
      <c r="Q1313" s="369"/>
    </row>
    <row r="1314" spans="1:20" ht="15" hidden="1" customHeight="1" x14ac:dyDescent="0.3">
      <c r="A1314" s="370">
        <v>299</v>
      </c>
      <c r="B1314" s="370" t="s">
        <v>191</v>
      </c>
      <c r="C1314" s="37">
        <v>-7440</v>
      </c>
      <c r="D1314" s="370">
        <v>1</v>
      </c>
      <c r="E1314" s="370" t="s">
        <v>66</v>
      </c>
      <c r="F1314" s="367">
        <v>1450</v>
      </c>
      <c r="G1314" s="367">
        <v>1200</v>
      </c>
      <c r="H1314" s="370" t="s">
        <v>50</v>
      </c>
      <c r="I1314" s="370">
        <v>150</v>
      </c>
      <c r="J1314" s="370" t="s">
        <v>45</v>
      </c>
      <c r="K1314" s="370">
        <v>30</v>
      </c>
      <c r="L1314" s="367">
        <v>10</v>
      </c>
      <c r="M1314" s="358" t="s">
        <v>14</v>
      </c>
      <c r="N1314" s="399" t="s">
        <v>297</v>
      </c>
      <c r="O1314" s="367" t="s">
        <v>27</v>
      </c>
      <c r="P1314" s="316"/>
      <c r="Q1314" s="367" t="s">
        <v>238</v>
      </c>
      <c r="T1314" s="200">
        <v>1</v>
      </c>
    </row>
    <row r="1315" spans="1:20" ht="15" customHeight="1" x14ac:dyDescent="0.3">
      <c r="A1315" s="371"/>
      <c r="B1315" s="371"/>
      <c r="C1315" s="38">
        <v>-6615</v>
      </c>
      <c r="D1315" s="371"/>
      <c r="E1315" s="371"/>
      <c r="F1315" s="368"/>
      <c r="G1315" s="368"/>
      <c r="H1315" s="371"/>
      <c r="I1315" s="371"/>
      <c r="J1315" s="371"/>
      <c r="K1315" s="371"/>
      <c r="L1315" s="368"/>
      <c r="M1315" s="359"/>
      <c r="N1315" s="400"/>
      <c r="O1315" s="368"/>
      <c r="P1315" s="226">
        <v>44096</v>
      </c>
      <c r="Q1315" s="368"/>
      <c r="R1315" s="186">
        <v>44096</v>
      </c>
    </row>
    <row r="1316" spans="1:20" ht="15" customHeight="1" thickBot="1" x14ac:dyDescent="0.35">
      <c r="A1316" s="372"/>
      <c r="B1316" s="372"/>
      <c r="C1316" s="39">
        <v>7527</v>
      </c>
      <c r="D1316" s="372"/>
      <c r="E1316" s="372"/>
      <c r="F1316" s="369"/>
      <c r="G1316" s="369"/>
      <c r="H1316" s="372"/>
      <c r="I1316" s="372"/>
      <c r="J1316" s="372"/>
      <c r="K1316" s="372"/>
      <c r="L1316" s="369"/>
      <c r="M1316" s="360"/>
      <c r="N1316" s="401"/>
      <c r="O1316" s="369"/>
      <c r="P1316" s="317"/>
      <c r="Q1316" s="369"/>
    </row>
    <row r="1317" spans="1:20" ht="15" hidden="1" customHeight="1" x14ac:dyDescent="0.3">
      <c r="A1317" s="370">
        <v>300</v>
      </c>
      <c r="B1317" s="370" t="s">
        <v>191</v>
      </c>
      <c r="C1317" s="37">
        <v>-7235</v>
      </c>
      <c r="D1317" s="370">
        <v>1</v>
      </c>
      <c r="E1317" s="370" t="s">
        <v>255</v>
      </c>
      <c r="F1317" s="367">
        <v>1450</v>
      </c>
      <c r="G1317" s="367">
        <v>1200</v>
      </c>
      <c r="H1317" s="370" t="s">
        <v>50</v>
      </c>
      <c r="I1317" s="370">
        <v>150</v>
      </c>
      <c r="J1317" s="370" t="s">
        <v>45</v>
      </c>
      <c r="K1317" s="370">
        <v>30</v>
      </c>
      <c r="L1317" s="367">
        <v>6.5</v>
      </c>
      <c r="M1317" s="358" t="s">
        <v>14</v>
      </c>
      <c r="N1317" s="399" t="s">
        <v>297</v>
      </c>
      <c r="O1317" s="367" t="s">
        <v>27</v>
      </c>
      <c r="P1317" s="316"/>
      <c r="Q1317" s="367" t="s">
        <v>256</v>
      </c>
    </row>
    <row r="1318" spans="1:20" ht="15" customHeight="1" x14ac:dyDescent="0.3">
      <c r="A1318" s="371"/>
      <c r="B1318" s="371"/>
      <c r="C1318" s="37">
        <v>-6470</v>
      </c>
      <c r="D1318" s="371"/>
      <c r="E1318" s="371"/>
      <c r="F1318" s="368"/>
      <c r="G1318" s="368"/>
      <c r="H1318" s="371"/>
      <c r="I1318" s="371"/>
      <c r="J1318" s="371"/>
      <c r="K1318" s="371"/>
      <c r="L1318" s="368"/>
      <c r="M1318" s="359"/>
      <c r="N1318" s="400"/>
      <c r="O1318" s="368"/>
      <c r="P1318" s="226">
        <v>44096</v>
      </c>
      <c r="Q1318" s="368"/>
      <c r="R1318" s="186">
        <v>44096</v>
      </c>
      <c r="T1318" s="200">
        <v>1</v>
      </c>
    </row>
    <row r="1319" spans="1:20" ht="15" customHeight="1" thickBot="1" x14ac:dyDescent="0.35">
      <c r="A1319" s="372"/>
      <c r="B1319" s="372"/>
      <c r="C1319" s="39">
        <v>7527</v>
      </c>
      <c r="D1319" s="372"/>
      <c r="E1319" s="372"/>
      <c r="F1319" s="369"/>
      <c r="G1319" s="369"/>
      <c r="H1319" s="372"/>
      <c r="I1319" s="372"/>
      <c r="J1319" s="372"/>
      <c r="K1319" s="372"/>
      <c r="L1319" s="369"/>
      <c r="M1319" s="360"/>
      <c r="N1319" s="401"/>
      <c r="O1319" s="369"/>
      <c r="P1319" s="317"/>
      <c r="Q1319" s="369"/>
    </row>
    <row r="1320" spans="1:20" ht="15" hidden="1" customHeight="1" x14ac:dyDescent="0.3">
      <c r="A1320" s="370">
        <v>301</v>
      </c>
      <c r="B1320" s="370" t="s">
        <v>261</v>
      </c>
      <c r="C1320" s="37">
        <v>-7345</v>
      </c>
      <c r="D1320" s="370">
        <v>1</v>
      </c>
      <c r="E1320" s="370" t="s">
        <v>66</v>
      </c>
      <c r="F1320" s="367">
        <v>1450</v>
      </c>
      <c r="G1320" s="367">
        <v>1200</v>
      </c>
      <c r="H1320" s="370" t="s">
        <v>50</v>
      </c>
      <c r="I1320" s="370">
        <v>60</v>
      </c>
      <c r="J1320" s="370" t="s">
        <v>312</v>
      </c>
      <c r="K1320" s="370">
        <v>30</v>
      </c>
      <c r="L1320" s="367">
        <v>10</v>
      </c>
      <c r="M1320" s="358" t="s">
        <v>14</v>
      </c>
      <c r="N1320" s="399" t="s">
        <v>297</v>
      </c>
      <c r="O1320" s="367" t="s">
        <v>27</v>
      </c>
      <c r="P1320" s="65"/>
      <c r="Q1320" s="367" t="s">
        <v>237</v>
      </c>
      <c r="T1320" s="200">
        <v>1</v>
      </c>
    </row>
    <row r="1321" spans="1:20" ht="15" customHeight="1" x14ac:dyDescent="0.3">
      <c r="A1321" s="371"/>
      <c r="B1321" s="371"/>
      <c r="C1321" s="37">
        <v>-3650</v>
      </c>
      <c r="D1321" s="371"/>
      <c r="E1321" s="371"/>
      <c r="F1321" s="368"/>
      <c r="G1321" s="368"/>
      <c r="H1321" s="371"/>
      <c r="I1321" s="371"/>
      <c r="J1321" s="371"/>
      <c r="K1321" s="371"/>
      <c r="L1321" s="368"/>
      <c r="M1321" s="359"/>
      <c r="N1321" s="400"/>
      <c r="O1321" s="368"/>
      <c r="P1321" s="226">
        <v>44066</v>
      </c>
      <c r="Q1321" s="368"/>
    </row>
    <row r="1322" spans="1:20" ht="15" customHeight="1" thickBot="1" x14ac:dyDescent="0.35">
      <c r="A1322" s="372"/>
      <c r="B1322" s="372"/>
      <c r="C1322" s="39">
        <v>7527</v>
      </c>
      <c r="D1322" s="372"/>
      <c r="E1322" s="372"/>
      <c r="F1322" s="369"/>
      <c r="G1322" s="369"/>
      <c r="H1322" s="372"/>
      <c r="I1322" s="372"/>
      <c r="J1322" s="372"/>
      <c r="K1322" s="372"/>
      <c r="L1322" s="369"/>
      <c r="M1322" s="360"/>
      <c r="N1322" s="401"/>
      <c r="O1322" s="369"/>
      <c r="P1322" s="67"/>
      <c r="Q1322" s="369"/>
    </row>
    <row r="1323" spans="1:20" ht="15" hidden="1" customHeight="1" x14ac:dyDescent="0.3">
      <c r="A1323" s="367">
        <v>302</v>
      </c>
      <c r="B1323" s="367" t="s">
        <v>191</v>
      </c>
      <c r="C1323" s="40">
        <v>-10450</v>
      </c>
      <c r="D1323" s="367">
        <v>1</v>
      </c>
      <c r="E1323" s="367" t="s">
        <v>168</v>
      </c>
      <c r="F1323" s="367">
        <v>1450</v>
      </c>
      <c r="G1323" s="367">
        <v>1200</v>
      </c>
      <c r="H1323" s="367" t="s">
        <v>50</v>
      </c>
      <c r="I1323" s="367">
        <v>150</v>
      </c>
      <c r="J1323" s="370" t="s">
        <v>45</v>
      </c>
      <c r="K1323" s="367">
        <v>30</v>
      </c>
      <c r="L1323" s="367">
        <v>12</v>
      </c>
      <c r="M1323" s="358" t="s">
        <v>14</v>
      </c>
      <c r="N1323" s="396" t="s">
        <v>297</v>
      </c>
      <c r="O1323" s="367" t="s">
        <v>27</v>
      </c>
      <c r="P1323" s="316"/>
      <c r="Q1323" s="370" t="s">
        <v>169</v>
      </c>
      <c r="R1323" s="350">
        <v>44096</v>
      </c>
    </row>
    <row r="1324" spans="1:20" ht="15" customHeight="1" x14ac:dyDescent="0.3">
      <c r="A1324" s="368"/>
      <c r="B1324" s="368"/>
      <c r="C1324" s="41">
        <v>-4030</v>
      </c>
      <c r="D1324" s="368"/>
      <c r="E1324" s="368"/>
      <c r="F1324" s="368"/>
      <c r="G1324" s="368"/>
      <c r="H1324" s="368"/>
      <c r="I1324" s="368"/>
      <c r="J1324" s="371"/>
      <c r="K1324" s="368"/>
      <c r="L1324" s="368"/>
      <c r="M1324" s="359"/>
      <c r="N1324" s="397"/>
      <c r="O1324" s="368"/>
      <c r="P1324" s="226">
        <v>44096</v>
      </c>
      <c r="Q1324" s="371"/>
      <c r="R1324" s="351"/>
    </row>
    <row r="1325" spans="1:20" ht="15" customHeight="1" thickBot="1" x14ac:dyDescent="0.35">
      <c r="A1325" s="369"/>
      <c r="B1325" s="369"/>
      <c r="C1325" s="42">
        <v>7527</v>
      </c>
      <c r="D1325" s="369"/>
      <c r="E1325" s="369"/>
      <c r="F1325" s="369"/>
      <c r="G1325" s="369"/>
      <c r="H1325" s="369"/>
      <c r="I1325" s="369"/>
      <c r="J1325" s="372"/>
      <c r="K1325" s="369"/>
      <c r="L1325" s="369"/>
      <c r="M1325" s="360"/>
      <c r="N1325" s="398"/>
      <c r="O1325" s="369"/>
      <c r="P1325" s="317"/>
      <c r="Q1325" s="372"/>
      <c r="R1325" s="351"/>
      <c r="T1325" s="200">
        <v>1</v>
      </c>
    </row>
    <row r="1326" spans="1:20" ht="15" hidden="1" customHeight="1" x14ac:dyDescent="0.3">
      <c r="A1326" s="373">
        <v>303</v>
      </c>
      <c r="B1326" s="373" t="s">
        <v>191</v>
      </c>
      <c r="C1326" s="49">
        <v>-10200</v>
      </c>
      <c r="D1326" s="373">
        <v>1</v>
      </c>
      <c r="E1326" s="373" t="s">
        <v>168</v>
      </c>
      <c r="F1326" s="373">
        <v>1450</v>
      </c>
      <c r="G1326" s="373">
        <v>1200</v>
      </c>
      <c r="H1326" s="373" t="s">
        <v>50</v>
      </c>
      <c r="I1326" s="373">
        <v>150</v>
      </c>
      <c r="J1326" s="376" t="s">
        <v>45</v>
      </c>
      <c r="K1326" s="373">
        <v>30</v>
      </c>
      <c r="L1326" s="373">
        <v>12</v>
      </c>
      <c r="M1326" s="379" t="s">
        <v>14</v>
      </c>
      <c r="N1326" s="408" t="s">
        <v>297</v>
      </c>
      <c r="O1326" s="373" t="s">
        <v>27</v>
      </c>
      <c r="P1326" s="271"/>
      <c r="Q1326" s="376" t="s">
        <v>169</v>
      </c>
    </row>
    <row r="1327" spans="1:20" ht="15" customHeight="1" x14ac:dyDescent="0.3">
      <c r="A1327" s="374"/>
      <c r="B1327" s="374"/>
      <c r="C1327" s="51">
        <v>-4030</v>
      </c>
      <c r="D1327" s="374"/>
      <c r="E1327" s="374"/>
      <c r="F1327" s="374"/>
      <c r="G1327" s="374"/>
      <c r="H1327" s="374"/>
      <c r="I1327" s="374"/>
      <c r="J1327" s="377"/>
      <c r="K1327" s="374"/>
      <c r="L1327" s="374"/>
      <c r="M1327" s="380"/>
      <c r="N1327" s="409"/>
      <c r="O1327" s="374"/>
      <c r="P1327" s="272"/>
      <c r="Q1327" s="377"/>
    </row>
    <row r="1328" spans="1:20" ht="15" customHeight="1" thickBot="1" x14ac:dyDescent="0.35">
      <c r="A1328" s="375"/>
      <c r="B1328" s="375"/>
      <c r="C1328" s="50">
        <v>7527</v>
      </c>
      <c r="D1328" s="375"/>
      <c r="E1328" s="375"/>
      <c r="F1328" s="375"/>
      <c r="G1328" s="375"/>
      <c r="H1328" s="375"/>
      <c r="I1328" s="375"/>
      <c r="J1328" s="378"/>
      <c r="K1328" s="375"/>
      <c r="L1328" s="375"/>
      <c r="M1328" s="381"/>
      <c r="N1328" s="410"/>
      <c r="O1328" s="375"/>
      <c r="P1328" s="273"/>
      <c r="Q1328" s="378"/>
      <c r="T1328" s="288">
        <v>1</v>
      </c>
    </row>
    <row r="1329" spans="1:20" ht="15" hidden="1" customHeight="1" x14ac:dyDescent="0.3">
      <c r="A1329" s="367">
        <v>304</v>
      </c>
      <c r="B1329" s="367" t="s">
        <v>174</v>
      </c>
      <c r="C1329" s="40">
        <v>-12445</v>
      </c>
      <c r="D1329" s="370">
        <v>0</v>
      </c>
      <c r="E1329" s="367" t="s">
        <v>13</v>
      </c>
      <c r="F1329" s="367">
        <v>1450</v>
      </c>
      <c r="G1329" s="367">
        <v>1200</v>
      </c>
      <c r="H1329" s="367" t="s">
        <v>50</v>
      </c>
      <c r="I1329" s="367" t="s">
        <v>13</v>
      </c>
      <c r="J1329" s="367" t="s">
        <v>13</v>
      </c>
      <c r="K1329" s="367" t="s">
        <v>13</v>
      </c>
      <c r="L1329" s="367" t="s">
        <v>13</v>
      </c>
      <c r="M1329" s="358" t="s">
        <v>14</v>
      </c>
      <c r="N1329" s="396" t="s">
        <v>297</v>
      </c>
      <c r="O1329" s="367" t="s">
        <v>27</v>
      </c>
      <c r="P1329" s="65"/>
      <c r="Q1329" s="367" t="s">
        <v>176</v>
      </c>
    </row>
    <row r="1330" spans="1:20" ht="15" customHeight="1" x14ac:dyDescent="0.3">
      <c r="A1330" s="368"/>
      <c r="B1330" s="368"/>
      <c r="C1330" s="41">
        <v>-3650</v>
      </c>
      <c r="D1330" s="371"/>
      <c r="E1330" s="368"/>
      <c r="F1330" s="368"/>
      <c r="G1330" s="368"/>
      <c r="H1330" s="368"/>
      <c r="I1330" s="368"/>
      <c r="J1330" s="368"/>
      <c r="K1330" s="368"/>
      <c r="L1330" s="368"/>
      <c r="M1330" s="359"/>
      <c r="N1330" s="397"/>
      <c r="O1330" s="368"/>
      <c r="P1330" s="226">
        <v>44066</v>
      </c>
      <c r="Q1330" s="368"/>
    </row>
    <row r="1331" spans="1:20" ht="15" customHeight="1" thickBot="1" x14ac:dyDescent="0.35">
      <c r="A1331" s="369"/>
      <c r="B1331" s="369"/>
      <c r="C1331" s="42">
        <v>7527</v>
      </c>
      <c r="D1331" s="372"/>
      <c r="E1331" s="369"/>
      <c r="F1331" s="369"/>
      <c r="G1331" s="369"/>
      <c r="H1331" s="369"/>
      <c r="I1331" s="369"/>
      <c r="J1331" s="369"/>
      <c r="K1331" s="369"/>
      <c r="L1331" s="369"/>
      <c r="M1331" s="360"/>
      <c r="N1331" s="398"/>
      <c r="O1331" s="369"/>
      <c r="P1331" s="67"/>
      <c r="Q1331" s="369"/>
      <c r="T1331" s="200">
        <v>1</v>
      </c>
    </row>
    <row r="1332" spans="1:20" ht="15" hidden="1" customHeight="1" x14ac:dyDescent="0.3">
      <c r="A1332" s="367">
        <v>305</v>
      </c>
      <c r="B1332" s="367" t="s">
        <v>59</v>
      </c>
      <c r="C1332" s="40">
        <v>-10200</v>
      </c>
      <c r="D1332" s="367">
        <v>1</v>
      </c>
      <c r="E1332" s="367" t="s">
        <v>250</v>
      </c>
      <c r="F1332" s="367">
        <v>1450</v>
      </c>
      <c r="G1332" s="367">
        <v>1200</v>
      </c>
      <c r="H1332" s="367" t="s">
        <v>251</v>
      </c>
      <c r="I1332" s="367">
        <v>150</v>
      </c>
      <c r="J1332" s="370" t="s">
        <v>45</v>
      </c>
      <c r="K1332" s="367">
        <v>50</v>
      </c>
      <c r="L1332" s="367">
        <v>126.5</v>
      </c>
      <c r="M1332" s="358" t="s">
        <v>14</v>
      </c>
      <c r="N1332" s="396" t="s">
        <v>297</v>
      </c>
      <c r="O1332" s="367" t="s">
        <v>27</v>
      </c>
      <c r="P1332" s="65"/>
      <c r="Q1332" s="367" t="s">
        <v>252</v>
      </c>
      <c r="R1332" s="186">
        <v>44067</v>
      </c>
      <c r="T1332" s="200">
        <v>1</v>
      </c>
    </row>
    <row r="1333" spans="1:20" ht="15" customHeight="1" x14ac:dyDescent="0.3">
      <c r="A1333" s="368"/>
      <c r="B1333" s="368"/>
      <c r="C1333" s="41">
        <v>-7000</v>
      </c>
      <c r="D1333" s="368"/>
      <c r="E1333" s="368"/>
      <c r="F1333" s="368"/>
      <c r="G1333" s="368"/>
      <c r="H1333" s="368"/>
      <c r="I1333" s="368"/>
      <c r="J1333" s="371"/>
      <c r="K1333" s="368"/>
      <c r="L1333" s="368"/>
      <c r="M1333" s="359"/>
      <c r="N1333" s="397"/>
      <c r="O1333" s="368"/>
      <c r="P1333" s="226">
        <v>44066</v>
      </c>
      <c r="Q1333" s="368"/>
    </row>
    <row r="1334" spans="1:20" ht="15" customHeight="1" thickBot="1" x14ac:dyDescent="0.35">
      <c r="A1334" s="369"/>
      <c r="B1334" s="369"/>
      <c r="C1334" s="42">
        <v>7527</v>
      </c>
      <c r="D1334" s="369"/>
      <c r="E1334" s="369"/>
      <c r="F1334" s="369"/>
      <c r="G1334" s="369"/>
      <c r="H1334" s="369"/>
      <c r="I1334" s="369"/>
      <c r="J1334" s="372"/>
      <c r="K1334" s="369"/>
      <c r="L1334" s="369"/>
      <c r="M1334" s="360"/>
      <c r="N1334" s="398"/>
      <c r="O1334" s="369"/>
      <c r="P1334" s="67"/>
      <c r="Q1334" s="369"/>
    </row>
    <row r="1335" spans="1:20" ht="15" hidden="1" customHeight="1" x14ac:dyDescent="0.3">
      <c r="A1335" s="367">
        <v>306</v>
      </c>
      <c r="B1335" s="367" t="s">
        <v>59</v>
      </c>
      <c r="C1335" s="40">
        <v>-8850</v>
      </c>
      <c r="D1335" s="367">
        <v>1</v>
      </c>
      <c r="E1335" s="367" t="s">
        <v>250</v>
      </c>
      <c r="F1335" s="367">
        <v>1450</v>
      </c>
      <c r="G1335" s="367">
        <v>1200</v>
      </c>
      <c r="H1335" s="367" t="s">
        <v>251</v>
      </c>
      <c r="I1335" s="367">
        <v>20</v>
      </c>
      <c r="J1335" s="367" t="s">
        <v>313</v>
      </c>
      <c r="K1335" s="367">
        <v>0</v>
      </c>
      <c r="L1335" s="367">
        <v>176.5</v>
      </c>
      <c r="M1335" s="358" t="s">
        <v>14</v>
      </c>
      <c r="N1335" s="396" t="s">
        <v>297</v>
      </c>
      <c r="O1335" s="367" t="s">
        <v>27</v>
      </c>
      <c r="P1335" s="65"/>
      <c r="Q1335" s="367" t="s">
        <v>280</v>
      </c>
      <c r="T1335" s="200">
        <v>1</v>
      </c>
    </row>
    <row r="1336" spans="1:20" ht="15" customHeight="1" x14ac:dyDescent="0.3">
      <c r="A1336" s="368"/>
      <c r="B1336" s="368"/>
      <c r="C1336" s="41">
        <v>-6000</v>
      </c>
      <c r="D1336" s="368"/>
      <c r="E1336" s="368"/>
      <c r="F1336" s="368"/>
      <c r="G1336" s="368"/>
      <c r="H1336" s="368"/>
      <c r="I1336" s="368"/>
      <c r="J1336" s="368"/>
      <c r="K1336" s="368"/>
      <c r="L1336" s="368"/>
      <c r="M1336" s="359"/>
      <c r="N1336" s="397"/>
      <c r="O1336" s="368"/>
      <c r="P1336" s="226">
        <v>44066</v>
      </c>
      <c r="Q1336" s="368"/>
    </row>
    <row r="1337" spans="1:20" ht="15" customHeight="1" thickBot="1" x14ac:dyDescent="0.35">
      <c r="A1337" s="369"/>
      <c r="B1337" s="369"/>
      <c r="C1337" s="42">
        <v>7527</v>
      </c>
      <c r="D1337" s="369"/>
      <c r="E1337" s="369"/>
      <c r="F1337" s="369"/>
      <c r="G1337" s="369"/>
      <c r="H1337" s="369"/>
      <c r="I1337" s="369"/>
      <c r="J1337" s="369"/>
      <c r="K1337" s="369"/>
      <c r="L1337" s="369"/>
      <c r="M1337" s="360"/>
      <c r="N1337" s="398"/>
      <c r="O1337" s="369"/>
      <c r="P1337" s="67"/>
      <c r="Q1337" s="369"/>
    </row>
    <row r="1338" spans="1:20" ht="15" hidden="1" customHeight="1" x14ac:dyDescent="0.3">
      <c r="A1338" s="367">
        <v>307</v>
      </c>
      <c r="B1338" s="367" t="s">
        <v>268</v>
      </c>
      <c r="C1338" s="40">
        <v>-9085</v>
      </c>
      <c r="D1338" s="367">
        <v>1</v>
      </c>
      <c r="E1338" s="367" t="s">
        <v>269</v>
      </c>
      <c r="F1338" s="367">
        <v>1450</v>
      </c>
      <c r="G1338" s="367">
        <v>1200</v>
      </c>
      <c r="H1338" s="367" t="s">
        <v>44</v>
      </c>
      <c r="I1338" s="367">
        <v>300</v>
      </c>
      <c r="J1338" s="370" t="s">
        <v>45</v>
      </c>
      <c r="K1338" s="367">
        <v>100</v>
      </c>
      <c r="L1338" s="367">
        <v>0.5</v>
      </c>
      <c r="M1338" s="358" t="s">
        <v>14</v>
      </c>
      <c r="N1338" s="396" t="s">
        <v>297</v>
      </c>
      <c r="O1338" s="367" t="s">
        <v>27</v>
      </c>
      <c r="P1338" s="316"/>
      <c r="Q1338" s="367" t="s">
        <v>267</v>
      </c>
      <c r="R1338" s="186">
        <v>44096</v>
      </c>
    </row>
    <row r="1339" spans="1:20" ht="15" customHeight="1" x14ac:dyDescent="0.3">
      <c r="A1339" s="368"/>
      <c r="B1339" s="368"/>
      <c r="C1339" s="41">
        <v>-5200</v>
      </c>
      <c r="D1339" s="368"/>
      <c r="E1339" s="368"/>
      <c r="F1339" s="368"/>
      <c r="G1339" s="368"/>
      <c r="H1339" s="368"/>
      <c r="I1339" s="368"/>
      <c r="J1339" s="371"/>
      <c r="K1339" s="368"/>
      <c r="L1339" s="368"/>
      <c r="M1339" s="359"/>
      <c r="N1339" s="397"/>
      <c r="O1339" s="368"/>
      <c r="P1339" s="226">
        <v>44096</v>
      </c>
      <c r="Q1339" s="368"/>
      <c r="T1339" s="200">
        <v>1</v>
      </c>
    </row>
    <row r="1340" spans="1:20" ht="15" customHeight="1" thickBot="1" x14ac:dyDescent="0.35">
      <c r="A1340" s="369"/>
      <c r="B1340" s="369"/>
      <c r="C1340" s="42">
        <v>7527</v>
      </c>
      <c r="D1340" s="369"/>
      <c r="E1340" s="369"/>
      <c r="F1340" s="369"/>
      <c r="G1340" s="369"/>
      <c r="H1340" s="369"/>
      <c r="I1340" s="369"/>
      <c r="J1340" s="372"/>
      <c r="K1340" s="369"/>
      <c r="L1340" s="369"/>
      <c r="M1340" s="360"/>
      <c r="N1340" s="398"/>
      <c r="O1340" s="369"/>
      <c r="P1340" s="317"/>
      <c r="Q1340" s="369"/>
    </row>
    <row r="1341" spans="1:20" ht="15" hidden="1" customHeight="1" x14ac:dyDescent="0.3">
      <c r="A1341" s="367">
        <v>308</v>
      </c>
      <c r="B1341" s="367" t="s">
        <v>64</v>
      </c>
      <c r="C1341" s="40">
        <v>-13402</v>
      </c>
      <c r="D1341" s="367">
        <v>1</v>
      </c>
      <c r="E1341" s="367" t="s">
        <v>201</v>
      </c>
      <c r="F1341" s="367">
        <v>1450</v>
      </c>
      <c r="G1341" s="367">
        <v>1200</v>
      </c>
      <c r="H1341" s="367" t="s">
        <v>19</v>
      </c>
      <c r="I1341" s="367">
        <v>300</v>
      </c>
      <c r="J1341" s="370" t="s">
        <v>45</v>
      </c>
      <c r="K1341" s="367">
        <v>90</v>
      </c>
      <c r="L1341" s="367">
        <v>-54</v>
      </c>
      <c r="M1341" s="358" t="s">
        <v>14</v>
      </c>
      <c r="N1341" s="396" t="s">
        <v>314</v>
      </c>
      <c r="O1341" s="367" t="s">
        <v>27</v>
      </c>
      <c r="P1341" s="261"/>
      <c r="Q1341" s="367" t="s">
        <v>243</v>
      </c>
    </row>
    <row r="1342" spans="1:20" ht="15" customHeight="1" x14ac:dyDescent="0.3">
      <c r="A1342" s="368"/>
      <c r="B1342" s="368"/>
      <c r="C1342" s="41">
        <v>-9714</v>
      </c>
      <c r="D1342" s="368"/>
      <c r="E1342" s="368"/>
      <c r="F1342" s="368"/>
      <c r="G1342" s="368"/>
      <c r="H1342" s="368"/>
      <c r="I1342" s="368"/>
      <c r="J1342" s="371"/>
      <c r="K1342" s="368"/>
      <c r="L1342" s="368"/>
      <c r="M1342" s="359"/>
      <c r="N1342" s="397"/>
      <c r="O1342" s="368"/>
      <c r="P1342" s="226">
        <v>44090</v>
      </c>
      <c r="Q1342" s="368"/>
    </row>
    <row r="1343" spans="1:20" ht="15" customHeight="1" thickBot="1" x14ac:dyDescent="0.35">
      <c r="A1343" s="369"/>
      <c r="B1343" s="369"/>
      <c r="C1343" s="42">
        <v>7525</v>
      </c>
      <c r="D1343" s="369"/>
      <c r="E1343" s="369"/>
      <c r="F1343" s="369"/>
      <c r="G1343" s="369"/>
      <c r="H1343" s="369"/>
      <c r="I1343" s="369"/>
      <c r="J1343" s="372"/>
      <c r="K1343" s="369"/>
      <c r="L1343" s="369"/>
      <c r="M1343" s="360"/>
      <c r="N1343" s="398"/>
      <c r="O1343" s="369"/>
      <c r="P1343" s="262"/>
      <c r="Q1343" s="369"/>
      <c r="T1343" s="200">
        <v>1</v>
      </c>
    </row>
    <row r="1344" spans="1:20" ht="15" hidden="1" customHeight="1" x14ac:dyDescent="0.3">
      <c r="A1344" s="367">
        <v>309</v>
      </c>
      <c r="B1344" s="367" t="s">
        <v>64</v>
      </c>
      <c r="C1344" s="40">
        <v>-10834</v>
      </c>
      <c r="D1344" s="367">
        <v>1</v>
      </c>
      <c r="E1344" s="367" t="s">
        <v>201</v>
      </c>
      <c r="F1344" s="367">
        <v>1450</v>
      </c>
      <c r="G1344" s="367">
        <v>1200</v>
      </c>
      <c r="H1344" s="367" t="s">
        <v>12</v>
      </c>
      <c r="I1344" s="367">
        <v>300</v>
      </c>
      <c r="J1344" s="370" t="s">
        <v>45</v>
      </c>
      <c r="K1344" s="367">
        <v>90</v>
      </c>
      <c r="L1344" s="367">
        <v>24</v>
      </c>
      <c r="M1344" s="358" t="s">
        <v>14</v>
      </c>
      <c r="N1344" s="396" t="s">
        <v>315</v>
      </c>
      <c r="O1344" s="367" t="s">
        <v>27</v>
      </c>
      <c r="P1344" s="316"/>
      <c r="Q1344" s="367" t="s">
        <v>298</v>
      </c>
      <c r="R1344" s="186">
        <v>44067</v>
      </c>
    </row>
    <row r="1345" spans="1:20" ht="15" customHeight="1" x14ac:dyDescent="0.3">
      <c r="A1345" s="368"/>
      <c r="B1345" s="368"/>
      <c r="C1345" s="41">
        <v>-11500</v>
      </c>
      <c r="D1345" s="368"/>
      <c r="E1345" s="368"/>
      <c r="F1345" s="368"/>
      <c r="G1345" s="368"/>
      <c r="H1345" s="368"/>
      <c r="I1345" s="368"/>
      <c r="J1345" s="371"/>
      <c r="K1345" s="368"/>
      <c r="L1345" s="368"/>
      <c r="M1345" s="359"/>
      <c r="N1345" s="397"/>
      <c r="O1345" s="368"/>
      <c r="P1345" s="226">
        <v>44096</v>
      </c>
      <c r="Q1345" s="368"/>
      <c r="T1345" s="200">
        <v>1</v>
      </c>
    </row>
    <row r="1346" spans="1:20" ht="15" customHeight="1" thickBot="1" x14ac:dyDescent="0.35">
      <c r="A1346" s="369"/>
      <c r="B1346" s="369"/>
      <c r="C1346" s="42">
        <v>7525</v>
      </c>
      <c r="D1346" s="369"/>
      <c r="E1346" s="369"/>
      <c r="F1346" s="369"/>
      <c r="G1346" s="369"/>
      <c r="H1346" s="369"/>
      <c r="I1346" s="369"/>
      <c r="J1346" s="372"/>
      <c r="K1346" s="369"/>
      <c r="L1346" s="369"/>
      <c r="M1346" s="360"/>
      <c r="N1346" s="398"/>
      <c r="O1346" s="369"/>
      <c r="P1346" s="317"/>
      <c r="Q1346" s="369"/>
    </row>
    <row r="1347" spans="1:20" ht="15" hidden="1" customHeight="1" x14ac:dyDescent="0.3">
      <c r="A1347" s="414">
        <v>310</v>
      </c>
      <c r="B1347" s="414" t="s">
        <v>64</v>
      </c>
      <c r="C1347" s="106">
        <v>-12260</v>
      </c>
      <c r="D1347" s="414">
        <v>1</v>
      </c>
      <c r="E1347" s="414" t="s">
        <v>204</v>
      </c>
      <c r="F1347" s="414">
        <v>1450</v>
      </c>
      <c r="G1347" s="414">
        <v>1200</v>
      </c>
      <c r="H1347" s="414" t="s">
        <v>25</v>
      </c>
      <c r="I1347" s="414">
        <v>300</v>
      </c>
      <c r="J1347" s="414" t="s">
        <v>45</v>
      </c>
      <c r="K1347" s="414">
        <v>80</v>
      </c>
      <c r="L1347" s="414">
        <v>-35</v>
      </c>
      <c r="M1347" s="417" t="s">
        <v>14</v>
      </c>
      <c r="N1347" s="420" t="s">
        <v>315</v>
      </c>
      <c r="O1347" s="414" t="s">
        <v>27</v>
      </c>
      <c r="P1347" s="318"/>
      <c r="Q1347" s="414" t="s">
        <v>243</v>
      </c>
    </row>
    <row r="1348" spans="1:20" ht="15" customHeight="1" x14ac:dyDescent="0.3">
      <c r="A1348" s="415"/>
      <c r="B1348" s="415"/>
      <c r="C1348" s="107">
        <v>-12423</v>
      </c>
      <c r="D1348" s="415"/>
      <c r="E1348" s="415"/>
      <c r="F1348" s="415"/>
      <c r="G1348" s="415"/>
      <c r="H1348" s="415"/>
      <c r="I1348" s="415"/>
      <c r="J1348" s="415"/>
      <c r="K1348" s="415"/>
      <c r="L1348" s="415"/>
      <c r="M1348" s="418"/>
      <c r="N1348" s="421"/>
      <c r="O1348" s="415"/>
      <c r="P1348" s="229">
        <v>44096</v>
      </c>
      <c r="Q1348" s="415"/>
      <c r="T1348" s="200">
        <v>1</v>
      </c>
    </row>
    <row r="1349" spans="1:20" ht="15" customHeight="1" thickBot="1" x14ac:dyDescent="0.35">
      <c r="A1349" s="416"/>
      <c r="B1349" s="416"/>
      <c r="C1349" s="109">
        <v>7525</v>
      </c>
      <c r="D1349" s="416"/>
      <c r="E1349" s="416"/>
      <c r="F1349" s="416"/>
      <c r="G1349" s="416"/>
      <c r="H1349" s="416"/>
      <c r="I1349" s="416"/>
      <c r="J1349" s="416"/>
      <c r="K1349" s="416"/>
      <c r="L1349" s="416"/>
      <c r="M1349" s="419"/>
      <c r="N1349" s="422"/>
      <c r="O1349" s="416"/>
      <c r="P1349" s="319"/>
      <c r="Q1349" s="416"/>
    </row>
    <row r="1350" spans="1:20" ht="15" customHeight="1" thickBot="1" x14ac:dyDescent="0.35">
      <c r="A1350" s="352" t="s">
        <v>78</v>
      </c>
      <c r="B1350" s="353"/>
      <c r="C1350" s="353"/>
      <c r="D1350" s="353"/>
      <c r="E1350" s="353"/>
      <c r="F1350" s="353"/>
      <c r="G1350" s="353"/>
      <c r="H1350" s="353"/>
      <c r="I1350" s="353"/>
      <c r="J1350" s="353"/>
      <c r="K1350" s="353"/>
      <c r="L1350" s="353"/>
      <c r="M1350" s="353"/>
      <c r="N1350" s="353"/>
      <c r="O1350" s="353"/>
      <c r="P1350" s="353"/>
      <c r="Q1350" s="354"/>
    </row>
    <row r="1351" spans="1:20" ht="15" hidden="1" customHeight="1" x14ac:dyDescent="0.3">
      <c r="A1351" s="367">
        <v>311</v>
      </c>
      <c r="B1351" s="367" t="s">
        <v>56</v>
      </c>
      <c r="C1351" s="40">
        <v>10600</v>
      </c>
      <c r="D1351" s="367">
        <v>1</v>
      </c>
      <c r="E1351" s="367" t="s">
        <v>248</v>
      </c>
      <c r="F1351" s="370">
        <v>1000</v>
      </c>
      <c r="G1351" s="370">
        <v>1000</v>
      </c>
      <c r="H1351" s="370" t="s">
        <v>316</v>
      </c>
      <c r="I1351" s="367">
        <v>350</v>
      </c>
      <c r="J1351" s="370" t="s">
        <v>45</v>
      </c>
      <c r="K1351" s="367">
        <v>120</v>
      </c>
      <c r="L1351" s="367">
        <v>-70</v>
      </c>
      <c r="M1351" s="358" t="s">
        <v>14</v>
      </c>
      <c r="N1351" s="396" t="s">
        <v>317</v>
      </c>
      <c r="O1351" s="367" t="s">
        <v>27</v>
      </c>
      <c r="P1351" s="133"/>
      <c r="Q1351" s="367" t="s">
        <v>185</v>
      </c>
      <c r="T1351" s="200">
        <v>1</v>
      </c>
    </row>
    <row r="1352" spans="1:20" ht="15" customHeight="1" x14ac:dyDescent="0.3">
      <c r="A1352" s="368"/>
      <c r="B1352" s="368"/>
      <c r="C1352" s="41">
        <v>3600</v>
      </c>
      <c r="D1352" s="368"/>
      <c r="E1352" s="368"/>
      <c r="F1352" s="371"/>
      <c r="G1352" s="371"/>
      <c r="H1352" s="371"/>
      <c r="I1352" s="368"/>
      <c r="J1352" s="371"/>
      <c r="K1352" s="368"/>
      <c r="L1352" s="368"/>
      <c r="M1352" s="359"/>
      <c r="N1352" s="397"/>
      <c r="O1352" s="368"/>
      <c r="P1352" s="226">
        <v>44066</v>
      </c>
      <c r="Q1352" s="368"/>
    </row>
    <row r="1353" spans="1:20" ht="15" customHeight="1" thickBot="1" x14ac:dyDescent="0.35">
      <c r="A1353" s="369"/>
      <c r="B1353" s="369"/>
      <c r="C1353" s="42">
        <v>11785</v>
      </c>
      <c r="D1353" s="369"/>
      <c r="E1353" s="369"/>
      <c r="F1353" s="372"/>
      <c r="G1353" s="372"/>
      <c r="H1353" s="372"/>
      <c r="I1353" s="369"/>
      <c r="J1353" s="372"/>
      <c r="K1353" s="369"/>
      <c r="L1353" s="369"/>
      <c r="M1353" s="360"/>
      <c r="N1353" s="398"/>
      <c r="O1353" s="369"/>
      <c r="P1353" s="135"/>
      <c r="Q1353" s="369"/>
    </row>
    <row r="1354" spans="1:20" ht="15" hidden="1" customHeight="1" x14ac:dyDescent="0.3">
      <c r="A1354" s="367">
        <v>312</v>
      </c>
      <c r="B1354" s="367" t="s">
        <v>573</v>
      </c>
      <c r="C1354" s="40">
        <v>-11300</v>
      </c>
      <c r="D1354" s="370">
        <v>0</v>
      </c>
      <c r="E1354" s="367" t="s">
        <v>13</v>
      </c>
      <c r="F1354" s="367">
        <v>2000</v>
      </c>
      <c r="G1354" s="367">
        <v>2000</v>
      </c>
      <c r="H1354" s="367" t="s">
        <v>25</v>
      </c>
      <c r="I1354" s="367" t="s">
        <v>13</v>
      </c>
      <c r="J1354" s="367" t="s">
        <v>13</v>
      </c>
      <c r="K1354" s="367" t="s">
        <v>13</v>
      </c>
      <c r="L1354" s="367" t="s">
        <v>13</v>
      </c>
      <c r="M1354" s="358" t="s">
        <v>14</v>
      </c>
      <c r="N1354" s="396" t="s">
        <v>80</v>
      </c>
      <c r="O1354" s="367" t="s">
        <v>27</v>
      </c>
      <c r="P1354" s="133"/>
      <c r="Q1354" s="367" t="s">
        <v>184</v>
      </c>
    </row>
    <row r="1355" spans="1:20" ht="15" customHeight="1" x14ac:dyDescent="0.3">
      <c r="A1355" s="368"/>
      <c r="B1355" s="368"/>
      <c r="C1355" s="41">
        <v>12000</v>
      </c>
      <c r="D1355" s="371"/>
      <c r="E1355" s="368"/>
      <c r="F1355" s="368"/>
      <c r="G1355" s="368"/>
      <c r="H1355" s="368"/>
      <c r="I1355" s="368"/>
      <c r="J1355" s="368"/>
      <c r="K1355" s="368"/>
      <c r="L1355" s="368"/>
      <c r="M1355" s="359"/>
      <c r="N1355" s="397"/>
      <c r="O1355" s="368"/>
      <c r="P1355" s="226">
        <v>44066</v>
      </c>
      <c r="Q1355" s="368"/>
      <c r="T1355" s="200">
        <v>1</v>
      </c>
    </row>
    <row r="1356" spans="1:20" ht="15" customHeight="1" thickBot="1" x14ac:dyDescent="0.35">
      <c r="A1356" s="369"/>
      <c r="B1356" s="369"/>
      <c r="C1356" s="42">
        <v>13500</v>
      </c>
      <c r="D1356" s="372"/>
      <c r="E1356" s="369"/>
      <c r="F1356" s="369"/>
      <c r="G1356" s="369"/>
      <c r="H1356" s="369"/>
      <c r="I1356" s="369"/>
      <c r="J1356" s="369"/>
      <c r="K1356" s="369"/>
      <c r="L1356" s="369"/>
      <c r="M1356" s="360"/>
      <c r="N1356" s="398"/>
      <c r="O1356" s="369"/>
      <c r="P1356" s="135"/>
      <c r="Q1356" s="369"/>
    </row>
    <row r="1357" spans="1:20" ht="15" hidden="1" customHeight="1" x14ac:dyDescent="0.3">
      <c r="A1357" s="367">
        <v>313</v>
      </c>
      <c r="B1357" s="367" t="s">
        <v>174</v>
      </c>
      <c r="C1357" s="40">
        <v>-3990</v>
      </c>
      <c r="D1357" s="370">
        <v>0</v>
      </c>
      <c r="E1357" s="367" t="s">
        <v>13</v>
      </c>
      <c r="F1357" s="367">
        <v>1000</v>
      </c>
      <c r="G1357" s="367">
        <v>1000</v>
      </c>
      <c r="H1357" s="367" t="s">
        <v>25</v>
      </c>
      <c r="I1357" s="367" t="s">
        <v>13</v>
      </c>
      <c r="J1357" s="367" t="s">
        <v>13</v>
      </c>
      <c r="K1357" s="367" t="s">
        <v>13</v>
      </c>
      <c r="L1357" s="367" t="s">
        <v>13</v>
      </c>
      <c r="M1357" s="358" t="s">
        <v>14</v>
      </c>
      <c r="N1357" s="396" t="s">
        <v>80</v>
      </c>
      <c r="O1357" s="367" t="s">
        <v>27</v>
      </c>
      <c r="P1357" s="133"/>
      <c r="Q1357" s="367" t="s">
        <v>184</v>
      </c>
    </row>
    <row r="1358" spans="1:20" ht="15" customHeight="1" x14ac:dyDescent="0.3">
      <c r="A1358" s="368"/>
      <c r="B1358" s="368"/>
      <c r="C1358" s="41">
        <v>20220</v>
      </c>
      <c r="D1358" s="371"/>
      <c r="E1358" s="368"/>
      <c r="F1358" s="368"/>
      <c r="G1358" s="368"/>
      <c r="H1358" s="368"/>
      <c r="I1358" s="368"/>
      <c r="J1358" s="368"/>
      <c r="K1358" s="368"/>
      <c r="L1358" s="368"/>
      <c r="M1358" s="359"/>
      <c r="N1358" s="397"/>
      <c r="O1358" s="368"/>
      <c r="P1358" s="226">
        <v>44066</v>
      </c>
      <c r="Q1358" s="368"/>
      <c r="T1358" s="200">
        <v>1</v>
      </c>
    </row>
    <row r="1359" spans="1:20" ht="15" customHeight="1" thickBot="1" x14ac:dyDescent="0.35">
      <c r="A1359" s="369"/>
      <c r="B1359" s="369"/>
      <c r="C1359" s="42">
        <v>13000</v>
      </c>
      <c r="D1359" s="372"/>
      <c r="E1359" s="369"/>
      <c r="F1359" s="369"/>
      <c r="G1359" s="369"/>
      <c r="H1359" s="369"/>
      <c r="I1359" s="369"/>
      <c r="J1359" s="369"/>
      <c r="K1359" s="369"/>
      <c r="L1359" s="369"/>
      <c r="M1359" s="360"/>
      <c r="N1359" s="398"/>
      <c r="O1359" s="369"/>
      <c r="P1359" s="135"/>
      <c r="Q1359" s="369"/>
    </row>
    <row r="1360" spans="1:20" ht="15" hidden="1" customHeight="1" x14ac:dyDescent="0.3">
      <c r="A1360" s="367">
        <v>314</v>
      </c>
      <c r="B1360" s="367" t="s">
        <v>174</v>
      </c>
      <c r="C1360" s="40">
        <v>-11200</v>
      </c>
      <c r="D1360" s="370">
        <v>0</v>
      </c>
      <c r="E1360" s="367" t="s">
        <v>13</v>
      </c>
      <c r="F1360" s="367">
        <v>1000</v>
      </c>
      <c r="G1360" s="367">
        <v>1000</v>
      </c>
      <c r="H1360" s="367" t="s">
        <v>25</v>
      </c>
      <c r="I1360" s="367" t="s">
        <v>13</v>
      </c>
      <c r="J1360" s="367" t="s">
        <v>13</v>
      </c>
      <c r="K1360" s="367" t="s">
        <v>13</v>
      </c>
      <c r="L1360" s="367" t="s">
        <v>13</v>
      </c>
      <c r="M1360" s="358" t="s">
        <v>14</v>
      </c>
      <c r="N1360" s="396" t="s">
        <v>318</v>
      </c>
      <c r="O1360" s="367" t="s">
        <v>27</v>
      </c>
      <c r="P1360" s="133"/>
      <c r="Q1360" s="367" t="s">
        <v>184</v>
      </c>
    </row>
    <row r="1361" spans="1:20" ht="15" customHeight="1" x14ac:dyDescent="0.3">
      <c r="A1361" s="368"/>
      <c r="B1361" s="368"/>
      <c r="C1361" s="41">
        <v>17750</v>
      </c>
      <c r="D1361" s="371"/>
      <c r="E1361" s="368"/>
      <c r="F1361" s="368"/>
      <c r="G1361" s="368"/>
      <c r="H1361" s="368"/>
      <c r="I1361" s="368"/>
      <c r="J1361" s="368"/>
      <c r="K1361" s="368"/>
      <c r="L1361" s="368"/>
      <c r="M1361" s="359"/>
      <c r="N1361" s="397"/>
      <c r="O1361" s="368"/>
      <c r="P1361" s="226">
        <v>44066</v>
      </c>
      <c r="Q1361" s="368"/>
      <c r="T1361" s="200">
        <v>1</v>
      </c>
    </row>
    <row r="1362" spans="1:20" ht="15" customHeight="1" thickBot="1" x14ac:dyDescent="0.35">
      <c r="A1362" s="369"/>
      <c r="B1362" s="369"/>
      <c r="C1362" s="42">
        <v>13125</v>
      </c>
      <c r="D1362" s="372"/>
      <c r="E1362" s="369"/>
      <c r="F1362" s="369"/>
      <c r="G1362" s="369"/>
      <c r="H1362" s="369"/>
      <c r="I1362" s="369"/>
      <c r="J1362" s="369"/>
      <c r="K1362" s="369"/>
      <c r="L1362" s="369"/>
      <c r="M1362" s="360"/>
      <c r="N1362" s="398"/>
      <c r="O1362" s="369"/>
      <c r="P1362" s="135"/>
      <c r="Q1362" s="369"/>
    </row>
    <row r="1363" spans="1:20" ht="15" hidden="1" customHeight="1" x14ac:dyDescent="0.3">
      <c r="A1363" s="367">
        <v>315</v>
      </c>
      <c r="B1363" s="367" t="s">
        <v>174</v>
      </c>
      <c r="C1363" s="40">
        <v>-11200</v>
      </c>
      <c r="D1363" s="370">
        <v>0</v>
      </c>
      <c r="E1363" s="367" t="s">
        <v>13</v>
      </c>
      <c r="F1363" s="367">
        <v>1000</v>
      </c>
      <c r="G1363" s="367">
        <v>1000</v>
      </c>
      <c r="H1363" s="367" t="s">
        <v>25</v>
      </c>
      <c r="I1363" s="367" t="s">
        <v>13</v>
      </c>
      <c r="J1363" s="367" t="s">
        <v>13</v>
      </c>
      <c r="K1363" s="367" t="s">
        <v>13</v>
      </c>
      <c r="L1363" s="367" t="s">
        <v>13</v>
      </c>
      <c r="M1363" s="358" t="s">
        <v>14</v>
      </c>
      <c r="N1363" s="396" t="s">
        <v>318</v>
      </c>
      <c r="O1363" s="367" t="s">
        <v>27</v>
      </c>
      <c r="P1363" s="133"/>
      <c r="Q1363" s="367" t="s">
        <v>184</v>
      </c>
    </row>
    <row r="1364" spans="1:20" ht="15" customHeight="1" x14ac:dyDescent="0.3">
      <c r="A1364" s="368"/>
      <c r="B1364" s="368"/>
      <c r="C1364" s="41">
        <v>17750</v>
      </c>
      <c r="D1364" s="371"/>
      <c r="E1364" s="368"/>
      <c r="F1364" s="368"/>
      <c r="G1364" s="368"/>
      <c r="H1364" s="368"/>
      <c r="I1364" s="368"/>
      <c r="J1364" s="368"/>
      <c r="K1364" s="368"/>
      <c r="L1364" s="368"/>
      <c r="M1364" s="359"/>
      <c r="N1364" s="397"/>
      <c r="O1364" s="368"/>
      <c r="P1364" s="226">
        <v>44066</v>
      </c>
      <c r="Q1364" s="368"/>
      <c r="T1364" s="200">
        <v>1</v>
      </c>
    </row>
    <row r="1365" spans="1:20" ht="15" customHeight="1" thickBot="1" x14ac:dyDescent="0.35">
      <c r="A1365" s="369"/>
      <c r="B1365" s="369"/>
      <c r="C1365" s="42">
        <v>12425</v>
      </c>
      <c r="D1365" s="372"/>
      <c r="E1365" s="369"/>
      <c r="F1365" s="369"/>
      <c r="G1365" s="369"/>
      <c r="H1365" s="369"/>
      <c r="I1365" s="369"/>
      <c r="J1365" s="369"/>
      <c r="K1365" s="369"/>
      <c r="L1365" s="369"/>
      <c r="M1365" s="360"/>
      <c r="N1365" s="398"/>
      <c r="O1365" s="369"/>
      <c r="P1365" s="135"/>
      <c r="Q1365" s="369"/>
    </row>
    <row r="1366" spans="1:20" ht="15" hidden="1" customHeight="1" x14ac:dyDescent="0.3">
      <c r="A1366" s="367">
        <v>316</v>
      </c>
      <c r="B1366" s="367" t="s">
        <v>174</v>
      </c>
      <c r="C1366" s="40">
        <v>-11200</v>
      </c>
      <c r="D1366" s="370">
        <v>0</v>
      </c>
      <c r="E1366" s="367" t="s">
        <v>13</v>
      </c>
      <c r="F1366" s="367">
        <v>1000</v>
      </c>
      <c r="G1366" s="367">
        <v>1000</v>
      </c>
      <c r="H1366" s="367" t="s">
        <v>25</v>
      </c>
      <c r="I1366" s="367" t="s">
        <v>13</v>
      </c>
      <c r="J1366" s="367" t="s">
        <v>13</v>
      </c>
      <c r="K1366" s="367" t="s">
        <v>13</v>
      </c>
      <c r="L1366" s="367" t="s">
        <v>13</v>
      </c>
      <c r="M1366" s="358" t="s">
        <v>14</v>
      </c>
      <c r="N1366" s="396" t="s">
        <v>319</v>
      </c>
      <c r="O1366" s="367" t="s">
        <v>27</v>
      </c>
      <c r="P1366" s="133"/>
      <c r="Q1366" s="367" t="s">
        <v>184</v>
      </c>
    </row>
    <row r="1367" spans="1:20" ht="15" customHeight="1" x14ac:dyDescent="0.3">
      <c r="A1367" s="368"/>
      <c r="B1367" s="368"/>
      <c r="C1367" s="41">
        <v>16650</v>
      </c>
      <c r="D1367" s="371"/>
      <c r="E1367" s="368"/>
      <c r="F1367" s="368"/>
      <c r="G1367" s="368"/>
      <c r="H1367" s="368"/>
      <c r="I1367" s="368"/>
      <c r="J1367" s="368"/>
      <c r="K1367" s="368"/>
      <c r="L1367" s="368"/>
      <c r="M1367" s="359"/>
      <c r="N1367" s="397"/>
      <c r="O1367" s="368"/>
      <c r="P1367" s="226">
        <v>44066</v>
      </c>
      <c r="Q1367" s="368"/>
    </row>
    <row r="1368" spans="1:20" ht="15" customHeight="1" thickBot="1" x14ac:dyDescent="0.35">
      <c r="A1368" s="369"/>
      <c r="B1368" s="369"/>
      <c r="C1368" s="42">
        <v>12500</v>
      </c>
      <c r="D1368" s="372"/>
      <c r="E1368" s="369"/>
      <c r="F1368" s="369"/>
      <c r="G1368" s="369"/>
      <c r="H1368" s="369"/>
      <c r="I1368" s="369"/>
      <c r="J1368" s="369"/>
      <c r="K1368" s="369"/>
      <c r="L1368" s="369"/>
      <c r="M1368" s="360"/>
      <c r="N1368" s="398"/>
      <c r="O1368" s="369"/>
      <c r="P1368" s="135"/>
      <c r="Q1368" s="369"/>
      <c r="T1368" s="200">
        <v>1</v>
      </c>
    </row>
    <row r="1369" spans="1:20" ht="15" hidden="1" customHeight="1" x14ac:dyDescent="0.3">
      <c r="A1369" s="367">
        <v>317</v>
      </c>
      <c r="B1369" s="367" t="s">
        <v>174</v>
      </c>
      <c r="C1369" s="40">
        <v>-13908</v>
      </c>
      <c r="D1369" s="370">
        <v>0</v>
      </c>
      <c r="E1369" s="367" t="s">
        <v>13</v>
      </c>
      <c r="F1369" s="367">
        <v>1155</v>
      </c>
      <c r="G1369" s="367">
        <v>1000</v>
      </c>
      <c r="H1369" s="367" t="s">
        <v>25</v>
      </c>
      <c r="I1369" s="367" t="s">
        <v>13</v>
      </c>
      <c r="J1369" s="367" t="s">
        <v>13</v>
      </c>
      <c r="K1369" s="367" t="s">
        <v>13</v>
      </c>
      <c r="L1369" s="367" t="s">
        <v>13</v>
      </c>
      <c r="M1369" s="358" t="s">
        <v>14</v>
      </c>
      <c r="N1369" s="396" t="s">
        <v>79</v>
      </c>
      <c r="O1369" s="367" t="s">
        <v>27</v>
      </c>
      <c r="P1369" s="133"/>
      <c r="Q1369" s="367" t="s">
        <v>184</v>
      </c>
      <c r="T1369" s="200">
        <v>1</v>
      </c>
    </row>
    <row r="1370" spans="1:20" ht="15" customHeight="1" x14ac:dyDescent="0.3">
      <c r="A1370" s="368"/>
      <c r="B1370" s="368"/>
      <c r="C1370" s="41">
        <v>12800</v>
      </c>
      <c r="D1370" s="371"/>
      <c r="E1370" s="368"/>
      <c r="F1370" s="368"/>
      <c r="G1370" s="368"/>
      <c r="H1370" s="368"/>
      <c r="I1370" s="368"/>
      <c r="J1370" s="368"/>
      <c r="K1370" s="368"/>
      <c r="L1370" s="368"/>
      <c r="M1370" s="359"/>
      <c r="N1370" s="397"/>
      <c r="O1370" s="368"/>
      <c r="P1370" s="226">
        <v>44066</v>
      </c>
      <c r="Q1370" s="368"/>
    </row>
    <row r="1371" spans="1:20" ht="15" customHeight="1" thickBot="1" x14ac:dyDescent="0.35">
      <c r="A1371" s="369"/>
      <c r="B1371" s="369"/>
      <c r="C1371" s="42">
        <v>13000</v>
      </c>
      <c r="D1371" s="372"/>
      <c r="E1371" s="369"/>
      <c r="F1371" s="369"/>
      <c r="G1371" s="369"/>
      <c r="H1371" s="369"/>
      <c r="I1371" s="369"/>
      <c r="J1371" s="369"/>
      <c r="K1371" s="369"/>
      <c r="L1371" s="369"/>
      <c r="M1371" s="360"/>
      <c r="N1371" s="398"/>
      <c r="O1371" s="369"/>
      <c r="P1371" s="135"/>
      <c r="Q1371" s="369"/>
    </row>
    <row r="1372" spans="1:20" ht="15" hidden="1" customHeight="1" x14ac:dyDescent="0.3">
      <c r="A1372" s="367">
        <v>318</v>
      </c>
      <c r="B1372" s="367" t="s">
        <v>174</v>
      </c>
      <c r="C1372" s="40">
        <v>-13908</v>
      </c>
      <c r="D1372" s="370">
        <v>0</v>
      </c>
      <c r="E1372" s="367"/>
      <c r="F1372" s="367">
        <v>1155</v>
      </c>
      <c r="G1372" s="367">
        <v>1000</v>
      </c>
      <c r="H1372" s="367" t="s">
        <v>25</v>
      </c>
      <c r="I1372" s="367"/>
      <c r="J1372" s="367" t="s">
        <v>13</v>
      </c>
      <c r="K1372" s="367"/>
      <c r="L1372" s="367"/>
      <c r="M1372" s="358" t="s">
        <v>14</v>
      </c>
      <c r="N1372" s="396" t="s">
        <v>79</v>
      </c>
      <c r="O1372" s="367" t="s">
        <v>27</v>
      </c>
      <c r="P1372" s="133"/>
      <c r="Q1372" s="367" t="s">
        <v>184</v>
      </c>
      <c r="T1372" s="200">
        <v>1</v>
      </c>
    </row>
    <row r="1373" spans="1:20" ht="15" customHeight="1" x14ac:dyDescent="0.3">
      <c r="A1373" s="368"/>
      <c r="B1373" s="368"/>
      <c r="C1373" s="41">
        <v>12800</v>
      </c>
      <c r="D1373" s="371"/>
      <c r="E1373" s="368"/>
      <c r="F1373" s="368"/>
      <c r="G1373" s="368"/>
      <c r="H1373" s="368"/>
      <c r="I1373" s="368"/>
      <c r="J1373" s="368"/>
      <c r="K1373" s="368"/>
      <c r="L1373" s="368"/>
      <c r="M1373" s="359"/>
      <c r="N1373" s="397"/>
      <c r="O1373" s="368"/>
      <c r="P1373" s="226">
        <v>44066</v>
      </c>
      <c r="Q1373" s="368"/>
    </row>
    <row r="1374" spans="1:20" ht="15" customHeight="1" thickBot="1" x14ac:dyDescent="0.35">
      <c r="A1374" s="369"/>
      <c r="B1374" s="369"/>
      <c r="C1374" s="42">
        <v>12200</v>
      </c>
      <c r="D1374" s="372"/>
      <c r="E1374" s="369"/>
      <c r="F1374" s="369"/>
      <c r="G1374" s="369"/>
      <c r="H1374" s="369"/>
      <c r="I1374" s="369"/>
      <c r="J1374" s="369"/>
      <c r="K1374" s="369"/>
      <c r="L1374" s="369"/>
      <c r="M1374" s="360"/>
      <c r="N1374" s="398"/>
      <c r="O1374" s="369"/>
      <c r="P1374" s="135"/>
      <c r="Q1374" s="369"/>
    </row>
    <row r="1375" spans="1:20" ht="15" hidden="1" customHeight="1" x14ac:dyDescent="0.3">
      <c r="A1375" s="367">
        <v>319</v>
      </c>
      <c r="B1375" s="367" t="s">
        <v>174</v>
      </c>
      <c r="C1375" s="40">
        <v>-16000</v>
      </c>
      <c r="D1375" s="370">
        <v>0</v>
      </c>
      <c r="E1375" s="367" t="s">
        <v>13</v>
      </c>
      <c r="F1375" s="367">
        <v>1000</v>
      </c>
      <c r="G1375" s="367">
        <v>1000</v>
      </c>
      <c r="H1375" s="367" t="s">
        <v>50</v>
      </c>
      <c r="I1375" s="367" t="s">
        <v>13</v>
      </c>
      <c r="J1375" s="367" t="s">
        <v>13</v>
      </c>
      <c r="K1375" s="367" t="s">
        <v>13</v>
      </c>
      <c r="L1375" s="367" t="s">
        <v>13</v>
      </c>
      <c r="M1375" s="358" t="s">
        <v>14</v>
      </c>
      <c r="N1375" s="396" t="s">
        <v>79</v>
      </c>
      <c r="O1375" s="367" t="s">
        <v>27</v>
      </c>
      <c r="P1375" s="133"/>
      <c r="Q1375" s="367" t="s">
        <v>184</v>
      </c>
      <c r="T1375" s="200">
        <v>1</v>
      </c>
    </row>
    <row r="1376" spans="1:20" ht="15" customHeight="1" x14ac:dyDescent="0.3">
      <c r="A1376" s="368"/>
      <c r="B1376" s="368"/>
      <c r="C1376" s="41">
        <v>10900</v>
      </c>
      <c r="D1376" s="371"/>
      <c r="E1376" s="368"/>
      <c r="F1376" s="368"/>
      <c r="G1376" s="368"/>
      <c r="H1376" s="368"/>
      <c r="I1376" s="368"/>
      <c r="J1376" s="368"/>
      <c r="K1376" s="368"/>
      <c r="L1376" s="368"/>
      <c r="M1376" s="359"/>
      <c r="N1376" s="397"/>
      <c r="O1376" s="368"/>
      <c r="P1376" s="134"/>
      <c r="Q1376" s="368"/>
    </row>
    <row r="1377" spans="1:20" ht="15" customHeight="1" thickBot="1" x14ac:dyDescent="0.35">
      <c r="A1377" s="369"/>
      <c r="B1377" s="369"/>
      <c r="C1377" s="42">
        <v>12700</v>
      </c>
      <c r="D1377" s="372"/>
      <c r="E1377" s="369"/>
      <c r="F1377" s="369"/>
      <c r="G1377" s="369"/>
      <c r="H1377" s="369"/>
      <c r="I1377" s="369"/>
      <c r="J1377" s="369"/>
      <c r="K1377" s="369"/>
      <c r="L1377" s="369"/>
      <c r="M1377" s="360"/>
      <c r="N1377" s="398"/>
      <c r="O1377" s="369"/>
      <c r="P1377" s="227">
        <v>44066</v>
      </c>
      <c r="Q1377" s="369"/>
    </row>
    <row r="1378" spans="1:20" ht="15" hidden="1" customHeight="1" x14ac:dyDescent="0.3">
      <c r="A1378" s="367">
        <v>320</v>
      </c>
      <c r="B1378" s="367" t="s">
        <v>174</v>
      </c>
      <c r="C1378" s="40">
        <v>-16000</v>
      </c>
      <c r="D1378" s="370">
        <v>0</v>
      </c>
      <c r="E1378" s="367" t="s">
        <v>13</v>
      </c>
      <c r="F1378" s="367">
        <v>1000</v>
      </c>
      <c r="G1378" s="367">
        <v>1000</v>
      </c>
      <c r="H1378" s="367" t="s">
        <v>50</v>
      </c>
      <c r="I1378" s="367" t="s">
        <v>13</v>
      </c>
      <c r="J1378" s="367" t="s">
        <v>13</v>
      </c>
      <c r="K1378" s="367" t="s">
        <v>13</v>
      </c>
      <c r="L1378" s="367" t="s">
        <v>13</v>
      </c>
      <c r="M1378" s="358" t="s">
        <v>14</v>
      </c>
      <c r="N1378" s="396" t="s">
        <v>79</v>
      </c>
      <c r="O1378" s="367" t="s">
        <v>27</v>
      </c>
      <c r="P1378" s="133"/>
      <c r="Q1378" s="367" t="s">
        <v>184</v>
      </c>
      <c r="T1378" s="200">
        <v>1</v>
      </c>
    </row>
    <row r="1379" spans="1:20" ht="15" customHeight="1" x14ac:dyDescent="0.3">
      <c r="A1379" s="368"/>
      <c r="B1379" s="368"/>
      <c r="C1379" s="41">
        <v>10600</v>
      </c>
      <c r="D1379" s="371"/>
      <c r="E1379" s="368"/>
      <c r="F1379" s="368"/>
      <c r="G1379" s="368"/>
      <c r="H1379" s="368"/>
      <c r="I1379" s="368"/>
      <c r="J1379" s="368"/>
      <c r="K1379" s="368"/>
      <c r="L1379" s="368"/>
      <c r="M1379" s="359"/>
      <c r="N1379" s="397"/>
      <c r="O1379" s="368"/>
      <c r="P1379" s="226">
        <v>44066</v>
      </c>
      <c r="Q1379" s="368"/>
    </row>
    <row r="1380" spans="1:20" ht="15" customHeight="1" thickBot="1" x14ac:dyDescent="0.35">
      <c r="A1380" s="369"/>
      <c r="B1380" s="369"/>
      <c r="C1380" s="42">
        <v>12700</v>
      </c>
      <c r="D1380" s="372"/>
      <c r="E1380" s="369"/>
      <c r="F1380" s="369"/>
      <c r="G1380" s="369"/>
      <c r="H1380" s="369"/>
      <c r="I1380" s="369"/>
      <c r="J1380" s="369"/>
      <c r="K1380" s="369"/>
      <c r="L1380" s="369"/>
      <c r="M1380" s="360"/>
      <c r="N1380" s="398"/>
      <c r="O1380" s="369"/>
      <c r="P1380" s="135"/>
      <c r="Q1380" s="369"/>
    </row>
    <row r="1381" spans="1:20" ht="15" hidden="1" customHeight="1" x14ac:dyDescent="0.3">
      <c r="A1381" s="367">
        <v>321</v>
      </c>
      <c r="B1381" s="367" t="s">
        <v>174</v>
      </c>
      <c r="C1381" s="40">
        <v>-16000</v>
      </c>
      <c r="D1381" s="370">
        <v>0</v>
      </c>
      <c r="E1381" s="367" t="s">
        <v>13</v>
      </c>
      <c r="F1381" s="367">
        <v>1000</v>
      </c>
      <c r="G1381" s="367">
        <v>1000</v>
      </c>
      <c r="H1381" s="367" t="s">
        <v>50</v>
      </c>
      <c r="I1381" s="367" t="s">
        <v>13</v>
      </c>
      <c r="J1381" s="367" t="s">
        <v>13</v>
      </c>
      <c r="K1381" s="367" t="s">
        <v>13</v>
      </c>
      <c r="L1381" s="367" t="s">
        <v>13</v>
      </c>
      <c r="M1381" s="358" t="s">
        <v>14</v>
      </c>
      <c r="N1381" s="396" t="s">
        <v>79</v>
      </c>
      <c r="O1381" s="367" t="s">
        <v>27</v>
      </c>
      <c r="P1381" s="133"/>
      <c r="Q1381" s="367" t="s">
        <v>184</v>
      </c>
      <c r="T1381" s="200">
        <v>1</v>
      </c>
    </row>
    <row r="1382" spans="1:20" ht="15" customHeight="1" x14ac:dyDescent="0.3">
      <c r="A1382" s="368"/>
      <c r="B1382" s="368"/>
      <c r="C1382" s="41">
        <v>10600</v>
      </c>
      <c r="D1382" s="371"/>
      <c r="E1382" s="368"/>
      <c r="F1382" s="368"/>
      <c r="G1382" s="368"/>
      <c r="H1382" s="368"/>
      <c r="I1382" s="368"/>
      <c r="J1382" s="368"/>
      <c r="K1382" s="368"/>
      <c r="L1382" s="368"/>
      <c r="M1382" s="359"/>
      <c r="N1382" s="397"/>
      <c r="O1382" s="368"/>
      <c r="P1382" s="226">
        <v>44066</v>
      </c>
      <c r="Q1382" s="368"/>
    </row>
    <row r="1383" spans="1:20" ht="15" customHeight="1" thickBot="1" x14ac:dyDescent="0.35">
      <c r="A1383" s="369"/>
      <c r="B1383" s="369"/>
      <c r="C1383" s="42">
        <v>12200</v>
      </c>
      <c r="D1383" s="372"/>
      <c r="E1383" s="369"/>
      <c r="F1383" s="369"/>
      <c r="G1383" s="369"/>
      <c r="H1383" s="369"/>
      <c r="I1383" s="369"/>
      <c r="J1383" s="369"/>
      <c r="K1383" s="369"/>
      <c r="L1383" s="369"/>
      <c r="M1383" s="360"/>
      <c r="N1383" s="398"/>
      <c r="O1383" s="369"/>
      <c r="P1383" s="135"/>
      <c r="Q1383" s="369"/>
    </row>
    <row r="1384" spans="1:20" ht="15" hidden="1" customHeight="1" x14ac:dyDescent="0.3">
      <c r="A1384" s="367">
        <v>322</v>
      </c>
      <c r="B1384" s="367" t="s">
        <v>174</v>
      </c>
      <c r="C1384" s="40">
        <v>-16000</v>
      </c>
      <c r="D1384" s="370">
        <v>0</v>
      </c>
      <c r="E1384" s="367" t="s">
        <v>13</v>
      </c>
      <c r="F1384" s="367">
        <v>1000</v>
      </c>
      <c r="G1384" s="367">
        <v>1000</v>
      </c>
      <c r="H1384" s="367" t="s">
        <v>50</v>
      </c>
      <c r="I1384" s="367" t="s">
        <v>13</v>
      </c>
      <c r="J1384" s="367" t="s">
        <v>13</v>
      </c>
      <c r="K1384" s="367" t="s">
        <v>13</v>
      </c>
      <c r="L1384" s="367" t="s">
        <v>13</v>
      </c>
      <c r="M1384" s="358" t="s">
        <v>14</v>
      </c>
      <c r="N1384" s="396" t="s">
        <v>320</v>
      </c>
      <c r="O1384" s="367" t="s">
        <v>27</v>
      </c>
      <c r="P1384" s="228">
        <v>44066</v>
      </c>
      <c r="Q1384" s="367" t="s">
        <v>184</v>
      </c>
      <c r="T1384" s="200">
        <v>1</v>
      </c>
    </row>
    <row r="1385" spans="1:20" ht="15" customHeight="1" x14ac:dyDescent="0.3">
      <c r="A1385" s="368"/>
      <c r="B1385" s="368"/>
      <c r="C1385" s="41">
        <v>10600</v>
      </c>
      <c r="D1385" s="371"/>
      <c r="E1385" s="368"/>
      <c r="F1385" s="368"/>
      <c r="G1385" s="368"/>
      <c r="H1385" s="368"/>
      <c r="I1385" s="368"/>
      <c r="J1385" s="368"/>
      <c r="K1385" s="368"/>
      <c r="L1385" s="368"/>
      <c r="M1385" s="359"/>
      <c r="N1385" s="397"/>
      <c r="O1385" s="368"/>
      <c r="P1385" s="134"/>
      <c r="Q1385" s="368"/>
    </row>
    <row r="1386" spans="1:20" ht="15" customHeight="1" thickBot="1" x14ac:dyDescent="0.35">
      <c r="A1386" s="369"/>
      <c r="B1386" s="369"/>
      <c r="C1386" s="42">
        <v>11900</v>
      </c>
      <c r="D1386" s="372"/>
      <c r="E1386" s="369"/>
      <c r="F1386" s="369"/>
      <c r="G1386" s="369"/>
      <c r="H1386" s="369"/>
      <c r="I1386" s="369"/>
      <c r="J1386" s="369"/>
      <c r="K1386" s="369"/>
      <c r="L1386" s="369"/>
      <c r="M1386" s="360"/>
      <c r="N1386" s="398"/>
      <c r="O1386" s="369"/>
      <c r="P1386" s="135"/>
      <c r="Q1386" s="369"/>
    </row>
    <row r="1387" spans="1:20" ht="15" hidden="1" customHeight="1" x14ac:dyDescent="0.3">
      <c r="A1387" s="367">
        <v>323</v>
      </c>
      <c r="B1387" s="367" t="s">
        <v>174</v>
      </c>
      <c r="C1387" s="40">
        <v>-16000</v>
      </c>
      <c r="D1387" s="370">
        <v>0</v>
      </c>
      <c r="E1387" s="367" t="s">
        <v>13</v>
      </c>
      <c r="F1387" s="367">
        <v>1000</v>
      </c>
      <c r="G1387" s="367">
        <v>1000</v>
      </c>
      <c r="H1387" s="367" t="s">
        <v>50</v>
      </c>
      <c r="I1387" s="367" t="s">
        <v>13</v>
      </c>
      <c r="J1387" s="367" t="s">
        <v>13</v>
      </c>
      <c r="K1387" s="367" t="s">
        <v>13</v>
      </c>
      <c r="L1387" s="367" t="s">
        <v>13</v>
      </c>
      <c r="M1387" s="358" t="s">
        <v>14</v>
      </c>
      <c r="N1387" s="396" t="s">
        <v>79</v>
      </c>
      <c r="O1387" s="367" t="s">
        <v>27</v>
      </c>
      <c r="P1387" s="133"/>
      <c r="Q1387" s="367" t="s">
        <v>184</v>
      </c>
    </row>
    <row r="1388" spans="1:20" ht="15" customHeight="1" x14ac:dyDescent="0.3">
      <c r="A1388" s="368"/>
      <c r="B1388" s="368"/>
      <c r="C1388" s="41">
        <v>10900</v>
      </c>
      <c r="D1388" s="371"/>
      <c r="E1388" s="368"/>
      <c r="F1388" s="368"/>
      <c r="G1388" s="368"/>
      <c r="H1388" s="368"/>
      <c r="I1388" s="368"/>
      <c r="J1388" s="368"/>
      <c r="K1388" s="368"/>
      <c r="L1388" s="368"/>
      <c r="M1388" s="359"/>
      <c r="N1388" s="397"/>
      <c r="O1388" s="368"/>
      <c r="P1388" s="226">
        <v>44066</v>
      </c>
      <c r="Q1388" s="368"/>
      <c r="T1388" s="200">
        <v>1</v>
      </c>
    </row>
    <row r="1389" spans="1:20" ht="15" customHeight="1" thickBot="1" x14ac:dyDescent="0.35">
      <c r="A1389" s="369"/>
      <c r="B1389" s="369"/>
      <c r="C1389" s="42">
        <v>11900</v>
      </c>
      <c r="D1389" s="372"/>
      <c r="E1389" s="369"/>
      <c r="F1389" s="369"/>
      <c r="G1389" s="369"/>
      <c r="H1389" s="369"/>
      <c r="I1389" s="369"/>
      <c r="J1389" s="369"/>
      <c r="K1389" s="369"/>
      <c r="L1389" s="369"/>
      <c r="M1389" s="360"/>
      <c r="N1389" s="398"/>
      <c r="O1389" s="369"/>
      <c r="P1389" s="135"/>
      <c r="Q1389" s="369"/>
    </row>
    <row r="1390" spans="1:20" ht="15" hidden="1" customHeight="1" x14ac:dyDescent="0.3">
      <c r="A1390" s="367">
        <v>324</v>
      </c>
      <c r="B1390" s="367" t="s">
        <v>174</v>
      </c>
      <c r="C1390" s="40">
        <v>-16000</v>
      </c>
      <c r="D1390" s="370">
        <v>0</v>
      </c>
      <c r="E1390" s="367" t="s">
        <v>13</v>
      </c>
      <c r="F1390" s="367">
        <v>1000</v>
      </c>
      <c r="G1390" s="367">
        <v>1000</v>
      </c>
      <c r="H1390" s="367" t="s">
        <v>50</v>
      </c>
      <c r="I1390" s="367" t="s">
        <v>13</v>
      </c>
      <c r="J1390" s="367" t="s">
        <v>13</v>
      </c>
      <c r="K1390" s="367" t="s">
        <v>13</v>
      </c>
      <c r="L1390" s="367" t="s">
        <v>13</v>
      </c>
      <c r="M1390" s="358" t="s">
        <v>14</v>
      </c>
      <c r="N1390" s="396" t="s">
        <v>79</v>
      </c>
      <c r="O1390" s="367" t="s">
        <v>27</v>
      </c>
      <c r="P1390" s="133"/>
      <c r="Q1390" s="367" t="s">
        <v>184</v>
      </c>
    </row>
    <row r="1391" spans="1:20" ht="15" customHeight="1" x14ac:dyDescent="0.3">
      <c r="A1391" s="368"/>
      <c r="B1391" s="368"/>
      <c r="C1391" s="41">
        <v>10900</v>
      </c>
      <c r="D1391" s="371"/>
      <c r="E1391" s="368"/>
      <c r="F1391" s="368"/>
      <c r="G1391" s="368"/>
      <c r="H1391" s="368"/>
      <c r="I1391" s="368"/>
      <c r="J1391" s="368"/>
      <c r="K1391" s="368"/>
      <c r="L1391" s="368"/>
      <c r="M1391" s="359"/>
      <c r="N1391" s="397"/>
      <c r="O1391" s="368"/>
      <c r="P1391" s="226">
        <v>44066</v>
      </c>
      <c r="Q1391" s="368"/>
    </row>
    <row r="1392" spans="1:20" ht="15" customHeight="1" thickBot="1" x14ac:dyDescent="0.35">
      <c r="A1392" s="369"/>
      <c r="B1392" s="369"/>
      <c r="C1392" s="42">
        <v>12200</v>
      </c>
      <c r="D1392" s="372"/>
      <c r="E1392" s="369"/>
      <c r="F1392" s="369"/>
      <c r="G1392" s="369"/>
      <c r="H1392" s="369"/>
      <c r="I1392" s="369"/>
      <c r="J1392" s="369"/>
      <c r="K1392" s="369"/>
      <c r="L1392" s="369"/>
      <c r="M1392" s="360"/>
      <c r="N1392" s="398"/>
      <c r="O1392" s="369"/>
      <c r="P1392" s="135"/>
      <c r="Q1392" s="369"/>
      <c r="T1392" s="200">
        <v>1</v>
      </c>
    </row>
    <row r="1393" spans="1:20" ht="15" hidden="1" customHeight="1" x14ac:dyDescent="0.3">
      <c r="A1393" s="367">
        <v>325</v>
      </c>
      <c r="B1393" s="367" t="s">
        <v>321</v>
      </c>
      <c r="C1393" s="40">
        <v>-16000</v>
      </c>
      <c r="D1393" s="367">
        <v>1</v>
      </c>
      <c r="E1393" s="367" t="s">
        <v>322</v>
      </c>
      <c r="F1393" s="367">
        <v>1000</v>
      </c>
      <c r="G1393" s="367">
        <v>1000</v>
      </c>
      <c r="H1393" s="367" t="s">
        <v>134</v>
      </c>
      <c r="I1393" s="367">
        <v>300</v>
      </c>
      <c r="J1393" s="370" t="s">
        <v>45</v>
      </c>
      <c r="K1393" s="367">
        <v>100</v>
      </c>
      <c r="L1393" s="367">
        <v>88</v>
      </c>
      <c r="M1393" s="358" t="s">
        <v>14</v>
      </c>
      <c r="N1393" s="396" t="s">
        <v>79</v>
      </c>
      <c r="O1393" s="367" t="s">
        <v>27</v>
      </c>
      <c r="P1393" s="133"/>
      <c r="Q1393" s="367" t="s">
        <v>323</v>
      </c>
    </row>
    <row r="1394" spans="1:20" ht="15" customHeight="1" x14ac:dyDescent="0.3">
      <c r="A1394" s="368"/>
      <c r="B1394" s="368"/>
      <c r="C1394" s="41">
        <v>9700</v>
      </c>
      <c r="D1394" s="368"/>
      <c r="E1394" s="368"/>
      <c r="F1394" s="368"/>
      <c r="G1394" s="368"/>
      <c r="H1394" s="368"/>
      <c r="I1394" s="368"/>
      <c r="J1394" s="371"/>
      <c r="K1394" s="368"/>
      <c r="L1394" s="368"/>
      <c r="M1394" s="359"/>
      <c r="N1394" s="397"/>
      <c r="O1394" s="368"/>
      <c r="P1394" s="226">
        <v>44066</v>
      </c>
      <c r="Q1394" s="368"/>
      <c r="T1394" s="200">
        <v>1</v>
      </c>
    </row>
    <row r="1395" spans="1:20" ht="15" customHeight="1" thickBot="1" x14ac:dyDescent="0.35">
      <c r="A1395" s="369"/>
      <c r="B1395" s="369"/>
      <c r="C1395" s="42">
        <v>10800</v>
      </c>
      <c r="D1395" s="369"/>
      <c r="E1395" s="369"/>
      <c r="F1395" s="369"/>
      <c r="G1395" s="369"/>
      <c r="H1395" s="369"/>
      <c r="I1395" s="369"/>
      <c r="J1395" s="372"/>
      <c r="K1395" s="369"/>
      <c r="L1395" s="369"/>
      <c r="M1395" s="360"/>
      <c r="N1395" s="398"/>
      <c r="O1395" s="369"/>
      <c r="P1395" s="135"/>
      <c r="Q1395" s="369"/>
    </row>
    <row r="1396" spans="1:20" ht="15" hidden="1" customHeight="1" x14ac:dyDescent="0.3">
      <c r="A1396" s="367">
        <v>326</v>
      </c>
      <c r="B1396" s="367" t="s">
        <v>174</v>
      </c>
      <c r="C1396" s="40">
        <v>-3990</v>
      </c>
      <c r="D1396" s="370">
        <v>0</v>
      </c>
      <c r="E1396" s="367" t="s">
        <v>13</v>
      </c>
      <c r="F1396" s="367">
        <v>1000</v>
      </c>
      <c r="G1396" s="367">
        <v>1000</v>
      </c>
      <c r="H1396" s="367" t="s">
        <v>25</v>
      </c>
      <c r="I1396" s="367" t="s">
        <v>13</v>
      </c>
      <c r="J1396" s="367" t="s">
        <v>13</v>
      </c>
      <c r="K1396" s="367" t="s">
        <v>13</v>
      </c>
      <c r="L1396" s="367" t="s">
        <v>13</v>
      </c>
      <c r="M1396" s="358" t="s">
        <v>14</v>
      </c>
      <c r="N1396" s="396" t="s">
        <v>80</v>
      </c>
      <c r="O1396" s="367" t="s">
        <v>27</v>
      </c>
      <c r="P1396" s="133"/>
      <c r="Q1396" s="367" t="s">
        <v>184</v>
      </c>
    </row>
    <row r="1397" spans="1:20" ht="15" customHeight="1" x14ac:dyDescent="0.3">
      <c r="A1397" s="368"/>
      <c r="B1397" s="368"/>
      <c r="C1397" s="41">
        <v>17820</v>
      </c>
      <c r="D1397" s="371"/>
      <c r="E1397" s="368"/>
      <c r="F1397" s="368"/>
      <c r="G1397" s="368"/>
      <c r="H1397" s="368"/>
      <c r="I1397" s="368"/>
      <c r="J1397" s="368"/>
      <c r="K1397" s="368"/>
      <c r="L1397" s="368"/>
      <c r="M1397" s="359"/>
      <c r="N1397" s="397"/>
      <c r="O1397" s="368"/>
      <c r="P1397" s="226">
        <v>44066</v>
      </c>
      <c r="Q1397" s="368"/>
      <c r="T1397" s="200">
        <v>1</v>
      </c>
    </row>
    <row r="1398" spans="1:20" ht="15" customHeight="1" thickBot="1" x14ac:dyDescent="0.35">
      <c r="A1398" s="369"/>
      <c r="B1398" s="369"/>
      <c r="C1398" s="42">
        <v>13000</v>
      </c>
      <c r="D1398" s="372"/>
      <c r="E1398" s="369"/>
      <c r="F1398" s="369"/>
      <c r="G1398" s="369"/>
      <c r="H1398" s="369"/>
      <c r="I1398" s="369"/>
      <c r="J1398" s="369"/>
      <c r="K1398" s="369"/>
      <c r="L1398" s="369"/>
      <c r="M1398" s="360"/>
      <c r="N1398" s="398"/>
      <c r="O1398" s="369"/>
      <c r="P1398" s="135"/>
      <c r="Q1398" s="369"/>
    </row>
    <row r="1399" spans="1:20" ht="15" hidden="1" customHeight="1" x14ac:dyDescent="0.3">
      <c r="A1399" s="367">
        <v>327</v>
      </c>
      <c r="B1399" s="367" t="s">
        <v>174</v>
      </c>
      <c r="C1399" s="40">
        <v>-3990</v>
      </c>
      <c r="D1399" s="370">
        <v>0</v>
      </c>
      <c r="E1399" s="367" t="s">
        <v>13</v>
      </c>
      <c r="F1399" s="367">
        <v>1000</v>
      </c>
      <c r="G1399" s="367">
        <v>1000</v>
      </c>
      <c r="H1399" s="367" t="s">
        <v>25</v>
      </c>
      <c r="I1399" s="367" t="s">
        <v>13</v>
      </c>
      <c r="J1399" s="367" t="s">
        <v>13</v>
      </c>
      <c r="K1399" s="367" t="s">
        <v>13</v>
      </c>
      <c r="L1399" s="367" t="s">
        <v>13</v>
      </c>
      <c r="M1399" s="358" t="s">
        <v>14</v>
      </c>
      <c r="N1399" s="396" t="s">
        <v>80</v>
      </c>
      <c r="O1399" s="367" t="s">
        <v>27</v>
      </c>
      <c r="P1399" s="133"/>
      <c r="Q1399" s="367" t="s">
        <v>184</v>
      </c>
    </row>
    <row r="1400" spans="1:20" ht="15" customHeight="1" x14ac:dyDescent="0.3">
      <c r="A1400" s="368"/>
      <c r="B1400" s="368"/>
      <c r="C1400" s="41">
        <v>17820</v>
      </c>
      <c r="D1400" s="371"/>
      <c r="E1400" s="368"/>
      <c r="F1400" s="368"/>
      <c r="G1400" s="368"/>
      <c r="H1400" s="368"/>
      <c r="I1400" s="368"/>
      <c r="J1400" s="368"/>
      <c r="K1400" s="368"/>
      <c r="L1400" s="368"/>
      <c r="M1400" s="359"/>
      <c r="N1400" s="397"/>
      <c r="O1400" s="368"/>
      <c r="P1400" s="134"/>
      <c r="Q1400" s="368"/>
      <c r="T1400" s="200">
        <v>1</v>
      </c>
    </row>
    <row r="1401" spans="1:20" ht="15" customHeight="1" thickBot="1" x14ac:dyDescent="0.35">
      <c r="A1401" s="369"/>
      <c r="B1401" s="369"/>
      <c r="C1401" s="42">
        <v>12500</v>
      </c>
      <c r="D1401" s="372"/>
      <c r="E1401" s="369"/>
      <c r="F1401" s="369"/>
      <c r="G1401" s="369"/>
      <c r="H1401" s="369"/>
      <c r="I1401" s="369"/>
      <c r="J1401" s="369"/>
      <c r="K1401" s="369"/>
      <c r="L1401" s="369"/>
      <c r="M1401" s="360"/>
      <c r="N1401" s="398"/>
      <c r="O1401" s="369"/>
      <c r="P1401" s="227">
        <v>44066</v>
      </c>
      <c r="Q1401" s="369"/>
    </row>
    <row r="1402" spans="1:20" ht="15" hidden="1" customHeight="1" x14ac:dyDescent="0.3">
      <c r="A1402" s="367">
        <v>328</v>
      </c>
      <c r="B1402" s="367" t="s">
        <v>174</v>
      </c>
      <c r="C1402" s="40">
        <v>-3990</v>
      </c>
      <c r="D1402" s="370">
        <v>0</v>
      </c>
      <c r="E1402" s="367"/>
      <c r="F1402" s="367">
        <v>1000</v>
      </c>
      <c r="G1402" s="367">
        <v>1000</v>
      </c>
      <c r="H1402" s="367" t="s">
        <v>25</v>
      </c>
      <c r="I1402" s="367"/>
      <c r="J1402" s="367" t="s">
        <v>13</v>
      </c>
      <c r="K1402" s="367"/>
      <c r="L1402" s="367"/>
      <c r="M1402" s="358" t="s">
        <v>14</v>
      </c>
      <c r="N1402" s="396" t="s">
        <v>80</v>
      </c>
      <c r="O1402" s="367" t="s">
        <v>27</v>
      </c>
      <c r="P1402" s="133"/>
      <c r="Q1402" s="367" t="s">
        <v>184</v>
      </c>
    </row>
    <row r="1403" spans="1:20" ht="15" customHeight="1" x14ac:dyDescent="0.3">
      <c r="A1403" s="368"/>
      <c r="B1403" s="368"/>
      <c r="C1403" s="41">
        <v>20220</v>
      </c>
      <c r="D1403" s="371"/>
      <c r="E1403" s="368"/>
      <c r="F1403" s="368"/>
      <c r="G1403" s="368"/>
      <c r="H1403" s="368"/>
      <c r="I1403" s="368"/>
      <c r="J1403" s="368"/>
      <c r="K1403" s="368"/>
      <c r="L1403" s="368"/>
      <c r="M1403" s="359"/>
      <c r="N1403" s="397"/>
      <c r="O1403" s="368"/>
      <c r="P1403" s="226">
        <v>44066</v>
      </c>
      <c r="Q1403" s="368"/>
      <c r="T1403" s="200">
        <v>1</v>
      </c>
    </row>
    <row r="1404" spans="1:20" ht="15" customHeight="1" thickBot="1" x14ac:dyDescent="0.35">
      <c r="A1404" s="369"/>
      <c r="B1404" s="369"/>
      <c r="C1404" s="42">
        <v>12500</v>
      </c>
      <c r="D1404" s="372"/>
      <c r="E1404" s="369"/>
      <c r="F1404" s="369"/>
      <c r="G1404" s="369"/>
      <c r="H1404" s="369"/>
      <c r="I1404" s="369"/>
      <c r="J1404" s="369"/>
      <c r="K1404" s="369"/>
      <c r="L1404" s="369"/>
      <c r="M1404" s="360"/>
      <c r="N1404" s="398"/>
      <c r="O1404" s="369"/>
      <c r="P1404" s="135"/>
      <c r="Q1404" s="369"/>
    </row>
    <row r="1405" spans="1:20" ht="15" hidden="1" customHeight="1" x14ac:dyDescent="0.3">
      <c r="A1405" s="367">
        <v>329</v>
      </c>
      <c r="B1405" s="367" t="s">
        <v>174</v>
      </c>
      <c r="C1405" s="40">
        <v>-3990</v>
      </c>
      <c r="D1405" s="370">
        <v>0</v>
      </c>
      <c r="E1405" s="367"/>
      <c r="F1405" s="367">
        <v>1000</v>
      </c>
      <c r="G1405" s="367">
        <v>1000</v>
      </c>
      <c r="H1405" s="367" t="s">
        <v>25</v>
      </c>
      <c r="I1405" s="367"/>
      <c r="J1405" s="367" t="s">
        <v>13</v>
      </c>
      <c r="K1405" s="367"/>
      <c r="L1405" s="367"/>
      <c r="M1405" s="358" t="s">
        <v>14</v>
      </c>
      <c r="N1405" s="396" t="s">
        <v>80</v>
      </c>
      <c r="O1405" s="367" t="s">
        <v>27</v>
      </c>
      <c r="P1405" s="133"/>
      <c r="Q1405" s="367" t="s">
        <v>184</v>
      </c>
    </row>
    <row r="1406" spans="1:20" ht="15" customHeight="1" x14ac:dyDescent="0.3">
      <c r="A1406" s="368"/>
      <c r="B1406" s="368"/>
      <c r="C1406" s="41">
        <v>14350</v>
      </c>
      <c r="D1406" s="371"/>
      <c r="E1406" s="368"/>
      <c r="F1406" s="368"/>
      <c r="G1406" s="368"/>
      <c r="H1406" s="368"/>
      <c r="I1406" s="368"/>
      <c r="J1406" s="368"/>
      <c r="K1406" s="368"/>
      <c r="L1406" s="368"/>
      <c r="M1406" s="359"/>
      <c r="N1406" s="397"/>
      <c r="O1406" s="368"/>
      <c r="P1406" s="226">
        <v>44066</v>
      </c>
      <c r="Q1406" s="368"/>
      <c r="T1406" s="200">
        <v>1</v>
      </c>
    </row>
    <row r="1407" spans="1:20" ht="15" customHeight="1" thickBot="1" x14ac:dyDescent="0.35">
      <c r="A1407" s="369"/>
      <c r="B1407" s="369"/>
      <c r="C1407" s="42">
        <v>13000</v>
      </c>
      <c r="D1407" s="372"/>
      <c r="E1407" s="369"/>
      <c r="F1407" s="369"/>
      <c r="G1407" s="369"/>
      <c r="H1407" s="369"/>
      <c r="I1407" s="369"/>
      <c r="J1407" s="369"/>
      <c r="K1407" s="369"/>
      <c r="L1407" s="369"/>
      <c r="M1407" s="360"/>
      <c r="N1407" s="398"/>
      <c r="O1407" s="369"/>
      <c r="P1407" s="135"/>
      <c r="Q1407" s="369"/>
    </row>
    <row r="1408" spans="1:20" ht="15" hidden="1" customHeight="1" x14ac:dyDescent="0.3">
      <c r="A1408" s="367">
        <v>330</v>
      </c>
      <c r="B1408" s="367" t="s">
        <v>174</v>
      </c>
      <c r="C1408" s="40">
        <v>-3990</v>
      </c>
      <c r="D1408" s="370">
        <v>0</v>
      </c>
      <c r="E1408" s="367" t="s">
        <v>13</v>
      </c>
      <c r="F1408" s="367">
        <v>1000</v>
      </c>
      <c r="G1408" s="367">
        <v>1000</v>
      </c>
      <c r="H1408" s="367" t="s">
        <v>25</v>
      </c>
      <c r="I1408" s="367" t="s">
        <v>13</v>
      </c>
      <c r="J1408" s="367" t="s">
        <v>13</v>
      </c>
      <c r="K1408" s="367" t="s">
        <v>13</v>
      </c>
      <c r="L1408" s="367" t="s">
        <v>13</v>
      </c>
      <c r="M1408" s="358" t="s">
        <v>14</v>
      </c>
      <c r="N1408" s="396" t="s">
        <v>80</v>
      </c>
      <c r="O1408" s="367" t="s">
        <v>27</v>
      </c>
      <c r="P1408" s="133"/>
      <c r="Q1408" s="367" t="s">
        <v>184</v>
      </c>
    </row>
    <row r="1409" spans="1:20" ht="15" customHeight="1" x14ac:dyDescent="0.3">
      <c r="A1409" s="368"/>
      <c r="B1409" s="368"/>
      <c r="C1409" s="41">
        <v>14350</v>
      </c>
      <c r="D1409" s="371"/>
      <c r="E1409" s="368"/>
      <c r="F1409" s="368"/>
      <c r="G1409" s="368"/>
      <c r="H1409" s="368"/>
      <c r="I1409" s="368"/>
      <c r="J1409" s="368"/>
      <c r="K1409" s="368"/>
      <c r="L1409" s="368"/>
      <c r="M1409" s="359"/>
      <c r="N1409" s="397"/>
      <c r="O1409" s="368"/>
      <c r="P1409" s="226">
        <v>44066</v>
      </c>
      <c r="Q1409" s="368"/>
    </row>
    <row r="1410" spans="1:20" ht="15" customHeight="1" thickBot="1" x14ac:dyDescent="0.35">
      <c r="A1410" s="369"/>
      <c r="B1410" s="369"/>
      <c r="C1410" s="42">
        <v>12600</v>
      </c>
      <c r="D1410" s="372"/>
      <c r="E1410" s="369"/>
      <c r="F1410" s="369"/>
      <c r="G1410" s="369"/>
      <c r="H1410" s="369"/>
      <c r="I1410" s="369"/>
      <c r="J1410" s="369"/>
      <c r="K1410" s="369"/>
      <c r="L1410" s="369"/>
      <c r="M1410" s="360"/>
      <c r="N1410" s="398"/>
      <c r="O1410" s="369"/>
      <c r="P1410" s="135"/>
      <c r="Q1410" s="369"/>
      <c r="T1410" s="200">
        <v>1</v>
      </c>
    </row>
    <row r="1411" spans="1:20" ht="15" hidden="1" customHeight="1" x14ac:dyDescent="0.3">
      <c r="A1411" s="367">
        <v>331</v>
      </c>
      <c r="B1411" s="367" t="s">
        <v>174</v>
      </c>
      <c r="C1411" s="40">
        <v>-3990</v>
      </c>
      <c r="D1411" s="370">
        <v>0</v>
      </c>
      <c r="E1411" s="367" t="s">
        <v>13</v>
      </c>
      <c r="F1411" s="367">
        <v>1000</v>
      </c>
      <c r="G1411" s="367">
        <v>1000</v>
      </c>
      <c r="H1411" s="367" t="s">
        <v>50</v>
      </c>
      <c r="I1411" s="367" t="s">
        <v>13</v>
      </c>
      <c r="J1411" s="367" t="s">
        <v>13</v>
      </c>
      <c r="K1411" s="367" t="s">
        <v>13</v>
      </c>
      <c r="L1411" s="367" t="s">
        <v>13</v>
      </c>
      <c r="M1411" s="358" t="s">
        <v>14</v>
      </c>
      <c r="N1411" s="396" t="s">
        <v>80</v>
      </c>
      <c r="O1411" s="367" t="s">
        <v>27</v>
      </c>
      <c r="P1411" s="133"/>
      <c r="Q1411" s="367" t="s">
        <v>184</v>
      </c>
    </row>
    <row r="1412" spans="1:20" ht="15" customHeight="1" x14ac:dyDescent="0.3">
      <c r="A1412" s="368"/>
      <c r="B1412" s="368"/>
      <c r="C1412" s="41">
        <v>19120</v>
      </c>
      <c r="D1412" s="371"/>
      <c r="E1412" s="368"/>
      <c r="F1412" s="368"/>
      <c r="G1412" s="368"/>
      <c r="H1412" s="368"/>
      <c r="I1412" s="368"/>
      <c r="J1412" s="368"/>
      <c r="K1412" s="368"/>
      <c r="L1412" s="368"/>
      <c r="M1412" s="359"/>
      <c r="N1412" s="397"/>
      <c r="O1412" s="368"/>
      <c r="P1412" s="134"/>
      <c r="Q1412" s="368"/>
    </row>
    <row r="1413" spans="1:20" ht="15" customHeight="1" thickBot="1" x14ac:dyDescent="0.35">
      <c r="A1413" s="369"/>
      <c r="B1413" s="369"/>
      <c r="C1413" s="42">
        <v>13000</v>
      </c>
      <c r="D1413" s="372"/>
      <c r="E1413" s="369"/>
      <c r="F1413" s="369"/>
      <c r="G1413" s="369"/>
      <c r="H1413" s="369"/>
      <c r="I1413" s="369"/>
      <c r="J1413" s="369"/>
      <c r="K1413" s="369"/>
      <c r="L1413" s="369"/>
      <c r="M1413" s="360"/>
      <c r="N1413" s="398"/>
      <c r="O1413" s="369"/>
      <c r="P1413" s="227">
        <v>44066</v>
      </c>
      <c r="Q1413" s="369"/>
      <c r="T1413" s="200">
        <v>1</v>
      </c>
    </row>
    <row r="1414" spans="1:20" ht="15" hidden="1" customHeight="1" x14ac:dyDescent="0.3">
      <c r="A1414" s="367">
        <v>332</v>
      </c>
      <c r="B1414" s="367" t="s">
        <v>174</v>
      </c>
      <c r="C1414" s="40">
        <v>-3990</v>
      </c>
      <c r="D1414" s="370">
        <v>0</v>
      </c>
      <c r="E1414" s="367" t="s">
        <v>13</v>
      </c>
      <c r="F1414" s="367">
        <v>1000</v>
      </c>
      <c r="G1414" s="367">
        <v>1000</v>
      </c>
      <c r="H1414" s="367" t="s">
        <v>50</v>
      </c>
      <c r="I1414" s="367" t="s">
        <v>13</v>
      </c>
      <c r="J1414" s="367" t="s">
        <v>13</v>
      </c>
      <c r="K1414" s="367" t="s">
        <v>13</v>
      </c>
      <c r="L1414" s="367" t="s">
        <v>13</v>
      </c>
      <c r="M1414" s="358" t="s">
        <v>14</v>
      </c>
      <c r="N1414" s="396" t="s">
        <v>80</v>
      </c>
      <c r="O1414" s="367" t="s">
        <v>27</v>
      </c>
      <c r="P1414" s="133"/>
      <c r="Q1414" s="367" t="s">
        <v>184</v>
      </c>
    </row>
    <row r="1415" spans="1:20" ht="15" customHeight="1" x14ac:dyDescent="0.3">
      <c r="A1415" s="368"/>
      <c r="B1415" s="368"/>
      <c r="C1415" s="41">
        <v>19120</v>
      </c>
      <c r="D1415" s="371"/>
      <c r="E1415" s="368"/>
      <c r="F1415" s="368"/>
      <c r="G1415" s="368"/>
      <c r="H1415" s="368"/>
      <c r="I1415" s="368"/>
      <c r="J1415" s="368"/>
      <c r="K1415" s="368"/>
      <c r="L1415" s="368"/>
      <c r="M1415" s="359"/>
      <c r="N1415" s="397"/>
      <c r="O1415" s="368"/>
      <c r="P1415" s="134"/>
      <c r="Q1415" s="368"/>
      <c r="T1415" s="200">
        <v>1</v>
      </c>
    </row>
    <row r="1416" spans="1:20" ht="15" customHeight="1" thickBot="1" x14ac:dyDescent="0.35">
      <c r="A1416" s="369"/>
      <c r="B1416" s="369"/>
      <c r="C1416" s="42">
        <v>12500</v>
      </c>
      <c r="D1416" s="372"/>
      <c r="E1416" s="369"/>
      <c r="F1416" s="369"/>
      <c r="G1416" s="369"/>
      <c r="H1416" s="369"/>
      <c r="I1416" s="369"/>
      <c r="J1416" s="369"/>
      <c r="K1416" s="369"/>
      <c r="L1416" s="369"/>
      <c r="M1416" s="360"/>
      <c r="N1416" s="398"/>
      <c r="O1416" s="369"/>
      <c r="P1416" s="227">
        <v>44066</v>
      </c>
      <c r="Q1416" s="369"/>
    </row>
    <row r="1417" spans="1:20" ht="15" hidden="1" customHeight="1" x14ac:dyDescent="0.3">
      <c r="A1417" s="367">
        <v>333</v>
      </c>
      <c r="B1417" s="367" t="s">
        <v>174</v>
      </c>
      <c r="C1417" s="40">
        <v>-1900</v>
      </c>
      <c r="D1417" s="370">
        <v>0</v>
      </c>
      <c r="E1417" s="367" t="s">
        <v>13</v>
      </c>
      <c r="F1417" s="367">
        <v>2000</v>
      </c>
      <c r="G1417" s="367">
        <v>2000</v>
      </c>
      <c r="H1417" s="367" t="s">
        <v>25</v>
      </c>
      <c r="I1417" s="367" t="s">
        <v>13</v>
      </c>
      <c r="J1417" s="367" t="s">
        <v>13</v>
      </c>
      <c r="K1417" s="367" t="s">
        <v>13</v>
      </c>
      <c r="L1417" s="367" t="s">
        <v>13</v>
      </c>
      <c r="M1417" s="358" t="s">
        <v>14</v>
      </c>
      <c r="N1417" s="396" t="s">
        <v>80</v>
      </c>
      <c r="O1417" s="367" t="s">
        <v>27</v>
      </c>
      <c r="P1417" s="133"/>
      <c r="Q1417" s="367" t="s">
        <v>184</v>
      </c>
    </row>
    <row r="1418" spans="1:20" ht="15" customHeight="1" x14ac:dyDescent="0.3">
      <c r="A1418" s="368"/>
      <c r="B1418" s="368"/>
      <c r="C1418" s="41">
        <v>12000</v>
      </c>
      <c r="D1418" s="371"/>
      <c r="E1418" s="368"/>
      <c r="F1418" s="368"/>
      <c r="G1418" s="368"/>
      <c r="H1418" s="368"/>
      <c r="I1418" s="368"/>
      <c r="J1418" s="368"/>
      <c r="K1418" s="368"/>
      <c r="L1418" s="368"/>
      <c r="M1418" s="359"/>
      <c r="N1418" s="397"/>
      <c r="O1418" s="368"/>
      <c r="P1418" s="226">
        <v>44066</v>
      </c>
      <c r="Q1418" s="368"/>
      <c r="T1418" s="200">
        <v>1</v>
      </c>
    </row>
    <row r="1419" spans="1:20" ht="15" customHeight="1" thickBot="1" x14ac:dyDescent="0.35">
      <c r="A1419" s="369"/>
      <c r="B1419" s="369"/>
      <c r="C1419" s="42">
        <v>13450</v>
      </c>
      <c r="D1419" s="372"/>
      <c r="E1419" s="369"/>
      <c r="F1419" s="369"/>
      <c r="G1419" s="369"/>
      <c r="H1419" s="369"/>
      <c r="I1419" s="369"/>
      <c r="J1419" s="369"/>
      <c r="K1419" s="369"/>
      <c r="L1419" s="369"/>
      <c r="M1419" s="360"/>
      <c r="N1419" s="398"/>
      <c r="O1419" s="369"/>
      <c r="P1419" s="135"/>
      <c r="Q1419" s="369"/>
    </row>
    <row r="1420" spans="1:20" ht="15" hidden="1" customHeight="1" x14ac:dyDescent="0.3">
      <c r="A1420" s="373">
        <v>334</v>
      </c>
      <c r="B1420" s="373" t="s">
        <v>324</v>
      </c>
      <c r="C1420" s="49">
        <v>3057</v>
      </c>
      <c r="D1420" s="373">
        <v>1</v>
      </c>
      <c r="E1420" s="373" t="s">
        <v>245</v>
      </c>
      <c r="F1420" s="373">
        <v>1000</v>
      </c>
      <c r="G1420" s="373">
        <v>1000</v>
      </c>
      <c r="H1420" s="373" t="s">
        <v>44</v>
      </c>
      <c r="I1420" s="373">
        <v>300</v>
      </c>
      <c r="J1420" s="376" t="s">
        <v>45</v>
      </c>
      <c r="K1420" s="373">
        <v>90</v>
      </c>
      <c r="L1420" s="373">
        <v>20</v>
      </c>
      <c r="M1420" s="379" t="s">
        <v>14</v>
      </c>
      <c r="N1420" s="408" t="s">
        <v>234</v>
      </c>
      <c r="O1420" s="373" t="s">
        <v>27</v>
      </c>
      <c r="P1420" s="83"/>
      <c r="Q1420" s="373" t="s">
        <v>325</v>
      </c>
      <c r="R1420" s="453">
        <v>44039</v>
      </c>
      <c r="T1420" s="288">
        <v>1</v>
      </c>
    </row>
    <row r="1421" spans="1:20" ht="15" customHeight="1" x14ac:dyDescent="0.3">
      <c r="A1421" s="374"/>
      <c r="B1421" s="374"/>
      <c r="C1421" s="51">
        <v>17950</v>
      </c>
      <c r="D1421" s="374"/>
      <c r="E1421" s="374"/>
      <c r="F1421" s="374"/>
      <c r="G1421" s="374"/>
      <c r="H1421" s="374"/>
      <c r="I1421" s="374"/>
      <c r="J1421" s="377"/>
      <c r="K1421" s="374"/>
      <c r="L1421" s="374"/>
      <c r="M1421" s="380"/>
      <c r="N1421" s="409"/>
      <c r="O1421" s="374"/>
      <c r="P1421" s="84"/>
      <c r="Q1421" s="374"/>
      <c r="R1421" s="454"/>
    </row>
    <row r="1422" spans="1:20" ht="15" customHeight="1" thickBot="1" x14ac:dyDescent="0.35">
      <c r="A1422" s="375"/>
      <c r="B1422" s="375"/>
      <c r="C1422" s="50">
        <v>10225</v>
      </c>
      <c r="D1422" s="375"/>
      <c r="E1422" s="375"/>
      <c r="F1422" s="375"/>
      <c r="G1422" s="375"/>
      <c r="H1422" s="375"/>
      <c r="I1422" s="375"/>
      <c r="J1422" s="378"/>
      <c r="K1422" s="375"/>
      <c r="L1422" s="375"/>
      <c r="M1422" s="381"/>
      <c r="N1422" s="410"/>
      <c r="O1422" s="375"/>
      <c r="P1422" s="85"/>
      <c r="Q1422" s="375"/>
      <c r="R1422" s="454"/>
    </row>
    <row r="1423" spans="1:20" ht="15" hidden="1" customHeight="1" x14ac:dyDescent="0.3">
      <c r="A1423" s="373">
        <v>335</v>
      </c>
      <c r="B1423" s="373" t="s">
        <v>324</v>
      </c>
      <c r="C1423" s="49">
        <v>3057</v>
      </c>
      <c r="D1423" s="373">
        <v>1</v>
      </c>
      <c r="E1423" s="373" t="s">
        <v>245</v>
      </c>
      <c r="F1423" s="373">
        <v>1000</v>
      </c>
      <c r="G1423" s="373">
        <v>1000</v>
      </c>
      <c r="H1423" s="373" t="s">
        <v>44</v>
      </c>
      <c r="I1423" s="373">
        <v>300</v>
      </c>
      <c r="J1423" s="376" t="s">
        <v>45</v>
      </c>
      <c r="K1423" s="373">
        <v>90</v>
      </c>
      <c r="L1423" s="373">
        <v>20</v>
      </c>
      <c r="M1423" s="379" t="s">
        <v>14</v>
      </c>
      <c r="N1423" s="408" t="s">
        <v>234</v>
      </c>
      <c r="O1423" s="373" t="s">
        <v>27</v>
      </c>
      <c r="P1423" s="83"/>
      <c r="Q1423" s="373" t="s">
        <v>325</v>
      </c>
      <c r="R1423" s="454"/>
      <c r="T1423" s="288">
        <v>1</v>
      </c>
    </row>
    <row r="1424" spans="1:20" ht="15" customHeight="1" x14ac:dyDescent="0.3">
      <c r="A1424" s="374"/>
      <c r="B1424" s="374"/>
      <c r="C1424" s="51">
        <v>17950</v>
      </c>
      <c r="D1424" s="374"/>
      <c r="E1424" s="374"/>
      <c r="F1424" s="374"/>
      <c r="G1424" s="374"/>
      <c r="H1424" s="374"/>
      <c r="I1424" s="374"/>
      <c r="J1424" s="377"/>
      <c r="K1424" s="374"/>
      <c r="L1424" s="374"/>
      <c r="M1424" s="380"/>
      <c r="N1424" s="409"/>
      <c r="O1424" s="374"/>
      <c r="P1424" s="84"/>
      <c r="Q1424" s="374"/>
      <c r="R1424" s="454"/>
    </row>
    <row r="1425" spans="1:20" ht="15" customHeight="1" thickBot="1" x14ac:dyDescent="0.35">
      <c r="A1425" s="375"/>
      <c r="B1425" s="375"/>
      <c r="C1425" s="50">
        <v>10975</v>
      </c>
      <c r="D1425" s="375"/>
      <c r="E1425" s="375"/>
      <c r="F1425" s="375"/>
      <c r="G1425" s="375"/>
      <c r="H1425" s="375"/>
      <c r="I1425" s="375"/>
      <c r="J1425" s="378"/>
      <c r="K1425" s="375"/>
      <c r="L1425" s="375"/>
      <c r="M1425" s="381"/>
      <c r="N1425" s="410"/>
      <c r="O1425" s="375"/>
      <c r="P1425" s="85"/>
      <c r="Q1425" s="375"/>
      <c r="R1425" s="454"/>
    </row>
    <row r="1426" spans="1:20" ht="15" hidden="1" customHeight="1" x14ac:dyDescent="0.3">
      <c r="A1426" s="373">
        <v>336</v>
      </c>
      <c r="B1426" s="373" t="s">
        <v>324</v>
      </c>
      <c r="C1426" s="49">
        <v>3057</v>
      </c>
      <c r="D1426" s="373">
        <v>1</v>
      </c>
      <c r="E1426" s="373" t="s">
        <v>245</v>
      </c>
      <c r="F1426" s="373">
        <v>1000</v>
      </c>
      <c r="G1426" s="373">
        <v>1000</v>
      </c>
      <c r="H1426" s="373" t="s">
        <v>44</v>
      </c>
      <c r="I1426" s="373">
        <v>300</v>
      </c>
      <c r="J1426" s="376" t="s">
        <v>45</v>
      </c>
      <c r="K1426" s="373">
        <v>90</v>
      </c>
      <c r="L1426" s="373">
        <v>20</v>
      </c>
      <c r="M1426" s="379" t="s">
        <v>14</v>
      </c>
      <c r="N1426" s="408" t="s">
        <v>234</v>
      </c>
      <c r="O1426" s="373" t="s">
        <v>27</v>
      </c>
      <c r="P1426" s="83"/>
      <c r="Q1426" s="373" t="s">
        <v>325</v>
      </c>
      <c r="R1426" s="454"/>
      <c r="T1426" s="288">
        <v>1</v>
      </c>
    </row>
    <row r="1427" spans="1:20" ht="15" customHeight="1" x14ac:dyDescent="0.3">
      <c r="A1427" s="374"/>
      <c r="B1427" s="374"/>
      <c r="C1427" s="51">
        <v>17950</v>
      </c>
      <c r="D1427" s="374"/>
      <c r="E1427" s="374"/>
      <c r="F1427" s="374"/>
      <c r="G1427" s="374"/>
      <c r="H1427" s="374"/>
      <c r="I1427" s="374"/>
      <c r="J1427" s="377"/>
      <c r="K1427" s="374"/>
      <c r="L1427" s="374"/>
      <c r="M1427" s="380"/>
      <c r="N1427" s="409"/>
      <c r="O1427" s="374"/>
      <c r="P1427" s="84"/>
      <c r="Q1427" s="374"/>
      <c r="R1427" s="454"/>
    </row>
    <row r="1428" spans="1:20" ht="15" customHeight="1" thickBot="1" x14ac:dyDescent="0.35">
      <c r="A1428" s="375"/>
      <c r="B1428" s="375"/>
      <c r="C1428" s="50">
        <v>12075</v>
      </c>
      <c r="D1428" s="375"/>
      <c r="E1428" s="375"/>
      <c r="F1428" s="375"/>
      <c r="G1428" s="375"/>
      <c r="H1428" s="375"/>
      <c r="I1428" s="375"/>
      <c r="J1428" s="378"/>
      <c r="K1428" s="375"/>
      <c r="L1428" s="375"/>
      <c r="M1428" s="381"/>
      <c r="N1428" s="410"/>
      <c r="O1428" s="375"/>
      <c r="P1428" s="85"/>
      <c r="Q1428" s="375"/>
      <c r="R1428" s="454"/>
    </row>
    <row r="1429" spans="1:20" ht="15" hidden="1" customHeight="1" x14ac:dyDescent="0.3">
      <c r="A1429" s="370">
        <v>337</v>
      </c>
      <c r="B1429" s="370" t="s">
        <v>174</v>
      </c>
      <c r="C1429" s="37">
        <v>2512</v>
      </c>
      <c r="D1429" s="370">
        <v>0</v>
      </c>
      <c r="E1429" s="370" t="s">
        <v>13</v>
      </c>
      <c r="F1429" s="367">
        <v>1000</v>
      </c>
      <c r="G1429" s="367">
        <v>1000</v>
      </c>
      <c r="H1429" s="370" t="s">
        <v>187</v>
      </c>
      <c r="I1429" s="370" t="s">
        <v>13</v>
      </c>
      <c r="J1429" s="370" t="s">
        <v>13</v>
      </c>
      <c r="K1429" s="370" t="s">
        <v>13</v>
      </c>
      <c r="L1429" s="370" t="s">
        <v>13</v>
      </c>
      <c r="M1429" s="358" t="s">
        <v>14</v>
      </c>
      <c r="N1429" s="399" t="s">
        <v>234</v>
      </c>
      <c r="O1429" s="367" t="s">
        <v>27</v>
      </c>
      <c r="P1429" s="201"/>
      <c r="Q1429" s="367" t="s">
        <v>188</v>
      </c>
      <c r="R1429" s="186">
        <v>44066</v>
      </c>
    </row>
    <row r="1430" spans="1:20" ht="15" customHeight="1" x14ac:dyDescent="0.3">
      <c r="A1430" s="371"/>
      <c r="B1430" s="371"/>
      <c r="C1430" s="38">
        <v>18728</v>
      </c>
      <c r="D1430" s="371"/>
      <c r="E1430" s="371"/>
      <c r="F1430" s="368"/>
      <c r="G1430" s="368"/>
      <c r="H1430" s="371"/>
      <c r="I1430" s="371"/>
      <c r="J1430" s="371"/>
      <c r="K1430" s="371"/>
      <c r="L1430" s="371"/>
      <c r="M1430" s="359"/>
      <c r="N1430" s="400"/>
      <c r="O1430" s="368"/>
      <c r="P1430" s="202"/>
      <c r="Q1430" s="368"/>
      <c r="T1430" s="200">
        <v>1</v>
      </c>
    </row>
    <row r="1431" spans="1:20" ht="15" customHeight="1" thickBot="1" x14ac:dyDescent="0.35">
      <c r="A1431" s="372"/>
      <c r="B1431" s="372"/>
      <c r="C1431" s="39">
        <v>12450</v>
      </c>
      <c r="D1431" s="372"/>
      <c r="E1431" s="372"/>
      <c r="F1431" s="369"/>
      <c r="G1431" s="369"/>
      <c r="H1431" s="372"/>
      <c r="I1431" s="372"/>
      <c r="J1431" s="372"/>
      <c r="K1431" s="372"/>
      <c r="L1431" s="372"/>
      <c r="M1431" s="360"/>
      <c r="N1431" s="401"/>
      <c r="O1431" s="369"/>
      <c r="P1431" s="227">
        <v>44066</v>
      </c>
      <c r="Q1431" s="369"/>
    </row>
    <row r="1432" spans="1:20" ht="15" hidden="1" customHeight="1" x14ac:dyDescent="0.3">
      <c r="A1432" s="367">
        <v>338</v>
      </c>
      <c r="B1432" s="367" t="s">
        <v>324</v>
      </c>
      <c r="C1432" s="40">
        <v>1282</v>
      </c>
      <c r="D1432" s="367">
        <v>1</v>
      </c>
      <c r="E1432" s="367" t="s">
        <v>245</v>
      </c>
      <c r="F1432" s="367">
        <v>1000</v>
      </c>
      <c r="G1432" s="367">
        <v>1000</v>
      </c>
      <c r="H1432" s="367" t="s">
        <v>44</v>
      </c>
      <c r="I1432" s="367">
        <v>300</v>
      </c>
      <c r="J1432" s="370" t="s">
        <v>45</v>
      </c>
      <c r="K1432" s="367">
        <v>90</v>
      </c>
      <c r="L1432" s="367">
        <v>20</v>
      </c>
      <c r="M1432" s="358" t="s">
        <v>14</v>
      </c>
      <c r="N1432" s="396" t="s">
        <v>234</v>
      </c>
      <c r="O1432" s="367" t="s">
        <v>27</v>
      </c>
      <c r="P1432" s="201"/>
      <c r="Q1432" s="367" t="s">
        <v>325</v>
      </c>
      <c r="R1432" s="186">
        <v>44066</v>
      </c>
    </row>
    <row r="1433" spans="1:20" ht="15" customHeight="1" x14ac:dyDescent="0.3">
      <c r="A1433" s="368"/>
      <c r="B1433" s="368"/>
      <c r="C1433" s="41">
        <v>20485</v>
      </c>
      <c r="D1433" s="368"/>
      <c r="E1433" s="368"/>
      <c r="F1433" s="368"/>
      <c r="G1433" s="368"/>
      <c r="H1433" s="368"/>
      <c r="I1433" s="368"/>
      <c r="J1433" s="371"/>
      <c r="K1433" s="368"/>
      <c r="L1433" s="368"/>
      <c r="M1433" s="359"/>
      <c r="N1433" s="397"/>
      <c r="O1433" s="368"/>
      <c r="P1433" s="226">
        <v>44066</v>
      </c>
      <c r="Q1433" s="368"/>
      <c r="T1433" s="200">
        <v>1</v>
      </c>
    </row>
    <row r="1434" spans="1:20" ht="15" customHeight="1" thickBot="1" x14ac:dyDescent="0.35">
      <c r="A1434" s="369"/>
      <c r="B1434" s="369"/>
      <c r="C1434" s="42">
        <v>10225</v>
      </c>
      <c r="D1434" s="369"/>
      <c r="E1434" s="369"/>
      <c r="F1434" s="369"/>
      <c r="G1434" s="369"/>
      <c r="H1434" s="369"/>
      <c r="I1434" s="369"/>
      <c r="J1434" s="372"/>
      <c r="K1434" s="369"/>
      <c r="L1434" s="369"/>
      <c r="M1434" s="360"/>
      <c r="N1434" s="398"/>
      <c r="O1434" s="369"/>
      <c r="P1434" s="203"/>
      <c r="Q1434" s="369"/>
    </row>
    <row r="1435" spans="1:20" ht="15" hidden="1" customHeight="1" x14ac:dyDescent="0.3">
      <c r="A1435" s="367">
        <v>339</v>
      </c>
      <c r="B1435" s="367" t="s">
        <v>324</v>
      </c>
      <c r="C1435" s="40">
        <v>1282</v>
      </c>
      <c r="D1435" s="367">
        <v>1</v>
      </c>
      <c r="E1435" s="367" t="s">
        <v>245</v>
      </c>
      <c r="F1435" s="367">
        <v>1000</v>
      </c>
      <c r="G1435" s="367">
        <v>1000</v>
      </c>
      <c r="H1435" s="367" t="s">
        <v>44</v>
      </c>
      <c r="I1435" s="367">
        <v>300</v>
      </c>
      <c r="J1435" s="370" t="s">
        <v>45</v>
      </c>
      <c r="K1435" s="367">
        <v>90</v>
      </c>
      <c r="L1435" s="367">
        <v>20</v>
      </c>
      <c r="M1435" s="358" t="s">
        <v>14</v>
      </c>
      <c r="N1435" s="396" t="s">
        <v>234</v>
      </c>
      <c r="O1435" s="367" t="s">
        <v>27</v>
      </c>
      <c r="P1435" s="201"/>
      <c r="Q1435" s="367" t="s">
        <v>325</v>
      </c>
      <c r="R1435" s="186">
        <v>44066</v>
      </c>
    </row>
    <row r="1436" spans="1:20" ht="15" customHeight="1" x14ac:dyDescent="0.3">
      <c r="A1436" s="368"/>
      <c r="B1436" s="368"/>
      <c r="C1436" s="41">
        <v>20485</v>
      </c>
      <c r="D1436" s="368"/>
      <c r="E1436" s="368"/>
      <c r="F1436" s="368"/>
      <c r="G1436" s="368"/>
      <c r="H1436" s="368"/>
      <c r="I1436" s="368"/>
      <c r="J1436" s="371"/>
      <c r="K1436" s="368"/>
      <c r="L1436" s="368"/>
      <c r="M1436" s="359"/>
      <c r="N1436" s="397"/>
      <c r="O1436" s="368"/>
      <c r="P1436" s="226">
        <v>44066</v>
      </c>
      <c r="Q1436" s="368"/>
      <c r="T1436" s="200">
        <v>1</v>
      </c>
    </row>
    <row r="1437" spans="1:20" ht="15" customHeight="1" thickBot="1" x14ac:dyDescent="0.35">
      <c r="A1437" s="369"/>
      <c r="B1437" s="369"/>
      <c r="C1437" s="42">
        <v>10975</v>
      </c>
      <c r="D1437" s="369"/>
      <c r="E1437" s="369"/>
      <c r="F1437" s="369"/>
      <c r="G1437" s="369"/>
      <c r="H1437" s="369"/>
      <c r="I1437" s="369"/>
      <c r="J1437" s="372"/>
      <c r="K1437" s="369"/>
      <c r="L1437" s="369"/>
      <c r="M1437" s="360"/>
      <c r="N1437" s="398"/>
      <c r="O1437" s="369"/>
      <c r="P1437" s="203"/>
      <c r="Q1437" s="369"/>
    </row>
    <row r="1438" spans="1:20" ht="15" hidden="1" customHeight="1" x14ac:dyDescent="0.3">
      <c r="A1438" s="367">
        <v>340</v>
      </c>
      <c r="B1438" s="367" t="s">
        <v>324</v>
      </c>
      <c r="C1438" s="40">
        <v>1282</v>
      </c>
      <c r="D1438" s="367">
        <v>1</v>
      </c>
      <c r="E1438" s="367" t="s">
        <v>245</v>
      </c>
      <c r="F1438" s="367">
        <v>1000</v>
      </c>
      <c r="G1438" s="367">
        <v>1000</v>
      </c>
      <c r="H1438" s="367" t="s">
        <v>44</v>
      </c>
      <c r="I1438" s="367">
        <v>300</v>
      </c>
      <c r="J1438" s="370" t="s">
        <v>45</v>
      </c>
      <c r="K1438" s="367">
        <v>90</v>
      </c>
      <c r="L1438" s="367">
        <v>20</v>
      </c>
      <c r="M1438" s="358" t="s">
        <v>14</v>
      </c>
      <c r="N1438" s="396" t="s">
        <v>234</v>
      </c>
      <c r="O1438" s="367" t="s">
        <v>27</v>
      </c>
      <c r="P1438" s="228">
        <v>44066</v>
      </c>
      <c r="Q1438" s="367" t="s">
        <v>325</v>
      </c>
      <c r="R1438" s="186">
        <v>44066</v>
      </c>
    </row>
    <row r="1439" spans="1:20" ht="15" customHeight="1" x14ac:dyDescent="0.3">
      <c r="A1439" s="368"/>
      <c r="B1439" s="368"/>
      <c r="C1439" s="41">
        <v>20485</v>
      </c>
      <c r="D1439" s="368"/>
      <c r="E1439" s="368"/>
      <c r="F1439" s="368"/>
      <c r="G1439" s="368"/>
      <c r="H1439" s="368"/>
      <c r="I1439" s="368"/>
      <c r="J1439" s="371"/>
      <c r="K1439" s="368"/>
      <c r="L1439" s="368"/>
      <c r="M1439" s="359"/>
      <c r="N1439" s="397"/>
      <c r="O1439" s="368"/>
      <c r="P1439" s="202"/>
      <c r="Q1439" s="368"/>
      <c r="T1439" s="200">
        <v>1</v>
      </c>
    </row>
    <row r="1440" spans="1:20" ht="15" customHeight="1" thickBot="1" x14ac:dyDescent="0.35">
      <c r="A1440" s="369"/>
      <c r="B1440" s="369"/>
      <c r="C1440" s="42">
        <v>12475</v>
      </c>
      <c r="D1440" s="369"/>
      <c r="E1440" s="369"/>
      <c r="F1440" s="369"/>
      <c r="G1440" s="369"/>
      <c r="H1440" s="369"/>
      <c r="I1440" s="369"/>
      <c r="J1440" s="372"/>
      <c r="K1440" s="369"/>
      <c r="L1440" s="369"/>
      <c r="M1440" s="360"/>
      <c r="N1440" s="398"/>
      <c r="O1440" s="369"/>
      <c r="P1440" s="203"/>
      <c r="Q1440" s="369"/>
    </row>
    <row r="1441" spans="1:20" ht="15" hidden="1" customHeight="1" thickBot="1" x14ac:dyDescent="0.35">
      <c r="A1441" s="376">
        <v>341</v>
      </c>
      <c r="B1441" s="57" t="s">
        <v>274</v>
      </c>
      <c r="C1441" s="58">
        <v>2484</v>
      </c>
      <c r="D1441" s="376">
        <v>8</v>
      </c>
      <c r="E1441" s="57" t="s">
        <v>168</v>
      </c>
      <c r="F1441" s="373">
        <v>1000</v>
      </c>
      <c r="G1441" s="373">
        <v>1000</v>
      </c>
      <c r="H1441" s="376" t="s">
        <v>25</v>
      </c>
      <c r="I1441" s="57">
        <v>150</v>
      </c>
      <c r="J1441" s="57" t="s">
        <v>45</v>
      </c>
      <c r="K1441" s="376" t="s">
        <v>193</v>
      </c>
      <c r="L1441" s="373" t="s">
        <v>13</v>
      </c>
      <c r="M1441" s="379" t="s">
        <v>14</v>
      </c>
      <c r="N1441" s="402" t="s">
        <v>234</v>
      </c>
      <c r="O1441" s="373" t="s">
        <v>27</v>
      </c>
      <c r="P1441" s="83"/>
      <c r="Q1441" s="373" t="s">
        <v>326</v>
      </c>
    </row>
    <row r="1442" spans="1:20" ht="15" customHeight="1" thickBot="1" x14ac:dyDescent="0.35">
      <c r="A1442" s="377"/>
      <c r="B1442" s="57" t="s">
        <v>274</v>
      </c>
      <c r="C1442" s="58">
        <v>18769</v>
      </c>
      <c r="D1442" s="377"/>
      <c r="E1442" s="57" t="s">
        <v>168</v>
      </c>
      <c r="F1442" s="374"/>
      <c r="G1442" s="374"/>
      <c r="H1442" s="377"/>
      <c r="I1442" s="57">
        <v>150</v>
      </c>
      <c r="J1442" s="57" t="s">
        <v>45</v>
      </c>
      <c r="K1442" s="377"/>
      <c r="L1442" s="374"/>
      <c r="M1442" s="380"/>
      <c r="N1442" s="403"/>
      <c r="O1442" s="374"/>
      <c r="P1442" s="84"/>
      <c r="Q1442" s="374"/>
      <c r="T1442" s="288">
        <v>1</v>
      </c>
    </row>
    <row r="1443" spans="1:20" ht="15" customHeight="1" thickBot="1" x14ac:dyDescent="0.35">
      <c r="A1443" s="377"/>
      <c r="B1443" s="57" t="s">
        <v>274</v>
      </c>
      <c r="C1443" s="58">
        <v>13100</v>
      </c>
      <c r="D1443" s="377"/>
      <c r="E1443" s="57" t="s">
        <v>168</v>
      </c>
      <c r="F1443" s="374"/>
      <c r="G1443" s="374"/>
      <c r="H1443" s="377"/>
      <c r="I1443" s="57">
        <v>150</v>
      </c>
      <c r="J1443" s="57" t="s">
        <v>45</v>
      </c>
      <c r="K1443" s="377"/>
      <c r="L1443" s="374"/>
      <c r="M1443" s="380"/>
      <c r="N1443" s="403"/>
      <c r="O1443" s="374"/>
      <c r="P1443" s="84"/>
      <c r="Q1443" s="374"/>
    </row>
    <row r="1444" spans="1:20" ht="15" customHeight="1" thickBot="1" x14ac:dyDescent="0.35">
      <c r="A1444" s="377"/>
      <c r="B1444" s="57" t="s">
        <v>274</v>
      </c>
      <c r="C1444" s="435"/>
      <c r="D1444" s="377"/>
      <c r="E1444" s="57" t="s">
        <v>168</v>
      </c>
      <c r="F1444" s="374"/>
      <c r="G1444" s="374"/>
      <c r="H1444" s="377"/>
      <c r="I1444" s="57">
        <v>40</v>
      </c>
      <c r="J1444" s="57">
        <f>-0.12/0.68</f>
        <v>-0.1764705882352941</v>
      </c>
      <c r="K1444" s="377"/>
      <c r="L1444" s="374"/>
      <c r="M1444" s="380"/>
      <c r="N1444" s="403"/>
      <c r="O1444" s="374"/>
      <c r="P1444" s="84"/>
      <c r="Q1444" s="374"/>
    </row>
    <row r="1445" spans="1:20" ht="15" customHeight="1" thickBot="1" x14ac:dyDescent="0.35">
      <c r="A1445" s="377"/>
      <c r="B1445" s="57" t="s">
        <v>274</v>
      </c>
      <c r="C1445" s="435"/>
      <c r="D1445" s="377"/>
      <c r="E1445" s="57" t="s">
        <v>168</v>
      </c>
      <c r="F1445" s="374"/>
      <c r="G1445" s="374"/>
      <c r="H1445" s="377"/>
      <c r="I1445" s="57">
        <v>40</v>
      </c>
      <c r="J1445" s="57">
        <f>-0.14/0.4</f>
        <v>-0.35000000000000003</v>
      </c>
      <c r="K1445" s="377"/>
      <c r="L1445" s="374"/>
      <c r="M1445" s="380"/>
      <c r="N1445" s="403"/>
      <c r="O1445" s="374"/>
      <c r="P1445" s="84"/>
      <c r="Q1445" s="374"/>
    </row>
    <row r="1446" spans="1:20" ht="15" customHeight="1" x14ac:dyDescent="0.3">
      <c r="A1446" s="377"/>
      <c r="B1446" s="376" t="s">
        <v>327</v>
      </c>
      <c r="C1446" s="435"/>
      <c r="D1446" s="377"/>
      <c r="E1446" s="376" t="s">
        <v>168</v>
      </c>
      <c r="F1446" s="374"/>
      <c r="G1446" s="374"/>
      <c r="H1446" s="377"/>
      <c r="I1446" s="376">
        <v>50</v>
      </c>
      <c r="J1446" s="58" t="s">
        <v>328</v>
      </c>
      <c r="K1446" s="377"/>
      <c r="L1446" s="374"/>
      <c r="M1446" s="380"/>
      <c r="N1446" s="403"/>
      <c r="O1446" s="374"/>
      <c r="P1446" s="84"/>
      <c r="Q1446" s="374"/>
    </row>
    <row r="1447" spans="1:20" ht="15" customHeight="1" thickBot="1" x14ac:dyDescent="0.35">
      <c r="A1447" s="377"/>
      <c r="B1447" s="378"/>
      <c r="C1447" s="435"/>
      <c r="D1447" s="377"/>
      <c r="E1447" s="378"/>
      <c r="F1447" s="374"/>
      <c r="G1447" s="374"/>
      <c r="H1447" s="377"/>
      <c r="I1447" s="378"/>
      <c r="J1447" s="57">
        <v>-0.21</v>
      </c>
      <c r="K1447" s="377"/>
      <c r="L1447" s="374"/>
      <c r="M1447" s="380"/>
      <c r="N1447" s="403"/>
      <c r="O1447" s="374"/>
      <c r="P1447" s="84"/>
      <c r="Q1447" s="374"/>
    </row>
    <row r="1448" spans="1:20" ht="15" customHeight="1" x14ac:dyDescent="0.3">
      <c r="A1448" s="377"/>
      <c r="B1448" s="376" t="s">
        <v>327</v>
      </c>
      <c r="C1448" s="435"/>
      <c r="D1448" s="377"/>
      <c r="E1448" s="376" t="s">
        <v>168</v>
      </c>
      <c r="F1448" s="374"/>
      <c r="G1448" s="374"/>
      <c r="H1448" s="377"/>
      <c r="I1448" s="376">
        <v>50</v>
      </c>
      <c r="J1448" s="58" t="s">
        <v>328</v>
      </c>
      <c r="K1448" s="377"/>
      <c r="L1448" s="374"/>
      <c r="M1448" s="380"/>
      <c r="N1448" s="403"/>
      <c r="O1448" s="374"/>
      <c r="P1448" s="84"/>
      <c r="Q1448" s="374"/>
    </row>
    <row r="1449" spans="1:20" ht="15" customHeight="1" thickBot="1" x14ac:dyDescent="0.35">
      <c r="A1449" s="377"/>
      <c r="B1449" s="378"/>
      <c r="C1449" s="435"/>
      <c r="D1449" s="377"/>
      <c r="E1449" s="378"/>
      <c r="F1449" s="374"/>
      <c r="G1449" s="374"/>
      <c r="H1449" s="377"/>
      <c r="I1449" s="378"/>
      <c r="J1449" s="57">
        <v>-0.21</v>
      </c>
      <c r="K1449" s="377"/>
      <c r="L1449" s="374"/>
      <c r="M1449" s="380"/>
      <c r="N1449" s="403"/>
      <c r="O1449" s="374"/>
      <c r="P1449" s="84"/>
      <c r="Q1449" s="374"/>
    </row>
    <row r="1450" spans="1:20" ht="15" customHeight="1" x14ac:dyDescent="0.3">
      <c r="A1450" s="377"/>
      <c r="B1450" s="376" t="s">
        <v>327</v>
      </c>
      <c r="C1450" s="435"/>
      <c r="D1450" s="377"/>
      <c r="E1450" s="376" t="s">
        <v>168</v>
      </c>
      <c r="F1450" s="374"/>
      <c r="G1450" s="374"/>
      <c r="H1450" s="377"/>
      <c r="I1450" s="376">
        <v>50</v>
      </c>
      <c r="J1450" s="58" t="s">
        <v>328</v>
      </c>
      <c r="K1450" s="377"/>
      <c r="L1450" s="374"/>
      <c r="M1450" s="380"/>
      <c r="N1450" s="403"/>
      <c r="O1450" s="374"/>
      <c r="P1450" s="84"/>
      <c r="Q1450" s="374"/>
    </row>
    <row r="1451" spans="1:20" ht="15" customHeight="1" thickBot="1" x14ac:dyDescent="0.35">
      <c r="A1451" s="378"/>
      <c r="B1451" s="378"/>
      <c r="C1451" s="436"/>
      <c r="D1451" s="378"/>
      <c r="E1451" s="378"/>
      <c r="F1451" s="375"/>
      <c r="G1451" s="375"/>
      <c r="H1451" s="378"/>
      <c r="I1451" s="378"/>
      <c r="J1451" s="57">
        <v>-0.21</v>
      </c>
      <c r="K1451" s="378"/>
      <c r="L1451" s="375"/>
      <c r="M1451" s="381"/>
      <c r="N1451" s="404"/>
      <c r="O1451" s="375"/>
      <c r="P1451" s="85"/>
      <c r="Q1451" s="375"/>
    </row>
    <row r="1452" spans="1:20" ht="15" hidden="1" customHeight="1" x14ac:dyDescent="0.3">
      <c r="A1452" s="370">
        <v>342</v>
      </c>
      <c r="B1452" s="370" t="s">
        <v>174</v>
      </c>
      <c r="C1452" s="40">
        <v>1566</v>
      </c>
      <c r="D1452" s="370">
        <v>0</v>
      </c>
      <c r="E1452" s="367" t="s">
        <v>13</v>
      </c>
      <c r="F1452" s="367">
        <v>1000</v>
      </c>
      <c r="G1452" s="367">
        <v>1000</v>
      </c>
      <c r="H1452" s="367" t="s">
        <v>25</v>
      </c>
      <c r="I1452" s="367" t="s">
        <v>13</v>
      </c>
      <c r="J1452" s="367" t="s">
        <v>13</v>
      </c>
      <c r="K1452" s="367" t="s">
        <v>13</v>
      </c>
      <c r="L1452" s="367" t="s">
        <v>13</v>
      </c>
      <c r="M1452" s="358" t="s">
        <v>14</v>
      </c>
      <c r="N1452" s="396" t="s">
        <v>234</v>
      </c>
      <c r="O1452" s="367" t="s">
        <v>27</v>
      </c>
      <c r="P1452" s="65"/>
      <c r="Q1452" s="367" t="s">
        <v>184</v>
      </c>
      <c r="T1452" s="200">
        <v>1</v>
      </c>
    </row>
    <row r="1453" spans="1:20" ht="15" customHeight="1" x14ac:dyDescent="0.3">
      <c r="A1453" s="371"/>
      <c r="B1453" s="371"/>
      <c r="C1453" s="41">
        <v>20080</v>
      </c>
      <c r="D1453" s="371"/>
      <c r="E1453" s="368"/>
      <c r="F1453" s="368"/>
      <c r="G1453" s="368"/>
      <c r="H1453" s="368"/>
      <c r="I1453" s="368"/>
      <c r="J1453" s="368"/>
      <c r="K1453" s="368"/>
      <c r="L1453" s="368"/>
      <c r="M1453" s="359"/>
      <c r="N1453" s="397"/>
      <c r="O1453" s="368"/>
      <c r="P1453" s="226">
        <v>44066</v>
      </c>
      <c r="Q1453" s="368"/>
    </row>
    <row r="1454" spans="1:20" ht="15" customHeight="1" thickBot="1" x14ac:dyDescent="0.35">
      <c r="A1454" s="372"/>
      <c r="B1454" s="372"/>
      <c r="C1454" s="42">
        <v>12500</v>
      </c>
      <c r="D1454" s="372"/>
      <c r="E1454" s="369"/>
      <c r="F1454" s="369"/>
      <c r="G1454" s="369"/>
      <c r="H1454" s="369"/>
      <c r="I1454" s="369"/>
      <c r="J1454" s="369"/>
      <c r="K1454" s="369"/>
      <c r="L1454" s="369"/>
      <c r="M1454" s="360"/>
      <c r="N1454" s="398"/>
      <c r="O1454" s="369"/>
      <c r="P1454" s="67"/>
      <c r="Q1454" s="369"/>
    </row>
    <row r="1455" spans="1:20" ht="15" hidden="1" customHeight="1" x14ac:dyDescent="0.3">
      <c r="A1455" s="370">
        <v>343</v>
      </c>
      <c r="B1455" s="370" t="s">
        <v>174</v>
      </c>
      <c r="C1455" s="40">
        <v>849</v>
      </c>
      <c r="D1455" s="370">
        <v>0</v>
      </c>
      <c r="E1455" s="367" t="s">
        <v>13</v>
      </c>
      <c r="F1455" s="367">
        <v>1000</v>
      </c>
      <c r="G1455" s="367">
        <v>1000</v>
      </c>
      <c r="H1455" s="367" t="s">
        <v>50</v>
      </c>
      <c r="I1455" s="367" t="s">
        <v>13</v>
      </c>
      <c r="J1455" s="367" t="s">
        <v>13</v>
      </c>
      <c r="K1455" s="367" t="s">
        <v>13</v>
      </c>
      <c r="L1455" s="367" t="s">
        <v>13</v>
      </c>
      <c r="M1455" s="358" t="s">
        <v>14</v>
      </c>
      <c r="N1455" s="396" t="s">
        <v>234</v>
      </c>
      <c r="O1455" s="367" t="s">
        <v>27</v>
      </c>
      <c r="P1455" s="65"/>
      <c r="Q1455" s="367" t="s">
        <v>184</v>
      </c>
    </row>
    <row r="1456" spans="1:20" ht="15" customHeight="1" x14ac:dyDescent="0.3">
      <c r="A1456" s="371"/>
      <c r="B1456" s="371"/>
      <c r="C1456" s="40">
        <v>21104</v>
      </c>
      <c r="D1456" s="371"/>
      <c r="E1456" s="368"/>
      <c r="F1456" s="368"/>
      <c r="G1456" s="368"/>
      <c r="H1456" s="368"/>
      <c r="I1456" s="368"/>
      <c r="J1456" s="368"/>
      <c r="K1456" s="368"/>
      <c r="L1456" s="368"/>
      <c r="M1456" s="359"/>
      <c r="N1456" s="397"/>
      <c r="O1456" s="368"/>
      <c r="P1456" s="226">
        <v>44066</v>
      </c>
      <c r="Q1456" s="368"/>
      <c r="T1456" s="200">
        <v>1</v>
      </c>
    </row>
    <row r="1457" spans="1:20" ht="15" customHeight="1" thickBot="1" x14ac:dyDescent="0.35">
      <c r="A1457" s="372"/>
      <c r="B1457" s="372"/>
      <c r="C1457" s="42">
        <v>12500</v>
      </c>
      <c r="D1457" s="372"/>
      <c r="E1457" s="369"/>
      <c r="F1457" s="369"/>
      <c r="G1457" s="369"/>
      <c r="H1457" s="369"/>
      <c r="I1457" s="369"/>
      <c r="J1457" s="369"/>
      <c r="K1457" s="369"/>
      <c r="L1457" s="369"/>
      <c r="M1457" s="360"/>
      <c r="N1457" s="398"/>
      <c r="O1457" s="369"/>
      <c r="P1457" s="67"/>
      <c r="Q1457" s="369"/>
    </row>
    <row r="1458" spans="1:20" ht="15" hidden="1" customHeight="1" x14ac:dyDescent="0.3">
      <c r="A1458" s="370">
        <v>344</v>
      </c>
      <c r="B1458" s="370" t="s">
        <v>174</v>
      </c>
      <c r="C1458" s="40">
        <v>1460</v>
      </c>
      <c r="D1458" s="370">
        <v>0</v>
      </c>
      <c r="E1458" s="367" t="s">
        <v>13</v>
      </c>
      <c r="F1458" s="367">
        <v>1000</v>
      </c>
      <c r="G1458" s="367">
        <v>1000</v>
      </c>
      <c r="H1458" s="367" t="s">
        <v>50</v>
      </c>
      <c r="I1458" s="367" t="s">
        <v>13</v>
      </c>
      <c r="J1458" s="367" t="s">
        <v>13</v>
      </c>
      <c r="K1458" s="367" t="s">
        <v>13</v>
      </c>
      <c r="L1458" s="367" t="s">
        <v>13</v>
      </c>
      <c r="M1458" s="358" t="s">
        <v>14</v>
      </c>
      <c r="N1458" s="396" t="s">
        <v>234</v>
      </c>
      <c r="O1458" s="367" t="s">
        <v>27</v>
      </c>
      <c r="P1458" s="65"/>
      <c r="Q1458" s="367" t="s">
        <v>184</v>
      </c>
    </row>
    <row r="1459" spans="1:20" ht="15" customHeight="1" x14ac:dyDescent="0.3">
      <c r="A1459" s="371"/>
      <c r="B1459" s="371"/>
      <c r="C1459" s="40">
        <v>20231</v>
      </c>
      <c r="D1459" s="371"/>
      <c r="E1459" s="368"/>
      <c r="F1459" s="368"/>
      <c r="G1459" s="368"/>
      <c r="H1459" s="368"/>
      <c r="I1459" s="368"/>
      <c r="J1459" s="368"/>
      <c r="K1459" s="368"/>
      <c r="L1459" s="368"/>
      <c r="M1459" s="359"/>
      <c r="N1459" s="397"/>
      <c r="O1459" s="368"/>
      <c r="P1459" s="226">
        <v>44066</v>
      </c>
      <c r="Q1459" s="368"/>
    </row>
    <row r="1460" spans="1:20" ht="15" customHeight="1" thickBot="1" x14ac:dyDescent="0.35">
      <c r="A1460" s="372"/>
      <c r="B1460" s="372"/>
      <c r="C1460" s="42">
        <v>10000</v>
      </c>
      <c r="D1460" s="372"/>
      <c r="E1460" s="369"/>
      <c r="F1460" s="369"/>
      <c r="G1460" s="369"/>
      <c r="H1460" s="369"/>
      <c r="I1460" s="369"/>
      <c r="J1460" s="369"/>
      <c r="K1460" s="369"/>
      <c r="L1460" s="369"/>
      <c r="M1460" s="360"/>
      <c r="N1460" s="398"/>
      <c r="O1460" s="369"/>
      <c r="P1460" s="67"/>
      <c r="Q1460" s="369"/>
      <c r="T1460" s="200">
        <v>1</v>
      </c>
    </row>
    <row r="1461" spans="1:20" ht="15" hidden="1" customHeight="1" x14ac:dyDescent="0.3">
      <c r="A1461" s="370">
        <v>345</v>
      </c>
      <c r="B1461" s="370" t="s">
        <v>174</v>
      </c>
      <c r="C1461" s="40">
        <v>1629</v>
      </c>
      <c r="D1461" s="370">
        <v>0</v>
      </c>
      <c r="E1461" s="367" t="s">
        <v>13</v>
      </c>
      <c r="F1461" s="367">
        <v>1000</v>
      </c>
      <c r="G1461" s="367">
        <v>1000</v>
      </c>
      <c r="H1461" s="367" t="s">
        <v>50</v>
      </c>
      <c r="I1461" s="367" t="s">
        <v>13</v>
      </c>
      <c r="J1461" s="367" t="s">
        <v>13</v>
      </c>
      <c r="K1461" s="367" t="s">
        <v>13</v>
      </c>
      <c r="L1461" s="367" t="s">
        <v>13</v>
      </c>
      <c r="M1461" s="358" t="s">
        <v>14</v>
      </c>
      <c r="N1461" s="396" t="s">
        <v>234</v>
      </c>
      <c r="O1461" s="367" t="s">
        <v>27</v>
      </c>
      <c r="P1461" s="65"/>
      <c r="Q1461" s="367" t="s">
        <v>184</v>
      </c>
    </row>
    <row r="1462" spans="1:20" ht="15" customHeight="1" x14ac:dyDescent="0.3">
      <c r="A1462" s="371"/>
      <c r="B1462" s="371"/>
      <c r="C1462" s="40">
        <v>19990</v>
      </c>
      <c r="D1462" s="371"/>
      <c r="E1462" s="368"/>
      <c r="F1462" s="368"/>
      <c r="G1462" s="368"/>
      <c r="H1462" s="368"/>
      <c r="I1462" s="368"/>
      <c r="J1462" s="368"/>
      <c r="K1462" s="368"/>
      <c r="L1462" s="368"/>
      <c r="M1462" s="359"/>
      <c r="N1462" s="397"/>
      <c r="O1462" s="368"/>
      <c r="P1462" s="226">
        <v>44066</v>
      </c>
      <c r="Q1462" s="368"/>
      <c r="T1462" s="200">
        <v>1</v>
      </c>
    </row>
    <row r="1463" spans="1:20" ht="15" customHeight="1" thickBot="1" x14ac:dyDescent="0.35">
      <c r="A1463" s="372"/>
      <c r="B1463" s="372"/>
      <c r="C1463" s="42">
        <v>10000</v>
      </c>
      <c r="D1463" s="372"/>
      <c r="E1463" s="369"/>
      <c r="F1463" s="369"/>
      <c r="G1463" s="369"/>
      <c r="H1463" s="369"/>
      <c r="I1463" s="369"/>
      <c r="J1463" s="369"/>
      <c r="K1463" s="369"/>
      <c r="L1463" s="369"/>
      <c r="M1463" s="360"/>
      <c r="N1463" s="398"/>
      <c r="O1463" s="369"/>
      <c r="P1463" s="67"/>
      <c r="Q1463" s="369"/>
    </row>
    <row r="1464" spans="1:20" ht="15" hidden="1" customHeight="1" x14ac:dyDescent="0.3">
      <c r="A1464" s="370">
        <v>346</v>
      </c>
      <c r="B1464" s="370" t="s">
        <v>174</v>
      </c>
      <c r="C1464" s="40">
        <v>1629</v>
      </c>
      <c r="D1464" s="370">
        <v>0</v>
      </c>
      <c r="E1464" s="367" t="s">
        <v>13</v>
      </c>
      <c r="F1464" s="367">
        <v>1000</v>
      </c>
      <c r="G1464" s="367">
        <v>1000</v>
      </c>
      <c r="H1464" s="367" t="s">
        <v>50</v>
      </c>
      <c r="I1464" s="367" t="s">
        <v>13</v>
      </c>
      <c r="J1464" s="367" t="s">
        <v>13</v>
      </c>
      <c r="K1464" s="367" t="s">
        <v>13</v>
      </c>
      <c r="L1464" s="367" t="s">
        <v>13</v>
      </c>
      <c r="M1464" s="358" t="s">
        <v>14</v>
      </c>
      <c r="N1464" s="396" t="s">
        <v>234</v>
      </c>
      <c r="O1464" s="367" t="s">
        <v>27</v>
      </c>
      <c r="P1464" s="65"/>
      <c r="Q1464" s="367" t="s">
        <v>184</v>
      </c>
      <c r="T1464" s="200">
        <v>1</v>
      </c>
    </row>
    <row r="1465" spans="1:20" ht="15" customHeight="1" x14ac:dyDescent="0.3">
      <c r="A1465" s="371"/>
      <c r="B1465" s="371"/>
      <c r="C1465" s="40">
        <v>19990</v>
      </c>
      <c r="D1465" s="371"/>
      <c r="E1465" s="368"/>
      <c r="F1465" s="368"/>
      <c r="G1465" s="368"/>
      <c r="H1465" s="368"/>
      <c r="I1465" s="368"/>
      <c r="J1465" s="368"/>
      <c r="K1465" s="368"/>
      <c r="L1465" s="368"/>
      <c r="M1465" s="359"/>
      <c r="N1465" s="397"/>
      <c r="O1465" s="368"/>
      <c r="P1465" s="226">
        <v>44066</v>
      </c>
      <c r="Q1465" s="368"/>
    </row>
    <row r="1466" spans="1:20" ht="15" customHeight="1" thickBot="1" x14ac:dyDescent="0.35">
      <c r="A1466" s="372"/>
      <c r="B1466" s="372"/>
      <c r="C1466" s="42">
        <v>9825</v>
      </c>
      <c r="D1466" s="372"/>
      <c r="E1466" s="369"/>
      <c r="F1466" s="369"/>
      <c r="G1466" s="369"/>
      <c r="H1466" s="369"/>
      <c r="I1466" s="369"/>
      <c r="J1466" s="369"/>
      <c r="K1466" s="369"/>
      <c r="L1466" s="369"/>
      <c r="M1466" s="360"/>
      <c r="N1466" s="398"/>
      <c r="O1466" s="369"/>
      <c r="P1466" s="67"/>
      <c r="Q1466" s="369"/>
    </row>
    <row r="1467" spans="1:20" ht="15" hidden="1" customHeight="1" x14ac:dyDescent="0.3">
      <c r="A1467" s="370">
        <v>347</v>
      </c>
      <c r="B1467" s="370" t="s">
        <v>174</v>
      </c>
      <c r="C1467" s="40">
        <v>1460</v>
      </c>
      <c r="D1467" s="370">
        <v>0</v>
      </c>
      <c r="E1467" s="367" t="s">
        <v>13</v>
      </c>
      <c r="F1467" s="367">
        <v>1000</v>
      </c>
      <c r="G1467" s="367">
        <v>1000</v>
      </c>
      <c r="H1467" s="367" t="s">
        <v>50</v>
      </c>
      <c r="I1467" s="367" t="s">
        <v>13</v>
      </c>
      <c r="J1467" s="367" t="s">
        <v>13</v>
      </c>
      <c r="K1467" s="367" t="s">
        <v>13</v>
      </c>
      <c r="L1467" s="367" t="s">
        <v>13</v>
      </c>
      <c r="M1467" s="358" t="s">
        <v>14</v>
      </c>
      <c r="N1467" s="396" t="s">
        <v>234</v>
      </c>
      <c r="O1467" s="367" t="s">
        <v>27</v>
      </c>
      <c r="P1467" s="65"/>
      <c r="Q1467" s="367" t="s">
        <v>184</v>
      </c>
      <c r="T1467" s="200">
        <v>1</v>
      </c>
    </row>
    <row r="1468" spans="1:20" ht="15" customHeight="1" x14ac:dyDescent="0.3">
      <c r="A1468" s="371"/>
      <c r="B1468" s="371"/>
      <c r="C1468" s="40">
        <v>20231</v>
      </c>
      <c r="D1468" s="371"/>
      <c r="E1468" s="368"/>
      <c r="F1468" s="368"/>
      <c r="G1468" s="368"/>
      <c r="H1468" s="368"/>
      <c r="I1468" s="368"/>
      <c r="J1468" s="368"/>
      <c r="K1468" s="368"/>
      <c r="L1468" s="368"/>
      <c r="M1468" s="359"/>
      <c r="N1468" s="397"/>
      <c r="O1468" s="368"/>
      <c r="P1468" s="226">
        <v>44066</v>
      </c>
      <c r="Q1468" s="368"/>
    </row>
    <row r="1469" spans="1:20" ht="15" customHeight="1" thickBot="1" x14ac:dyDescent="0.35">
      <c r="A1469" s="372"/>
      <c r="B1469" s="372"/>
      <c r="C1469" s="42">
        <v>9825</v>
      </c>
      <c r="D1469" s="372"/>
      <c r="E1469" s="369"/>
      <c r="F1469" s="369"/>
      <c r="G1469" s="369"/>
      <c r="H1469" s="369"/>
      <c r="I1469" s="369"/>
      <c r="J1469" s="369"/>
      <c r="K1469" s="369"/>
      <c r="L1469" s="369"/>
      <c r="M1469" s="360"/>
      <c r="N1469" s="398"/>
      <c r="O1469" s="369"/>
      <c r="P1469" s="67"/>
      <c r="Q1469" s="369"/>
    </row>
    <row r="1470" spans="1:20" ht="15" hidden="1" customHeight="1" x14ac:dyDescent="0.3">
      <c r="A1470" s="370">
        <v>348</v>
      </c>
      <c r="B1470" s="370" t="s">
        <v>174</v>
      </c>
      <c r="C1470" s="40">
        <v>-2800</v>
      </c>
      <c r="D1470" s="370">
        <v>0</v>
      </c>
      <c r="E1470" s="367" t="s">
        <v>13</v>
      </c>
      <c r="F1470" s="367">
        <v>1000</v>
      </c>
      <c r="G1470" s="367">
        <v>1000</v>
      </c>
      <c r="H1470" s="370" t="s">
        <v>187</v>
      </c>
      <c r="I1470" s="367" t="s">
        <v>13</v>
      </c>
      <c r="J1470" s="367" t="s">
        <v>13</v>
      </c>
      <c r="K1470" s="367" t="s">
        <v>13</v>
      </c>
      <c r="L1470" s="367" t="s">
        <v>13</v>
      </c>
      <c r="M1470" s="358" t="s">
        <v>14</v>
      </c>
      <c r="N1470" s="396" t="s">
        <v>80</v>
      </c>
      <c r="O1470" s="367" t="s">
        <v>27</v>
      </c>
      <c r="P1470" s="228">
        <v>44066</v>
      </c>
      <c r="Q1470" s="367" t="s">
        <v>188</v>
      </c>
      <c r="T1470" s="200">
        <v>1</v>
      </c>
    </row>
    <row r="1471" spans="1:20" ht="15" customHeight="1" x14ac:dyDescent="0.3">
      <c r="A1471" s="371"/>
      <c r="B1471" s="371"/>
      <c r="C1471" s="40">
        <v>12800</v>
      </c>
      <c r="D1471" s="371"/>
      <c r="E1471" s="368"/>
      <c r="F1471" s="368"/>
      <c r="G1471" s="368"/>
      <c r="H1471" s="371"/>
      <c r="I1471" s="368"/>
      <c r="J1471" s="368"/>
      <c r="K1471" s="368"/>
      <c r="L1471" s="368"/>
      <c r="M1471" s="359"/>
      <c r="N1471" s="397"/>
      <c r="O1471" s="368"/>
      <c r="P1471" s="66"/>
      <c r="Q1471" s="368"/>
    </row>
    <row r="1472" spans="1:20" ht="15" customHeight="1" thickBot="1" x14ac:dyDescent="0.35">
      <c r="A1472" s="372"/>
      <c r="B1472" s="372"/>
      <c r="C1472" s="42">
        <v>11755</v>
      </c>
      <c r="D1472" s="372"/>
      <c r="E1472" s="369"/>
      <c r="F1472" s="369"/>
      <c r="G1472" s="369"/>
      <c r="H1472" s="372"/>
      <c r="I1472" s="369"/>
      <c r="J1472" s="369"/>
      <c r="K1472" s="369"/>
      <c r="L1472" s="369"/>
      <c r="M1472" s="360"/>
      <c r="N1472" s="398"/>
      <c r="O1472" s="369"/>
      <c r="P1472" s="67"/>
      <c r="Q1472" s="369"/>
    </row>
    <row r="1473" spans="1:20" ht="15" hidden="1" customHeight="1" x14ac:dyDescent="0.3">
      <c r="A1473" s="370">
        <v>349</v>
      </c>
      <c r="B1473" s="370" t="s">
        <v>174</v>
      </c>
      <c r="C1473" s="40">
        <v>8755</v>
      </c>
      <c r="D1473" s="370">
        <v>0</v>
      </c>
      <c r="E1473" s="367" t="s">
        <v>13</v>
      </c>
      <c r="F1473" s="367">
        <v>1000</v>
      </c>
      <c r="G1473" s="367">
        <v>1000</v>
      </c>
      <c r="H1473" s="367" t="s">
        <v>175</v>
      </c>
      <c r="I1473" s="367" t="s">
        <v>13</v>
      </c>
      <c r="J1473" s="367" t="s">
        <v>13</v>
      </c>
      <c r="K1473" s="367" t="s">
        <v>13</v>
      </c>
      <c r="L1473" s="367" t="s">
        <v>13</v>
      </c>
      <c r="M1473" s="358" t="s">
        <v>14</v>
      </c>
      <c r="N1473" s="396" t="s">
        <v>234</v>
      </c>
      <c r="O1473" s="367" t="s">
        <v>27</v>
      </c>
      <c r="P1473" s="228">
        <v>44066</v>
      </c>
      <c r="Q1473" s="367" t="s">
        <v>184</v>
      </c>
      <c r="T1473" s="200">
        <v>1</v>
      </c>
    </row>
    <row r="1474" spans="1:20" ht="15" customHeight="1" x14ac:dyDescent="0.3">
      <c r="A1474" s="371"/>
      <c r="B1474" s="371"/>
      <c r="C1474" s="41">
        <v>19315</v>
      </c>
      <c r="D1474" s="371"/>
      <c r="E1474" s="368"/>
      <c r="F1474" s="368"/>
      <c r="G1474" s="368"/>
      <c r="H1474" s="368"/>
      <c r="I1474" s="368"/>
      <c r="J1474" s="368"/>
      <c r="K1474" s="368"/>
      <c r="L1474" s="368"/>
      <c r="M1474" s="359"/>
      <c r="N1474" s="397"/>
      <c r="O1474" s="368"/>
      <c r="P1474" s="66"/>
      <c r="Q1474" s="368"/>
    </row>
    <row r="1475" spans="1:20" ht="15" customHeight="1" thickBot="1" x14ac:dyDescent="0.35">
      <c r="A1475" s="372"/>
      <c r="B1475" s="372"/>
      <c r="C1475" s="42">
        <v>8500</v>
      </c>
      <c r="D1475" s="372"/>
      <c r="E1475" s="369"/>
      <c r="F1475" s="369"/>
      <c r="G1475" s="369"/>
      <c r="H1475" s="369"/>
      <c r="I1475" s="369"/>
      <c r="J1475" s="369"/>
      <c r="K1475" s="369"/>
      <c r="L1475" s="369"/>
      <c r="M1475" s="360"/>
      <c r="N1475" s="398"/>
      <c r="O1475" s="369"/>
      <c r="P1475" s="67"/>
      <c r="Q1475" s="369"/>
    </row>
    <row r="1476" spans="1:20" ht="15" hidden="1" customHeight="1" x14ac:dyDescent="0.3">
      <c r="A1476" s="367">
        <v>350</v>
      </c>
      <c r="B1476" s="367" t="s">
        <v>324</v>
      </c>
      <c r="C1476" s="40">
        <v>7657</v>
      </c>
      <c r="D1476" s="367">
        <v>1</v>
      </c>
      <c r="E1476" s="367" t="s">
        <v>245</v>
      </c>
      <c r="F1476" s="367">
        <v>1000</v>
      </c>
      <c r="G1476" s="367">
        <v>1000</v>
      </c>
      <c r="H1476" s="367" t="s">
        <v>44</v>
      </c>
      <c r="I1476" s="367">
        <v>300</v>
      </c>
      <c r="J1476" s="370" t="s">
        <v>45</v>
      </c>
      <c r="K1476" s="367">
        <v>90</v>
      </c>
      <c r="L1476" s="367">
        <v>20</v>
      </c>
      <c r="M1476" s="358" t="s">
        <v>14</v>
      </c>
      <c r="N1476" s="396" t="s">
        <v>234</v>
      </c>
      <c r="O1476" s="367" t="s">
        <v>27</v>
      </c>
      <c r="P1476" s="65"/>
      <c r="Q1476" s="367" t="s">
        <v>325</v>
      </c>
      <c r="T1476" s="200">
        <v>1</v>
      </c>
    </row>
    <row r="1477" spans="1:20" ht="15" customHeight="1" x14ac:dyDescent="0.3">
      <c r="A1477" s="368"/>
      <c r="B1477" s="368"/>
      <c r="C1477" s="41">
        <v>18546</v>
      </c>
      <c r="D1477" s="368"/>
      <c r="E1477" s="368"/>
      <c r="F1477" s="368"/>
      <c r="G1477" s="368"/>
      <c r="H1477" s="368"/>
      <c r="I1477" s="368"/>
      <c r="J1477" s="371"/>
      <c r="K1477" s="368"/>
      <c r="L1477" s="368"/>
      <c r="M1477" s="359"/>
      <c r="N1477" s="397"/>
      <c r="O1477" s="368"/>
      <c r="P1477" s="226">
        <v>44066</v>
      </c>
      <c r="Q1477" s="368"/>
    </row>
    <row r="1478" spans="1:20" ht="15" customHeight="1" thickBot="1" x14ac:dyDescent="0.35">
      <c r="A1478" s="369"/>
      <c r="B1478" s="369"/>
      <c r="C1478" s="42">
        <v>10200</v>
      </c>
      <c r="D1478" s="369"/>
      <c r="E1478" s="369"/>
      <c r="F1478" s="369"/>
      <c r="G1478" s="369"/>
      <c r="H1478" s="369"/>
      <c r="I1478" s="369"/>
      <c r="J1478" s="372"/>
      <c r="K1478" s="369"/>
      <c r="L1478" s="369"/>
      <c r="M1478" s="360"/>
      <c r="N1478" s="398"/>
      <c r="O1478" s="369"/>
      <c r="P1478" s="67"/>
      <c r="Q1478" s="369"/>
    </row>
    <row r="1479" spans="1:20" ht="15" hidden="1" customHeight="1" x14ac:dyDescent="0.3">
      <c r="A1479" s="367">
        <v>351</v>
      </c>
      <c r="B1479" s="367" t="s">
        <v>324</v>
      </c>
      <c r="C1479" s="40">
        <v>7657</v>
      </c>
      <c r="D1479" s="367">
        <v>1</v>
      </c>
      <c r="E1479" s="367" t="s">
        <v>245</v>
      </c>
      <c r="F1479" s="367">
        <v>1000</v>
      </c>
      <c r="G1479" s="367">
        <v>1000</v>
      </c>
      <c r="H1479" s="367" t="s">
        <v>44</v>
      </c>
      <c r="I1479" s="367">
        <v>300</v>
      </c>
      <c r="J1479" s="370" t="s">
        <v>45</v>
      </c>
      <c r="K1479" s="367">
        <v>90</v>
      </c>
      <c r="L1479" s="367">
        <v>20</v>
      </c>
      <c r="M1479" s="358" t="s">
        <v>14</v>
      </c>
      <c r="N1479" s="396" t="s">
        <v>234</v>
      </c>
      <c r="O1479" s="367" t="s">
        <v>27</v>
      </c>
      <c r="P1479" s="65"/>
      <c r="Q1479" s="367" t="s">
        <v>325</v>
      </c>
    </row>
    <row r="1480" spans="1:20" ht="15" customHeight="1" x14ac:dyDescent="0.3">
      <c r="A1480" s="368"/>
      <c r="B1480" s="368"/>
      <c r="C1480" s="41">
        <v>18546</v>
      </c>
      <c r="D1480" s="368"/>
      <c r="E1480" s="368"/>
      <c r="F1480" s="368"/>
      <c r="G1480" s="368"/>
      <c r="H1480" s="368"/>
      <c r="I1480" s="368"/>
      <c r="J1480" s="371"/>
      <c r="K1480" s="368"/>
      <c r="L1480" s="368"/>
      <c r="M1480" s="359"/>
      <c r="N1480" s="397"/>
      <c r="O1480" s="368"/>
      <c r="P1480" s="226">
        <v>44066</v>
      </c>
      <c r="Q1480" s="368"/>
      <c r="T1480" s="200">
        <v>1</v>
      </c>
    </row>
    <row r="1481" spans="1:20" ht="15" customHeight="1" thickBot="1" x14ac:dyDescent="0.35">
      <c r="A1481" s="369"/>
      <c r="B1481" s="369"/>
      <c r="C1481" s="42">
        <v>10950</v>
      </c>
      <c r="D1481" s="369"/>
      <c r="E1481" s="369"/>
      <c r="F1481" s="369"/>
      <c r="G1481" s="369"/>
      <c r="H1481" s="369"/>
      <c r="I1481" s="369"/>
      <c r="J1481" s="372"/>
      <c r="K1481" s="369"/>
      <c r="L1481" s="369"/>
      <c r="M1481" s="360"/>
      <c r="N1481" s="398"/>
      <c r="O1481" s="369"/>
      <c r="P1481" s="67"/>
      <c r="Q1481" s="369"/>
    </row>
    <row r="1482" spans="1:20" ht="15" hidden="1" customHeight="1" x14ac:dyDescent="0.3">
      <c r="A1482" s="370">
        <v>352</v>
      </c>
      <c r="B1482" s="370" t="s">
        <v>174</v>
      </c>
      <c r="C1482" s="40">
        <v>8075</v>
      </c>
      <c r="D1482" s="370">
        <v>0</v>
      </c>
      <c r="E1482" s="367" t="s">
        <v>13</v>
      </c>
      <c r="F1482" s="367">
        <v>1000</v>
      </c>
      <c r="G1482" s="367">
        <v>1000</v>
      </c>
      <c r="H1482" s="367" t="s">
        <v>25</v>
      </c>
      <c r="I1482" s="367" t="s">
        <v>13</v>
      </c>
      <c r="J1482" s="367" t="s">
        <v>13</v>
      </c>
      <c r="K1482" s="367" t="s">
        <v>13</v>
      </c>
      <c r="L1482" s="367" t="s">
        <v>13</v>
      </c>
      <c r="M1482" s="358" t="s">
        <v>14</v>
      </c>
      <c r="N1482" s="396" t="s">
        <v>234</v>
      </c>
      <c r="O1482" s="367" t="s">
        <v>27</v>
      </c>
      <c r="P1482" s="65"/>
      <c r="Q1482" s="367" t="s">
        <v>184</v>
      </c>
    </row>
    <row r="1483" spans="1:20" ht="15" customHeight="1" x14ac:dyDescent="0.3">
      <c r="A1483" s="371"/>
      <c r="B1483" s="371"/>
      <c r="C1483" s="41">
        <v>18839</v>
      </c>
      <c r="D1483" s="371"/>
      <c r="E1483" s="368"/>
      <c r="F1483" s="368"/>
      <c r="G1483" s="368"/>
      <c r="H1483" s="368"/>
      <c r="I1483" s="368"/>
      <c r="J1483" s="368"/>
      <c r="K1483" s="368"/>
      <c r="L1483" s="368"/>
      <c r="M1483" s="359"/>
      <c r="N1483" s="397"/>
      <c r="O1483" s="368"/>
      <c r="P1483" s="226">
        <v>44066</v>
      </c>
      <c r="Q1483" s="368"/>
      <c r="T1483" s="200">
        <v>1</v>
      </c>
    </row>
    <row r="1484" spans="1:20" ht="15" customHeight="1" thickBot="1" x14ac:dyDescent="0.35">
      <c r="A1484" s="372"/>
      <c r="B1484" s="372"/>
      <c r="C1484" s="42">
        <v>11250</v>
      </c>
      <c r="D1484" s="372"/>
      <c r="E1484" s="369"/>
      <c r="F1484" s="369"/>
      <c r="G1484" s="369"/>
      <c r="H1484" s="369"/>
      <c r="I1484" s="369"/>
      <c r="J1484" s="369"/>
      <c r="K1484" s="369"/>
      <c r="L1484" s="369"/>
      <c r="M1484" s="360"/>
      <c r="N1484" s="398"/>
      <c r="O1484" s="369"/>
      <c r="P1484" s="67"/>
      <c r="Q1484" s="369"/>
    </row>
    <row r="1485" spans="1:20" ht="15" hidden="1" customHeight="1" x14ac:dyDescent="0.3">
      <c r="A1485" s="370">
        <v>353</v>
      </c>
      <c r="B1485" s="370" t="s">
        <v>174</v>
      </c>
      <c r="C1485" s="40">
        <v>8075</v>
      </c>
      <c r="D1485" s="370">
        <v>0</v>
      </c>
      <c r="E1485" s="367" t="s">
        <v>13</v>
      </c>
      <c r="F1485" s="367">
        <v>1000</v>
      </c>
      <c r="G1485" s="367">
        <v>1000</v>
      </c>
      <c r="H1485" s="367" t="s">
        <v>25</v>
      </c>
      <c r="I1485" s="367" t="s">
        <v>13</v>
      </c>
      <c r="J1485" s="367" t="s">
        <v>13</v>
      </c>
      <c r="K1485" s="367" t="s">
        <v>13</v>
      </c>
      <c r="L1485" s="367" t="s">
        <v>13</v>
      </c>
      <c r="M1485" s="358" t="s">
        <v>14</v>
      </c>
      <c r="N1485" s="396" t="s">
        <v>234</v>
      </c>
      <c r="O1485" s="367" t="s">
        <v>27</v>
      </c>
      <c r="P1485" s="65"/>
      <c r="Q1485" s="367" t="s">
        <v>184</v>
      </c>
      <c r="T1485" s="200">
        <v>1</v>
      </c>
    </row>
    <row r="1486" spans="1:20" ht="15" customHeight="1" x14ac:dyDescent="0.3">
      <c r="A1486" s="371"/>
      <c r="B1486" s="371"/>
      <c r="C1486" s="41">
        <v>18839</v>
      </c>
      <c r="D1486" s="371"/>
      <c r="E1486" s="368"/>
      <c r="F1486" s="368"/>
      <c r="G1486" s="368"/>
      <c r="H1486" s="368"/>
      <c r="I1486" s="368"/>
      <c r="J1486" s="368"/>
      <c r="K1486" s="368"/>
      <c r="L1486" s="368"/>
      <c r="M1486" s="359"/>
      <c r="N1486" s="397"/>
      <c r="O1486" s="368"/>
      <c r="P1486" s="226">
        <v>44066</v>
      </c>
      <c r="Q1486" s="368"/>
    </row>
    <row r="1487" spans="1:20" ht="15" customHeight="1" thickBot="1" x14ac:dyDescent="0.35">
      <c r="A1487" s="372"/>
      <c r="B1487" s="372"/>
      <c r="C1487" s="42">
        <v>9800</v>
      </c>
      <c r="D1487" s="372"/>
      <c r="E1487" s="369"/>
      <c r="F1487" s="369"/>
      <c r="G1487" s="369"/>
      <c r="H1487" s="369"/>
      <c r="I1487" s="369"/>
      <c r="J1487" s="369"/>
      <c r="K1487" s="369"/>
      <c r="L1487" s="369"/>
      <c r="M1487" s="360"/>
      <c r="N1487" s="398"/>
      <c r="O1487" s="369"/>
      <c r="P1487" s="67"/>
      <c r="Q1487" s="369"/>
    </row>
    <row r="1488" spans="1:20" ht="15" hidden="1" customHeight="1" x14ac:dyDescent="0.3">
      <c r="A1488" s="370">
        <v>354</v>
      </c>
      <c r="B1488" s="370" t="s">
        <v>174</v>
      </c>
      <c r="C1488" s="40">
        <v>7657</v>
      </c>
      <c r="D1488" s="370">
        <v>0</v>
      </c>
      <c r="E1488" s="367" t="s">
        <v>13</v>
      </c>
      <c r="F1488" s="367">
        <v>1000</v>
      </c>
      <c r="G1488" s="367">
        <v>1000</v>
      </c>
      <c r="H1488" s="367" t="s">
        <v>25</v>
      </c>
      <c r="I1488" s="367" t="s">
        <v>13</v>
      </c>
      <c r="J1488" s="367" t="s">
        <v>13</v>
      </c>
      <c r="K1488" s="367" t="s">
        <v>13</v>
      </c>
      <c r="L1488" s="367" t="s">
        <v>13</v>
      </c>
      <c r="M1488" s="358" t="s">
        <v>14</v>
      </c>
      <c r="N1488" s="396" t="s">
        <v>234</v>
      </c>
      <c r="O1488" s="367" t="s">
        <v>27</v>
      </c>
      <c r="P1488" s="65"/>
      <c r="Q1488" s="367" t="s">
        <v>184</v>
      </c>
    </row>
    <row r="1489" spans="1:20" ht="15" customHeight="1" x14ac:dyDescent="0.3">
      <c r="A1489" s="371"/>
      <c r="B1489" s="371"/>
      <c r="C1489" s="41">
        <v>18546</v>
      </c>
      <c r="D1489" s="371"/>
      <c r="E1489" s="368"/>
      <c r="F1489" s="368"/>
      <c r="G1489" s="368"/>
      <c r="H1489" s="368"/>
      <c r="I1489" s="368"/>
      <c r="J1489" s="368"/>
      <c r="K1489" s="368"/>
      <c r="L1489" s="368"/>
      <c r="M1489" s="359"/>
      <c r="N1489" s="397"/>
      <c r="O1489" s="368"/>
      <c r="P1489" s="226">
        <v>44066</v>
      </c>
      <c r="Q1489" s="368"/>
      <c r="T1489" s="200">
        <v>1</v>
      </c>
    </row>
    <row r="1490" spans="1:20" ht="15" customHeight="1" thickBot="1" x14ac:dyDescent="0.35">
      <c r="A1490" s="372"/>
      <c r="B1490" s="372"/>
      <c r="C1490" s="42">
        <v>9800</v>
      </c>
      <c r="D1490" s="372"/>
      <c r="E1490" s="369"/>
      <c r="F1490" s="369"/>
      <c r="G1490" s="369"/>
      <c r="H1490" s="369"/>
      <c r="I1490" s="369"/>
      <c r="J1490" s="369"/>
      <c r="K1490" s="369"/>
      <c r="L1490" s="369"/>
      <c r="M1490" s="360"/>
      <c r="N1490" s="398"/>
      <c r="O1490" s="369"/>
      <c r="P1490" s="67"/>
      <c r="Q1490" s="369"/>
    </row>
    <row r="1491" spans="1:20" ht="15" hidden="1" customHeight="1" x14ac:dyDescent="0.3">
      <c r="A1491" s="373">
        <v>355</v>
      </c>
      <c r="B1491" s="373" t="s">
        <v>324</v>
      </c>
      <c r="C1491" s="49">
        <v>7657</v>
      </c>
      <c r="D1491" s="373">
        <v>1</v>
      </c>
      <c r="E1491" s="373" t="s">
        <v>245</v>
      </c>
      <c r="F1491" s="373">
        <v>1000</v>
      </c>
      <c r="G1491" s="373">
        <v>1000</v>
      </c>
      <c r="H1491" s="373" t="s">
        <v>44</v>
      </c>
      <c r="I1491" s="373">
        <v>300</v>
      </c>
      <c r="J1491" s="376" t="s">
        <v>45</v>
      </c>
      <c r="K1491" s="373">
        <v>90</v>
      </c>
      <c r="L1491" s="373">
        <v>20</v>
      </c>
      <c r="M1491" s="379" t="s">
        <v>14</v>
      </c>
      <c r="N1491" s="408" t="s">
        <v>234</v>
      </c>
      <c r="O1491" s="373" t="s">
        <v>27</v>
      </c>
      <c r="P1491" s="83"/>
      <c r="Q1491" s="373" t="s">
        <v>325</v>
      </c>
      <c r="R1491" s="453">
        <v>44039</v>
      </c>
    </row>
    <row r="1492" spans="1:20" ht="15" customHeight="1" x14ac:dyDescent="0.3">
      <c r="A1492" s="374"/>
      <c r="B1492" s="374"/>
      <c r="C1492" s="51">
        <v>18546</v>
      </c>
      <c r="D1492" s="374"/>
      <c r="E1492" s="374"/>
      <c r="F1492" s="374"/>
      <c r="G1492" s="374"/>
      <c r="H1492" s="374"/>
      <c r="I1492" s="374"/>
      <c r="J1492" s="377"/>
      <c r="K1492" s="374"/>
      <c r="L1492" s="374"/>
      <c r="M1492" s="380"/>
      <c r="N1492" s="409"/>
      <c r="O1492" s="374"/>
      <c r="P1492" s="84"/>
      <c r="Q1492" s="374"/>
      <c r="R1492" s="454"/>
      <c r="T1492" s="288">
        <v>1</v>
      </c>
    </row>
    <row r="1493" spans="1:20" ht="15" customHeight="1" thickBot="1" x14ac:dyDescent="0.35">
      <c r="A1493" s="375"/>
      <c r="B1493" s="375"/>
      <c r="C1493" s="50">
        <v>12075</v>
      </c>
      <c r="D1493" s="375"/>
      <c r="E1493" s="375"/>
      <c r="F1493" s="375"/>
      <c r="G1493" s="375"/>
      <c r="H1493" s="375"/>
      <c r="I1493" s="375"/>
      <c r="J1493" s="378"/>
      <c r="K1493" s="375"/>
      <c r="L1493" s="375"/>
      <c r="M1493" s="381"/>
      <c r="N1493" s="410"/>
      <c r="O1493" s="375"/>
      <c r="P1493" s="85"/>
      <c r="Q1493" s="375"/>
      <c r="R1493" s="454"/>
    </row>
    <row r="1494" spans="1:20" ht="15" hidden="1" customHeight="1" x14ac:dyDescent="0.3">
      <c r="A1494" s="370">
        <v>356</v>
      </c>
      <c r="B1494" s="370" t="s">
        <v>174</v>
      </c>
      <c r="C1494" s="40">
        <v>6089</v>
      </c>
      <c r="D1494" s="370">
        <v>0</v>
      </c>
      <c r="E1494" s="367" t="s">
        <v>13</v>
      </c>
      <c r="F1494" s="367">
        <v>1000</v>
      </c>
      <c r="G1494" s="367">
        <v>1000</v>
      </c>
      <c r="H1494" s="370" t="s">
        <v>187</v>
      </c>
      <c r="I1494" s="367" t="s">
        <v>13</v>
      </c>
      <c r="J1494" s="367" t="s">
        <v>13</v>
      </c>
      <c r="K1494" s="367" t="s">
        <v>13</v>
      </c>
      <c r="L1494" s="367" t="s">
        <v>13</v>
      </c>
      <c r="M1494" s="358" t="s">
        <v>14</v>
      </c>
      <c r="N1494" s="396" t="s">
        <v>234</v>
      </c>
      <c r="O1494" s="367" t="s">
        <v>27</v>
      </c>
      <c r="P1494" s="65"/>
      <c r="Q1494" s="367" t="s">
        <v>188</v>
      </c>
    </row>
    <row r="1495" spans="1:20" ht="15" customHeight="1" x14ac:dyDescent="0.3">
      <c r="A1495" s="371"/>
      <c r="B1495" s="371"/>
      <c r="C1495" s="41">
        <v>17448</v>
      </c>
      <c r="D1495" s="371"/>
      <c r="E1495" s="368"/>
      <c r="F1495" s="368"/>
      <c r="G1495" s="368"/>
      <c r="H1495" s="371"/>
      <c r="I1495" s="368"/>
      <c r="J1495" s="368"/>
      <c r="K1495" s="368"/>
      <c r="L1495" s="368"/>
      <c r="M1495" s="359"/>
      <c r="N1495" s="397"/>
      <c r="O1495" s="368"/>
      <c r="P1495" s="226">
        <v>44066</v>
      </c>
      <c r="Q1495" s="368"/>
      <c r="T1495" s="200">
        <v>1</v>
      </c>
    </row>
    <row r="1496" spans="1:20" ht="15" customHeight="1" thickBot="1" x14ac:dyDescent="0.35">
      <c r="A1496" s="372"/>
      <c r="B1496" s="372"/>
      <c r="C1496" s="42">
        <v>13050</v>
      </c>
      <c r="D1496" s="372"/>
      <c r="E1496" s="369"/>
      <c r="F1496" s="369"/>
      <c r="G1496" s="369"/>
      <c r="H1496" s="372"/>
      <c r="I1496" s="369"/>
      <c r="J1496" s="369"/>
      <c r="K1496" s="369"/>
      <c r="L1496" s="369"/>
      <c r="M1496" s="360"/>
      <c r="N1496" s="398"/>
      <c r="O1496" s="369"/>
      <c r="P1496" s="67"/>
      <c r="Q1496" s="369"/>
    </row>
    <row r="1497" spans="1:20" ht="15" hidden="1" customHeight="1" x14ac:dyDescent="0.3">
      <c r="A1497" s="370">
        <v>357</v>
      </c>
      <c r="B1497" s="370" t="s">
        <v>174</v>
      </c>
      <c r="C1497" s="40">
        <v>1669</v>
      </c>
      <c r="D1497" s="370">
        <v>0</v>
      </c>
      <c r="E1497" s="367" t="s">
        <v>13</v>
      </c>
      <c r="F1497" s="367">
        <v>1200</v>
      </c>
      <c r="G1497" s="367">
        <v>1200</v>
      </c>
      <c r="H1497" s="367" t="s">
        <v>25</v>
      </c>
      <c r="I1497" s="367" t="s">
        <v>13</v>
      </c>
      <c r="J1497" s="367" t="s">
        <v>13</v>
      </c>
      <c r="K1497" s="367" t="s">
        <v>13</v>
      </c>
      <c r="L1497" s="367" t="s">
        <v>13</v>
      </c>
      <c r="M1497" s="358" t="s">
        <v>14</v>
      </c>
      <c r="N1497" s="396" t="s">
        <v>80</v>
      </c>
      <c r="O1497" s="367" t="s">
        <v>27</v>
      </c>
      <c r="P1497" s="65"/>
      <c r="Q1497" s="367" t="s">
        <v>184</v>
      </c>
      <c r="T1497" s="200">
        <v>1</v>
      </c>
    </row>
    <row r="1498" spans="1:20" ht="15" customHeight="1" x14ac:dyDescent="0.3">
      <c r="A1498" s="371"/>
      <c r="B1498" s="371"/>
      <c r="C1498" s="41">
        <v>14964</v>
      </c>
      <c r="D1498" s="371"/>
      <c r="E1498" s="368"/>
      <c r="F1498" s="368"/>
      <c r="G1498" s="368"/>
      <c r="H1498" s="368"/>
      <c r="I1498" s="368"/>
      <c r="J1498" s="368"/>
      <c r="K1498" s="368"/>
      <c r="L1498" s="368"/>
      <c r="M1498" s="359"/>
      <c r="N1498" s="397"/>
      <c r="O1498" s="368"/>
      <c r="P1498" s="226">
        <v>44066</v>
      </c>
      <c r="Q1498" s="368"/>
    </row>
    <row r="1499" spans="1:20" ht="15" customHeight="1" thickBot="1" x14ac:dyDescent="0.35">
      <c r="A1499" s="372"/>
      <c r="B1499" s="372"/>
      <c r="C1499" s="42">
        <v>11800</v>
      </c>
      <c r="D1499" s="372"/>
      <c r="E1499" s="369"/>
      <c r="F1499" s="369"/>
      <c r="G1499" s="369"/>
      <c r="H1499" s="369"/>
      <c r="I1499" s="369"/>
      <c r="J1499" s="369"/>
      <c r="K1499" s="369"/>
      <c r="L1499" s="369"/>
      <c r="M1499" s="360"/>
      <c r="N1499" s="398"/>
      <c r="O1499" s="369"/>
      <c r="P1499" s="67"/>
      <c r="Q1499" s="369"/>
    </row>
    <row r="1500" spans="1:20" ht="15" hidden="1" customHeight="1" x14ac:dyDescent="0.3">
      <c r="A1500" s="370">
        <v>358</v>
      </c>
      <c r="B1500" s="370" t="s">
        <v>174</v>
      </c>
      <c r="C1500" s="40">
        <v>-842</v>
      </c>
      <c r="D1500" s="370">
        <v>0</v>
      </c>
      <c r="E1500" s="367" t="s">
        <v>13</v>
      </c>
      <c r="F1500" s="367">
        <v>1200</v>
      </c>
      <c r="G1500" s="367">
        <v>1200</v>
      </c>
      <c r="H1500" s="370" t="s">
        <v>187</v>
      </c>
      <c r="I1500" s="367" t="s">
        <v>13</v>
      </c>
      <c r="J1500" s="367" t="s">
        <v>13</v>
      </c>
      <c r="K1500" s="367" t="s">
        <v>13</v>
      </c>
      <c r="L1500" s="367" t="s">
        <v>329</v>
      </c>
      <c r="M1500" s="358" t="s">
        <v>14</v>
      </c>
      <c r="N1500" s="396" t="s">
        <v>80</v>
      </c>
      <c r="O1500" s="367" t="s">
        <v>27</v>
      </c>
      <c r="P1500" s="65"/>
      <c r="Q1500" s="367" t="s">
        <v>188</v>
      </c>
      <c r="T1500" s="200">
        <v>1</v>
      </c>
    </row>
    <row r="1501" spans="1:20" ht="15" customHeight="1" x14ac:dyDescent="0.3">
      <c r="A1501" s="371"/>
      <c r="B1501" s="371"/>
      <c r="C1501" s="41">
        <v>13205</v>
      </c>
      <c r="D1501" s="371"/>
      <c r="E1501" s="368"/>
      <c r="F1501" s="368"/>
      <c r="G1501" s="368"/>
      <c r="H1501" s="371"/>
      <c r="I1501" s="368"/>
      <c r="J1501" s="368"/>
      <c r="K1501" s="368"/>
      <c r="L1501" s="368"/>
      <c r="M1501" s="359"/>
      <c r="N1501" s="397"/>
      <c r="O1501" s="368"/>
      <c r="P1501" s="226">
        <v>44066</v>
      </c>
      <c r="Q1501" s="368"/>
    </row>
    <row r="1502" spans="1:20" ht="15" customHeight="1" thickBot="1" x14ac:dyDescent="0.35">
      <c r="A1502" s="372"/>
      <c r="B1502" s="372"/>
      <c r="C1502" s="42">
        <v>11740</v>
      </c>
      <c r="D1502" s="372"/>
      <c r="E1502" s="369"/>
      <c r="F1502" s="369"/>
      <c r="G1502" s="369"/>
      <c r="H1502" s="372"/>
      <c r="I1502" s="369"/>
      <c r="J1502" s="369"/>
      <c r="K1502" s="369"/>
      <c r="L1502" s="369"/>
      <c r="M1502" s="360"/>
      <c r="N1502" s="398"/>
      <c r="O1502" s="369"/>
      <c r="P1502" s="67"/>
      <c r="Q1502" s="369"/>
    </row>
    <row r="1503" spans="1:20" ht="15" hidden="1" customHeight="1" x14ac:dyDescent="0.3">
      <c r="A1503" s="370">
        <v>359</v>
      </c>
      <c r="B1503" s="370" t="s">
        <v>174</v>
      </c>
      <c r="C1503" s="40">
        <v>2960</v>
      </c>
      <c r="D1503" s="370">
        <v>0</v>
      </c>
      <c r="E1503" s="367" t="s">
        <v>13</v>
      </c>
      <c r="F1503" s="367">
        <v>1200</v>
      </c>
      <c r="G1503" s="367">
        <v>1200</v>
      </c>
      <c r="H1503" s="370" t="s">
        <v>187</v>
      </c>
      <c r="I1503" s="367" t="s">
        <v>13</v>
      </c>
      <c r="J1503" s="367" t="s">
        <v>13</v>
      </c>
      <c r="K1503" s="367" t="s">
        <v>13</v>
      </c>
      <c r="L1503" s="367" t="s">
        <v>13</v>
      </c>
      <c r="M1503" s="358" t="s">
        <v>14</v>
      </c>
      <c r="N1503" s="396" t="s">
        <v>80</v>
      </c>
      <c r="O1503" s="367" t="s">
        <v>27</v>
      </c>
      <c r="P1503" s="65"/>
      <c r="Q1503" s="367" t="s">
        <v>188</v>
      </c>
      <c r="T1503" s="200">
        <v>1</v>
      </c>
    </row>
    <row r="1504" spans="1:20" ht="15" customHeight="1" x14ac:dyDescent="0.3">
      <c r="A1504" s="371"/>
      <c r="B1504" s="371"/>
      <c r="C1504" s="41">
        <v>15866</v>
      </c>
      <c r="D1504" s="371"/>
      <c r="E1504" s="368"/>
      <c r="F1504" s="368"/>
      <c r="G1504" s="368"/>
      <c r="H1504" s="371"/>
      <c r="I1504" s="368"/>
      <c r="J1504" s="368"/>
      <c r="K1504" s="368"/>
      <c r="L1504" s="368"/>
      <c r="M1504" s="359"/>
      <c r="N1504" s="397"/>
      <c r="O1504" s="368"/>
      <c r="P1504" s="226">
        <v>44066</v>
      </c>
      <c r="Q1504" s="368"/>
    </row>
    <row r="1505" spans="1:20" ht="15" customHeight="1" thickBot="1" x14ac:dyDescent="0.35">
      <c r="A1505" s="372"/>
      <c r="B1505" s="372"/>
      <c r="C1505" s="42">
        <v>11975</v>
      </c>
      <c r="D1505" s="372"/>
      <c r="E1505" s="369"/>
      <c r="F1505" s="369"/>
      <c r="G1505" s="369"/>
      <c r="H1505" s="372"/>
      <c r="I1505" s="369"/>
      <c r="J1505" s="369"/>
      <c r="K1505" s="369"/>
      <c r="L1505" s="369"/>
      <c r="M1505" s="360"/>
      <c r="N1505" s="398"/>
      <c r="O1505" s="369"/>
      <c r="P1505" s="67"/>
      <c r="Q1505" s="369"/>
    </row>
    <row r="1506" spans="1:20" ht="15" hidden="1" customHeight="1" x14ac:dyDescent="0.3">
      <c r="A1506" s="367">
        <v>360</v>
      </c>
      <c r="B1506" s="367" t="s">
        <v>270</v>
      </c>
      <c r="C1506" s="40">
        <v>14834</v>
      </c>
      <c r="D1506" s="367">
        <v>1</v>
      </c>
      <c r="E1506" s="367" t="s">
        <v>271</v>
      </c>
      <c r="F1506" s="367">
        <v>1000</v>
      </c>
      <c r="G1506" s="367">
        <v>1000</v>
      </c>
      <c r="H1506" s="367" t="s">
        <v>25</v>
      </c>
      <c r="I1506" s="367">
        <v>30</v>
      </c>
      <c r="J1506" s="370" t="s">
        <v>330</v>
      </c>
      <c r="K1506" s="367">
        <v>0</v>
      </c>
      <c r="L1506" s="367">
        <v>54.5</v>
      </c>
      <c r="M1506" s="358" t="s">
        <v>14</v>
      </c>
      <c r="N1506" s="396" t="s">
        <v>317</v>
      </c>
      <c r="O1506" s="367" t="s">
        <v>27</v>
      </c>
      <c r="P1506" s="65"/>
      <c r="Q1506" s="367" t="s">
        <v>331</v>
      </c>
      <c r="T1506" s="200">
        <v>1</v>
      </c>
    </row>
    <row r="1507" spans="1:20" ht="15" customHeight="1" x14ac:dyDescent="0.3">
      <c r="A1507" s="368"/>
      <c r="B1507" s="368"/>
      <c r="C1507" s="41">
        <v>15270</v>
      </c>
      <c r="D1507" s="368"/>
      <c r="E1507" s="368"/>
      <c r="F1507" s="368"/>
      <c r="G1507" s="368"/>
      <c r="H1507" s="368"/>
      <c r="I1507" s="368"/>
      <c r="J1507" s="371"/>
      <c r="K1507" s="368"/>
      <c r="L1507" s="368"/>
      <c r="M1507" s="359"/>
      <c r="N1507" s="397"/>
      <c r="O1507" s="368"/>
      <c r="P1507" s="226">
        <v>44066</v>
      </c>
      <c r="Q1507" s="368"/>
    </row>
    <row r="1508" spans="1:20" ht="15" customHeight="1" thickBot="1" x14ac:dyDescent="0.35">
      <c r="A1508" s="369"/>
      <c r="B1508" s="369"/>
      <c r="C1508" s="42">
        <v>12000</v>
      </c>
      <c r="D1508" s="369"/>
      <c r="E1508" s="369"/>
      <c r="F1508" s="369"/>
      <c r="G1508" s="369"/>
      <c r="H1508" s="369"/>
      <c r="I1508" s="369"/>
      <c r="J1508" s="372"/>
      <c r="K1508" s="369"/>
      <c r="L1508" s="369"/>
      <c r="M1508" s="360"/>
      <c r="N1508" s="398"/>
      <c r="O1508" s="369"/>
      <c r="P1508" s="67"/>
      <c r="Q1508" s="369"/>
    </row>
    <row r="1509" spans="1:20" ht="15" hidden="1" customHeight="1" x14ac:dyDescent="0.3">
      <c r="A1509" s="367">
        <v>361</v>
      </c>
      <c r="B1509" s="367" t="s">
        <v>174</v>
      </c>
      <c r="C1509" s="40">
        <v>7061</v>
      </c>
      <c r="D1509" s="370">
        <v>0</v>
      </c>
      <c r="E1509" s="367" t="s">
        <v>13</v>
      </c>
      <c r="F1509" s="367">
        <v>1200</v>
      </c>
      <c r="G1509" s="367">
        <v>1200</v>
      </c>
      <c r="H1509" s="367" t="s">
        <v>25</v>
      </c>
      <c r="I1509" s="367" t="s">
        <v>13</v>
      </c>
      <c r="J1509" s="367" t="s">
        <v>13</v>
      </c>
      <c r="K1509" s="367" t="s">
        <v>13</v>
      </c>
      <c r="L1509" s="367">
        <v>0</v>
      </c>
      <c r="M1509" s="358" t="s">
        <v>14</v>
      </c>
      <c r="N1509" s="396" t="s">
        <v>80</v>
      </c>
      <c r="O1509" s="367" t="s">
        <v>27</v>
      </c>
      <c r="P1509" s="65"/>
      <c r="Q1509" s="367" t="s">
        <v>184</v>
      </c>
    </row>
    <row r="1510" spans="1:20" ht="15" customHeight="1" x14ac:dyDescent="0.3">
      <c r="A1510" s="368"/>
      <c r="B1510" s="368"/>
      <c r="C1510" s="41">
        <v>7263</v>
      </c>
      <c r="D1510" s="371"/>
      <c r="E1510" s="368"/>
      <c r="F1510" s="368"/>
      <c r="G1510" s="368"/>
      <c r="H1510" s="368"/>
      <c r="I1510" s="368"/>
      <c r="J1510" s="368"/>
      <c r="K1510" s="368"/>
      <c r="L1510" s="368"/>
      <c r="M1510" s="359"/>
      <c r="N1510" s="397"/>
      <c r="O1510" s="368"/>
      <c r="P1510" s="226">
        <v>44066</v>
      </c>
      <c r="Q1510" s="368"/>
      <c r="T1510" s="200">
        <v>1</v>
      </c>
    </row>
    <row r="1511" spans="1:20" ht="15" customHeight="1" thickBot="1" x14ac:dyDescent="0.35">
      <c r="A1511" s="369"/>
      <c r="B1511" s="369"/>
      <c r="C1511" s="42">
        <v>11800</v>
      </c>
      <c r="D1511" s="372"/>
      <c r="E1511" s="369"/>
      <c r="F1511" s="369"/>
      <c r="G1511" s="369"/>
      <c r="H1511" s="369"/>
      <c r="I1511" s="369"/>
      <c r="J1511" s="369"/>
      <c r="K1511" s="369"/>
      <c r="L1511" s="369"/>
      <c r="M1511" s="360"/>
      <c r="N1511" s="398"/>
      <c r="O1511" s="369"/>
      <c r="P1511" s="67"/>
      <c r="Q1511" s="369"/>
    </row>
    <row r="1512" spans="1:20" ht="15" hidden="1" customHeight="1" x14ac:dyDescent="0.3">
      <c r="A1512" s="367">
        <v>362</v>
      </c>
      <c r="B1512" s="367" t="s">
        <v>174</v>
      </c>
      <c r="C1512" s="40">
        <v>10396</v>
      </c>
      <c r="D1512" s="370">
        <v>0</v>
      </c>
      <c r="E1512" s="367" t="s">
        <v>13</v>
      </c>
      <c r="F1512" s="367">
        <v>1000</v>
      </c>
      <c r="G1512" s="367">
        <v>1000</v>
      </c>
      <c r="H1512" s="367" t="s">
        <v>50</v>
      </c>
      <c r="I1512" s="367" t="s">
        <v>13</v>
      </c>
      <c r="J1512" s="367" t="s">
        <v>13</v>
      </c>
      <c r="K1512" s="367" t="s">
        <v>13</v>
      </c>
      <c r="L1512" s="367">
        <v>0</v>
      </c>
      <c r="M1512" s="358" t="s">
        <v>14</v>
      </c>
      <c r="N1512" s="396" t="s">
        <v>317</v>
      </c>
      <c r="O1512" s="367" t="s">
        <v>27</v>
      </c>
      <c r="P1512" s="65"/>
      <c r="Q1512" s="367" t="s">
        <v>184</v>
      </c>
    </row>
    <row r="1513" spans="1:20" ht="15" customHeight="1" x14ac:dyDescent="0.3">
      <c r="A1513" s="368"/>
      <c r="B1513" s="368"/>
      <c r="C1513" s="41">
        <v>7468</v>
      </c>
      <c r="D1513" s="371"/>
      <c r="E1513" s="368"/>
      <c r="F1513" s="368"/>
      <c r="G1513" s="368"/>
      <c r="H1513" s="368"/>
      <c r="I1513" s="368"/>
      <c r="J1513" s="368"/>
      <c r="K1513" s="368"/>
      <c r="L1513" s="368"/>
      <c r="M1513" s="359"/>
      <c r="N1513" s="397"/>
      <c r="O1513" s="368"/>
      <c r="P1513" s="226">
        <v>44066</v>
      </c>
      <c r="Q1513" s="368"/>
      <c r="T1513" s="200">
        <v>1</v>
      </c>
    </row>
    <row r="1514" spans="1:20" ht="15" customHeight="1" thickBot="1" x14ac:dyDescent="0.35">
      <c r="A1514" s="369"/>
      <c r="B1514" s="369"/>
      <c r="C1514" s="42">
        <v>13000</v>
      </c>
      <c r="D1514" s="372"/>
      <c r="E1514" s="369"/>
      <c r="F1514" s="369"/>
      <c r="G1514" s="369"/>
      <c r="H1514" s="369"/>
      <c r="I1514" s="369"/>
      <c r="J1514" s="369"/>
      <c r="K1514" s="369"/>
      <c r="L1514" s="369"/>
      <c r="M1514" s="360"/>
      <c r="N1514" s="398"/>
      <c r="O1514" s="369"/>
      <c r="P1514" s="67"/>
      <c r="Q1514" s="369"/>
    </row>
    <row r="1515" spans="1:20" ht="15" hidden="1" customHeight="1" x14ac:dyDescent="0.3">
      <c r="A1515" s="367">
        <v>363</v>
      </c>
      <c r="B1515" s="367" t="s">
        <v>174</v>
      </c>
      <c r="C1515" s="40">
        <v>10396</v>
      </c>
      <c r="D1515" s="370">
        <v>0</v>
      </c>
      <c r="E1515" s="367" t="s">
        <v>13</v>
      </c>
      <c r="F1515" s="367">
        <v>1000</v>
      </c>
      <c r="G1515" s="367">
        <v>1000</v>
      </c>
      <c r="H1515" s="367" t="s">
        <v>50</v>
      </c>
      <c r="I1515" s="367" t="s">
        <v>13</v>
      </c>
      <c r="J1515" s="367" t="s">
        <v>13</v>
      </c>
      <c r="K1515" s="367" t="s">
        <v>13</v>
      </c>
      <c r="L1515" s="367">
        <v>0</v>
      </c>
      <c r="M1515" s="358" t="s">
        <v>14</v>
      </c>
      <c r="N1515" s="396" t="s">
        <v>317</v>
      </c>
      <c r="O1515" s="367" t="s">
        <v>27</v>
      </c>
      <c r="P1515" s="65"/>
      <c r="Q1515" s="367" t="s">
        <v>184</v>
      </c>
      <c r="T1515" s="200">
        <v>1</v>
      </c>
    </row>
    <row r="1516" spans="1:20" ht="15" customHeight="1" x14ac:dyDescent="0.3">
      <c r="A1516" s="368"/>
      <c r="B1516" s="368"/>
      <c r="C1516" s="41">
        <v>7468</v>
      </c>
      <c r="D1516" s="371"/>
      <c r="E1516" s="368"/>
      <c r="F1516" s="368"/>
      <c r="G1516" s="368"/>
      <c r="H1516" s="368"/>
      <c r="I1516" s="368"/>
      <c r="J1516" s="368"/>
      <c r="K1516" s="368"/>
      <c r="L1516" s="368"/>
      <c r="M1516" s="359"/>
      <c r="N1516" s="397"/>
      <c r="O1516" s="368"/>
      <c r="P1516" s="226">
        <v>44066</v>
      </c>
      <c r="Q1516" s="368"/>
    </row>
    <row r="1517" spans="1:20" ht="15" customHeight="1" thickBot="1" x14ac:dyDescent="0.35">
      <c r="A1517" s="369"/>
      <c r="B1517" s="369"/>
      <c r="C1517" s="42">
        <v>12700</v>
      </c>
      <c r="D1517" s="372"/>
      <c r="E1517" s="369"/>
      <c r="F1517" s="369"/>
      <c r="G1517" s="369"/>
      <c r="H1517" s="369"/>
      <c r="I1517" s="369"/>
      <c r="J1517" s="369"/>
      <c r="K1517" s="369"/>
      <c r="L1517" s="369"/>
      <c r="M1517" s="360"/>
      <c r="N1517" s="398"/>
      <c r="O1517" s="369"/>
      <c r="P1517" s="67"/>
      <c r="Q1517" s="369"/>
    </row>
    <row r="1518" spans="1:20" ht="15" hidden="1" customHeight="1" x14ac:dyDescent="0.3">
      <c r="A1518" s="367">
        <v>364</v>
      </c>
      <c r="B1518" s="367" t="s">
        <v>174</v>
      </c>
      <c r="C1518" s="40">
        <v>10600</v>
      </c>
      <c r="D1518" s="370">
        <v>0</v>
      </c>
      <c r="E1518" s="367" t="s">
        <v>13</v>
      </c>
      <c r="F1518" s="367">
        <v>1000</v>
      </c>
      <c r="G1518" s="367">
        <v>1000</v>
      </c>
      <c r="H1518" s="367" t="s">
        <v>25</v>
      </c>
      <c r="I1518" s="367" t="s">
        <v>13</v>
      </c>
      <c r="J1518" s="367" t="s">
        <v>13</v>
      </c>
      <c r="K1518" s="367" t="s">
        <v>13</v>
      </c>
      <c r="L1518" s="367">
        <v>0</v>
      </c>
      <c r="M1518" s="358" t="s">
        <v>14</v>
      </c>
      <c r="N1518" s="396" t="s">
        <v>317</v>
      </c>
      <c r="O1518" s="367" t="s">
        <v>27</v>
      </c>
      <c r="P1518" s="65"/>
      <c r="Q1518" s="367" t="s">
        <v>184</v>
      </c>
      <c r="T1518" s="200">
        <v>1</v>
      </c>
    </row>
    <row r="1519" spans="1:20" ht="15" customHeight="1" x14ac:dyDescent="0.3">
      <c r="A1519" s="368"/>
      <c r="B1519" s="368"/>
      <c r="C1519" s="41">
        <v>3600</v>
      </c>
      <c r="D1519" s="371"/>
      <c r="E1519" s="368"/>
      <c r="F1519" s="368"/>
      <c r="G1519" s="368"/>
      <c r="H1519" s="368"/>
      <c r="I1519" s="368"/>
      <c r="J1519" s="368"/>
      <c r="K1519" s="368"/>
      <c r="L1519" s="368"/>
      <c r="M1519" s="359"/>
      <c r="N1519" s="397"/>
      <c r="O1519" s="368"/>
      <c r="P1519" s="226">
        <v>44066</v>
      </c>
      <c r="Q1519" s="368"/>
    </row>
    <row r="1520" spans="1:20" ht="15" customHeight="1" thickBot="1" x14ac:dyDescent="0.35">
      <c r="A1520" s="369"/>
      <c r="B1520" s="369"/>
      <c r="C1520" s="42">
        <v>12600</v>
      </c>
      <c r="D1520" s="372"/>
      <c r="E1520" s="369"/>
      <c r="F1520" s="369"/>
      <c r="G1520" s="369"/>
      <c r="H1520" s="369"/>
      <c r="I1520" s="369"/>
      <c r="J1520" s="369"/>
      <c r="K1520" s="369"/>
      <c r="L1520" s="369"/>
      <c r="M1520" s="360"/>
      <c r="N1520" s="398"/>
      <c r="O1520" s="369"/>
      <c r="P1520" s="67"/>
      <c r="Q1520" s="369"/>
    </row>
    <row r="1521" spans="1:20" ht="15" hidden="1" customHeight="1" x14ac:dyDescent="0.3">
      <c r="A1521" s="367">
        <v>365</v>
      </c>
      <c r="B1521" s="367" t="s">
        <v>174</v>
      </c>
      <c r="C1521" s="40">
        <v>10600</v>
      </c>
      <c r="D1521" s="370">
        <v>0</v>
      </c>
      <c r="E1521" s="367" t="s">
        <v>13</v>
      </c>
      <c r="F1521" s="367">
        <v>1000</v>
      </c>
      <c r="G1521" s="367">
        <v>1000</v>
      </c>
      <c r="H1521" s="367" t="s">
        <v>25</v>
      </c>
      <c r="I1521" s="367" t="s">
        <v>13</v>
      </c>
      <c r="J1521" s="367" t="s">
        <v>13</v>
      </c>
      <c r="K1521" s="367" t="s">
        <v>13</v>
      </c>
      <c r="L1521" s="367">
        <v>0</v>
      </c>
      <c r="M1521" s="358" t="s">
        <v>14</v>
      </c>
      <c r="N1521" s="396" t="s">
        <v>317</v>
      </c>
      <c r="O1521" s="367" t="s">
        <v>27</v>
      </c>
      <c r="P1521" s="65"/>
      <c r="Q1521" s="367" t="s">
        <v>184</v>
      </c>
    </row>
    <row r="1522" spans="1:20" ht="15" customHeight="1" x14ac:dyDescent="0.3">
      <c r="A1522" s="368"/>
      <c r="B1522" s="368"/>
      <c r="C1522" s="41">
        <v>3600</v>
      </c>
      <c r="D1522" s="371"/>
      <c r="E1522" s="368"/>
      <c r="F1522" s="368"/>
      <c r="G1522" s="368"/>
      <c r="H1522" s="368"/>
      <c r="I1522" s="368"/>
      <c r="J1522" s="368"/>
      <c r="K1522" s="368"/>
      <c r="L1522" s="368"/>
      <c r="M1522" s="359"/>
      <c r="N1522" s="397"/>
      <c r="O1522" s="368"/>
      <c r="P1522" s="226">
        <v>44066</v>
      </c>
      <c r="Q1522" s="368"/>
      <c r="T1522" s="200">
        <v>1</v>
      </c>
    </row>
    <row r="1523" spans="1:20" ht="15" customHeight="1" thickBot="1" x14ac:dyDescent="0.35">
      <c r="A1523" s="369"/>
      <c r="B1523" s="369"/>
      <c r="C1523" s="42">
        <v>13000</v>
      </c>
      <c r="D1523" s="372"/>
      <c r="E1523" s="369"/>
      <c r="F1523" s="369"/>
      <c r="G1523" s="369"/>
      <c r="H1523" s="369"/>
      <c r="I1523" s="369"/>
      <c r="J1523" s="369"/>
      <c r="K1523" s="369"/>
      <c r="L1523" s="369"/>
      <c r="M1523" s="360"/>
      <c r="N1523" s="398"/>
      <c r="O1523" s="369"/>
      <c r="P1523" s="67"/>
      <c r="Q1523" s="369"/>
    </row>
    <row r="1524" spans="1:20" ht="15" hidden="1" customHeight="1" x14ac:dyDescent="0.3">
      <c r="A1524" s="367">
        <v>366</v>
      </c>
      <c r="B1524" s="367" t="s">
        <v>174</v>
      </c>
      <c r="C1524" s="40">
        <v>10600</v>
      </c>
      <c r="D1524" s="370">
        <v>0</v>
      </c>
      <c r="E1524" s="367" t="s">
        <v>13</v>
      </c>
      <c r="F1524" s="367">
        <v>1000</v>
      </c>
      <c r="G1524" s="367">
        <v>1000</v>
      </c>
      <c r="H1524" s="367" t="s">
        <v>30</v>
      </c>
      <c r="I1524" s="367" t="s">
        <v>13</v>
      </c>
      <c r="J1524" s="367" t="s">
        <v>13</v>
      </c>
      <c r="K1524" s="367" t="s">
        <v>13</v>
      </c>
      <c r="L1524" s="367">
        <v>0</v>
      </c>
      <c r="M1524" s="358" t="s">
        <v>14</v>
      </c>
      <c r="N1524" s="396" t="s">
        <v>317</v>
      </c>
      <c r="O1524" s="367" t="s">
        <v>27</v>
      </c>
      <c r="P1524" s="65"/>
      <c r="Q1524" s="367" t="s">
        <v>184</v>
      </c>
    </row>
    <row r="1525" spans="1:20" ht="15" customHeight="1" x14ac:dyDescent="0.3">
      <c r="A1525" s="368"/>
      <c r="B1525" s="368"/>
      <c r="C1525" s="41">
        <v>3150</v>
      </c>
      <c r="D1525" s="371"/>
      <c r="E1525" s="368"/>
      <c r="F1525" s="368"/>
      <c r="G1525" s="368"/>
      <c r="H1525" s="368"/>
      <c r="I1525" s="368"/>
      <c r="J1525" s="368"/>
      <c r="K1525" s="368"/>
      <c r="L1525" s="368"/>
      <c r="M1525" s="359"/>
      <c r="N1525" s="397"/>
      <c r="O1525" s="368"/>
      <c r="P1525" s="226">
        <v>44066</v>
      </c>
      <c r="Q1525" s="368"/>
      <c r="T1525" s="200">
        <v>1</v>
      </c>
    </row>
    <row r="1526" spans="1:20" ht="15" customHeight="1" thickBot="1" x14ac:dyDescent="0.35">
      <c r="A1526" s="369"/>
      <c r="B1526" s="369"/>
      <c r="C1526" s="42">
        <v>12695</v>
      </c>
      <c r="D1526" s="372"/>
      <c r="E1526" s="369"/>
      <c r="F1526" s="369"/>
      <c r="G1526" s="369"/>
      <c r="H1526" s="369"/>
      <c r="I1526" s="369"/>
      <c r="J1526" s="369"/>
      <c r="K1526" s="369"/>
      <c r="L1526" s="369"/>
      <c r="M1526" s="360"/>
      <c r="N1526" s="398"/>
      <c r="O1526" s="369"/>
      <c r="P1526" s="67"/>
      <c r="Q1526" s="369"/>
    </row>
    <row r="1527" spans="1:20" ht="15" hidden="1" customHeight="1" x14ac:dyDescent="0.3">
      <c r="A1527" s="367">
        <v>367</v>
      </c>
      <c r="B1527" s="367" t="s">
        <v>174</v>
      </c>
      <c r="C1527" s="40">
        <v>11200</v>
      </c>
      <c r="D1527" s="370">
        <v>0</v>
      </c>
      <c r="E1527" s="367" t="s">
        <v>13</v>
      </c>
      <c r="F1527" s="367">
        <v>1000</v>
      </c>
      <c r="G1527" s="367">
        <v>1000</v>
      </c>
      <c r="H1527" s="367" t="s">
        <v>25</v>
      </c>
      <c r="I1527" s="367" t="s">
        <v>13</v>
      </c>
      <c r="J1527" s="367" t="s">
        <v>13</v>
      </c>
      <c r="K1527" s="367" t="s">
        <v>13</v>
      </c>
      <c r="L1527" s="367">
        <v>0</v>
      </c>
      <c r="M1527" s="358" t="s">
        <v>14</v>
      </c>
      <c r="N1527" s="396" t="s">
        <v>332</v>
      </c>
      <c r="O1527" s="367" t="s">
        <v>27</v>
      </c>
      <c r="P1527" s="65"/>
      <c r="Q1527" s="367" t="s">
        <v>184</v>
      </c>
    </row>
    <row r="1528" spans="1:20" ht="15" customHeight="1" x14ac:dyDescent="0.3">
      <c r="A1528" s="368"/>
      <c r="B1528" s="368"/>
      <c r="C1528" s="41">
        <v>-16300</v>
      </c>
      <c r="D1528" s="371"/>
      <c r="E1528" s="368"/>
      <c r="F1528" s="368"/>
      <c r="G1528" s="368"/>
      <c r="H1528" s="368"/>
      <c r="I1528" s="368"/>
      <c r="J1528" s="368"/>
      <c r="K1528" s="368"/>
      <c r="L1528" s="368"/>
      <c r="M1528" s="359"/>
      <c r="N1528" s="397"/>
      <c r="O1528" s="368"/>
      <c r="P1528" s="226">
        <v>44066</v>
      </c>
      <c r="Q1528" s="368"/>
      <c r="T1528" s="200">
        <v>1</v>
      </c>
    </row>
    <row r="1529" spans="1:20" ht="15" customHeight="1" thickBot="1" x14ac:dyDescent="0.35">
      <c r="A1529" s="369"/>
      <c r="B1529" s="369"/>
      <c r="C1529" s="42">
        <v>13000</v>
      </c>
      <c r="D1529" s="372"/>
      <c r="E1529" s="369"/>
      <c r="F1529" s="369"/>
      <c r="G1529" s="369"/>
      <c r="H1529" s="369"/>
      <c r="I1529" s="369"/>
      <c r="J1529" s="369"/>
      <c r="K1529" s="369"/>
      <c r="L1529" s="369"/>
      <c r="M1529" s="360"/>
      <c r="N1529" s="398"/>
      <c r="O1529" s="369"/>
      <c r="P1529" s="67"/>
      <c r="Q1529" s="369"/>
    </row>
    <row r="1530" spans="1:20" ht="15" hidden="1" customHeight="1" x14ac:dyDescent="0.3">
      <c r="A1530" s="367">
        <v>368</v>
      </c>
      <c r="B1530" s="367" t="s">
        <v>174</v>
      </c>
      <c r="C1530" s="40">
        <v>11200</v>
      </c>
      <c r="D1530" s="370">
        <v>0</v>
      </c>
      <c r="E1530" s="367" t="s">
        <v>13</v>
      </c>
      <c r="F1530" s="367">
        <v>1000</v>
      </c>
      <c r="G1530" s="367">
        <v>1000</v>
      </c>
      <c r="H1530" s="367" t="s">
        <v>25</v>
      </c>
      <c r="I1530" s="367" t="s">
        <v>13</v>
      </c>
      <c r="J1530" s="367" t="s">
        <v>13</v>
      </c>
      <c r="K1530" s="367" t="s">
        <v>13</v>
      </c>
      <c r="L1530" s="367">
        <v>0</v>
      </c>
      <c r="M1530" s="358" t="s">
        <v>14</v>
      </c>
      <c r="N1530" s="396" t="s">
        <v>332</v>
      </c>
      <c r="O1530" s="367" t="s">
        <v>27</v>
      </c>
      <c r="P1530" s="228">
        <v>44066</v>
      </c>
      <c r="Q1530" s="367" t="s">
        <v>184</v>
      </c>
    </row>
    <row r="1531" spans="1:20" ht="15" customHeight="1" x14ac:dyDescent="0.3">
      <c r="A1531" s="368"/>
      <c r="B1531" s="368"/>
      <c r="C1531" s="41">
        <v>-16300</v>
      </c>
      <c r="D1531" s="371"/>
      <c r="E1531" s="368"/>
      <c r="F1531" s="368"/>
      <c r="G1531" s="368"/>
      <c r="H1531" s="368"/>
      <c r="I1531" s="368"/>
      <c r="J1531" s="368"/>
      <c r="K1531" s="368"/>
      <c r="L1531" s="368"/>
      <c r="M1531" s="359"/>
      <c r="N1531" s="397"/>
      <c r="O1531" s="368"/>
      <c r="P1531" s="66"/>
      <c r="Q1531" s="368"/>
      <c r="T1531" s="200">
        <v>1</v>
      </c>
    </row>
    <row r="1532" spans="1:20" ht="15" customHeight="1" thickBot="1" x14ac:dyDescent="0.35">
      <c r="A1532" s="369"/>
      <c r="B1532" s="369"/>
      <c r="C1532" s="42">
        <v>12500</v>
      </c>
      <c r="D1532" s="372"/>
      <c r="E1532" s="369"/>
      <c r="F1532" s="369"/>
      <c r="G1532" s="369"/>
      <c r="H1532" s="369"/>
      <c r="I1532" s="369"/>
      <c r="J1532" s="369"/>
      <c r="K1532" s="369"/>
      <c r="L1532" s="369"/>
      <c r="M1532" s="360"/>
      <c r="N1532" s="398"/>
      <c r="O1532" s="369"/>
      <c r="P1532" s="67"/>
      <c r="Q1532" s="369"/>
    </row>
    <row r="1533" spans="1:20" ht="15" hidden="1" customHeight="1" x14ac:dyDescent="0.3">
      <c r="A1533" s="367">
        <v>369</v>
      </c>
      <c r="B1533" s="367" t="s">
        <v>174</v>
      </c>
      <c r="C1533" s="40">
        <v>11200</v>
      </c>
      <c r="D1533" s="370">
        <v>0</v>
      </c>
      <c r="E1533" s="367" t="s">
        <v>13</v>
      </c>
      <c r="F1533" s="367">
        <v>1000</v>
      </c>
      <c r="G1533" s="367">
        <v>1000</v>
      </c>
      <c r="H1533" s="367" t="s">
        <v>25</v>
      </c>
      <c r="I1533" s="367" t="s">
        <v>13</v>
      </c>
      <c r="J1533" s="367" t="s">
        <v>13</v>
      </c>
      <c r="K1533" s="367" t="s">
        <v>13</v>
      </c>
      <c r="L1533" s="367">
        <v>0</v>
      </c>
      <c r="M1533" s="358" t="s">
        <v>14</v>
      </c>
      <c r="N1533" s="396" t="s">
        <v>332</v>
      </c>
      <c r="O1533" s="367" t="s">
        <v>27</v>
      </c>
      <c r="P1533" s="65"/>
      <c r="Q1533" s="367" t="s">
        <v>184</v>
      </c>
      <c r="T1533" s="200">
        <v>1</v>
      </c>
    </row>
    <row r="1534" spans="1:20" ht="15" customHeight="1" x14ac:dyDescent="0.3">
      <c r="A1534" s="368"/>
      <c r="B1534" s="368"/>
      <c r="C1534" s="41">
        <v>-15400</v>
      </c>
      <c r="D1534" s="371"/>
      <c r="E1534" s="368"/>
      <c r="F1534" s="368"/>
      <c r="G1534" s="368"/>
      <c r="H1534" s="368"/>
      <c r="I1534" s="368"/>
      <c r="J1534" s="368"/>
      <c r="K1534" s="368"/>
      <c r="L1534" s="368"/>
      <c r="M1534" s="359"/>
      <c r="N1534" s="397"/>
      <c r="O1534" s="368"/>
      <c r="P1534" s="226">
        <v>44066</v>
      </c>
      <c r="Q1534" s="368"/>
    </row>
    <row r="1535" spans="1:20" ht="15" customHeight="1" thickBot="1" x14ac:dyDescent="0.35">
      <c r="A1535" s="369"/>
      <c r="B1535" s="369"/>
      <c r="C1535" s="42">
        <v>12500</v>
      </c>
      <c r="D1535" s="372"/>
      <c r="E1535" s="369"/>
      <c r="F1535" s="369"/>
      <c r="G1535" s="369"/>
      <c r="H1535" s="369"/>
      <c r="I1535" s="369"/>
      <c r="J1535" s="369"/>
      <c r="K1535" s="369"/>
      <c r="L1535" s="369"/>
      <c r="M1535" s="360"/>
      <c r="N1535" s="398"/>
      <c r="O1535" s="369"/>
      <c r="P1535" s="67"/>
      <c r="Q1535" s="369"/>
    </row>
    <row r="1536" spans="1:20" ht="15" hidden="1" customHeight="1" x14ac:dyDescent="0.3">
      <c r="A1536" s="367">
        <v>370</v>
      </c>
      <c r="B1536" s="367" t="s">
        <v>174</v>
      </c>
      <c r="C1536" s="40">
        <v>11300</v>
      </c>
      <c r="D1536" s="370">
        <v>0</v>
      </c>
      <c r="E1536" s="367" t="s">
        <v>13</v>
      </c>
      <c r="F1536" s="367">
        <v>1200</v>
      </c>
      <c r="G1536" s="367">
        <v>1200</v>
      </c>
      <c r="H1536" s="367" t="s">
        <v>25</v>
      </c>
      <c r="I1536" s="367" t="s">
        <v>13</v>
      </c>
      <c r="J1536" s="367" t="s">
        <v>13</v>
      </c>
      <c r="K1536" s="367" t="s">
        <v>13</v>
      </c>
      <c r="L1536" s="367">
        <v>0</v>
      </c>
      <c r="M1536" s="358" t="s">
        <v>14</v>
      </c>
      <c r="N1536" s="396" t="s">
        <v>81</v>
      </c>
      <c r="O1536" s="367" t="s">
        <v>27</v>
      </c>
      <c r="P1536" s="65"/>
      <c r="Q1536" s="367" t="s">
        <v>184</v>
      </c>
      <c r="T1536" s="200">
        <v>1</v>
      </c>
    </row>
    <row r="1537" spans="1:20" ht="15" customHeight="1" x14ac:dyDescent="0.3">
      <c r="A1537" s="368"/>
      <c r="B1537" s="368"/>
      <c r="C1537" s="41">
        <v>-10275</v>
      </c>
      <c r="D1537" s="371"/>
      <c r="E1537" s="368"/>
      <c r="F1537" s="368"/>
      <c r="G1537" s="368"/>
      <c r="H1537" s="368"/>
      <c r="I1537" s="368"/>
      <c r="J1537" s="368"/>
      <c r="K1537" s="368"/>
      <c r="L1537" s="368"/>
      <c r="M1537" s="359"/>
      <c r="N1537" s="397"/>
      <c r="O1537" s="368"/>
      <c r="P1537" s="226">
        <v>44066</v>
      </c>
      <c r="Q1537" s="368"/>
    </row>
    <row r="1538" spans="1:20" ht="15" customHeight="1" thickBot="1" x14ac:dyDescent="0.35">
      <c r="A1538" s="369"/>
      <c r="B1538" s="369"/>
      <c r="C1538" s="42">
        <v>11800</v>
      </c>
      <c r="D1538" s="372"/>
      <c r="E1538" s="369"/>
      <c r="F1538" s="369"/>
      <c r="G1538" s="369"/>
      <c r="H1538" s="369"/>
      <c r="I1538" s="369"/>
      <c r="J1538" s="369"/>
      <c r="K1538" s="369"/>
      <c r="L1538" s="369"/>
      <c r="M1538" s="360"/>
      <c r="N1538" s="398"/>
      <c r="O1538" s="369"/>
      <c r="P1538" s="67"/>
      <c r="Q1538" s="369"/>
    </row>
    <row r="1539" spans="1:20" ht="15" hidden="1" customHeight="1" x14ac:dyDescent="0.3">
      <c r="A1539" s="367">
        <v>371</v>
      </c>
      <c r="B1539" s="367" t="s">
        <v>174</v>
      </c>
      <c r="C1539" s="40">
        <v>11200</v>
      </c>
      <c r="D1539" s="370">
        <v>0</v>
      </c>
      <c r="E1539" s="367" t="s">
        <v>13</v>
      </c>
      <c r="F1539" s="367">
        <v>1000</v>
      </c>
      <c r="G1539" s="367">
        <v>1000</v>
      </c>
      <c r="H1539" s="367" t="s">
        <v>25</v>
      </c>
      <c r="I1539" s="367" t="s">
        <v>13</v>
      </c>
      <c r="J1539" s="367" t="s">
        <v>13</v>
      </c>
      <c r="K1539" s="367" t="s">
        <v>13</v>
      </c>
      <c r="L1539" s="367">
        <v>0</v>
      </c>
      <c r="M1539" s="358" t="s">
        <v>14</v>
      </c>
      <c r="N1539" s="396" t="s">
        <v>332</v>
      </c>
      <c r="O1539" s="367" t="s">
        <v>27</v>
      </c>
      <c r="P1539" s="65"/>
      <c r="Q1539" s="367" t="s">
        <v>184</v>
      </c>
      <c r="T1539" s="200">
        <v>1</v>
      </c>
    </row>
    <row r="1540" spans="1:20" ht="15" customHeight="1" x14ac:dyDescent="0.3">
      <c r="A1540" s="368"/>
      <c r="B1540" s="368"/>
      <c r="C1540" s="41">
        <v>-15400</v>
      </c>
      <c r="D1540" s="371"/>
      <c r="E1540" s="368"/>
      <c r="F1540" s="368"/>
      <c r="G1540" s="368"/>
      <c r="H1540" s="368"/>
      <c r="I1540" s="368"/>
      <c r="J1540" s="368"/>
      <c r="K1540" s="368"/>
      <c r="L1540" s="368"/>
      <c r="M1540" s="359"/>
      <c r="N1540" s="397"/>
      <c r="O1540" s="368"/>
      <c r="P1540" s="226">
        <v>44066</v>
      </c>
      <c r="Q1540" s="368"/>
    </row>
    <row r="1541" spans="1:20" ht="15" customHeight="1" thickBot="1" x14ac:dyDescent="0.35">
      <c r="A1541" s="369"/>
      <c r="B1541" s="369"/>
      <c r="C1541" s="42">
        <v>13000</v>
      </c>
      <c r="D1541" s="372"/>
      <c r="E1541" s="369"/>
      <c r="F1541" s="369"/>
      <c r="G1541" s="369"/>
      <c r="H1541" s="369"/>
      <c r="I1541" s="369"/>
      <c r="J1541" s="369"/>
      <c r="K1541" s="369"/>
      <c r="L1541" s="369"/>
      <c r="M1541" s="360"/>
      <c r="N1541" s="398"/>
      <c r="O1541" s="369"/>
      <c r="P1541" s="67"/>
      <c r="Q1541" s="369"/>
    </row>
    <row r="1542" spans="1:20" ht="15" hidden="1" customHeight="1" x14ac:dyDescent="0.3">
      <c r="A1542" s="367">
        <v>372</v>
      </c>
      <c r="B1542" s="367" t="s">
        <v>174</v>
      </c>
      <c r="C1542" s="40">
        <v>16000</v>
      </c>
      <c r="D1542" s="370">
        <v>0</v>
      </c>
      <c r="E1542" s="367" t="s">
        <v>13</v>
      </c>
      <c r="F1542" s="367">
        <v>1000</v>
      </c>
      <c r="G1542" s="367">
        <v>1000</v>
      </c>
      <c r="H1542" s="367" t="s">
        <v>25</v>
      </c>
      <c r="I1542" s="367" t="s">
        <v>13</v>
      </c>
      <c r="J1542" s="367" t="s">
        <v>13</v>
      </c>
      <c r="K1542" s="367" t="s">
        <v>13</v>
      </c>
      <c r="L1542" s="367">
        <v>0</v>
      </c>
      <c r="M1542" s="358" t="s">
        <v>14</v>
      </c>
      <c r="N1542" s="396" t="s">
        <v>332</v>
      </c>
      <c r="O1542" s="367" t="s">
        <v>27</v>
      </c>
      <c r="P1542" s="65"/>
      <c r="Q1542" s="367" t="s">
        <v>184</v>
      </c>
      <c r="T1542" s="200">
        <v>1</v>
      </c>
    </row>
    <row r="1543" spans="1:20" ht="15" customHeight="1" x14ac:dyDescent="0.3">
      <c r="A1543" s="368"/>
      <c r="B1543" s="368"/>
      <c r="C1543" s="41">
        <v>-10510</v>
      </c>
      <c r="D1543" s="371"/>
      <c r="E1543" s="368"/>
      <c r="F1543" s="368"/>
      <c r="G1543" s="368"/>
      <c r="H1543" s="368"/>
      <c r="I1543" s="368"/>
      <c r="J1543" s="368"/>
      <c r="K1543" s="368"/>
      <c r="L1543" s="368"/>
      <c r="M1543" s="359"/>
      <c r="N1543" s="397"/>
      <c r="O1543" s="368"/>
      <c r="P1543" s="66"/>
      <c r="Q1543" s="368"/>
    </row>
    <row r="1544" spans="1:20" ht="15" customHeight="1" thickBot="1" x14ac:dyDescent="0.35">
      <c r="A1544" s="369"/>
      <c r="B1544" s="369"/>
      <c r="C1544" s="42">
        <v>13000</v>
      </c>
      <c r="D1544" s="372"/>
      <c r="E1544" s="369"/>
      <c r="F1544" s="369"/>
      <c r="G1544" s="369"/>
      <c r="H1544" s="369"/>
      <c r="I1544" s="369"/>
      <c r="J1544" s="369"/>
      <c r="K1544" s="369"/>
      <c r="L1544" s="369"/>
      <c r="M1544" s="360"/>
      <c r="N1544" s="398"/>
      <c r="O1544" s="369"/>
      <c r="P1544" s="227">
        <v>44066</v>
      </c>
      <c r="Q1544" s="369"/>
    </row>
    <row r="1545" spans="1:20" ht="15" hidden="1" customHeight="1" x14ac:dyDescent="0.3">
      <c r="A1545" s="367">
        <v>373</v>
      </c>
      <c r="B1545" s="367" t="s">
        <v>174</v>
      </c>
      <c r="C1545" s="40">
        <v>16000</v>
      </c>
      <c r="D1545" s="370">
        <v>0</v>
      </c>
      <c r="E1545" s="367" t="s">
        <v>13</v>
      </c>
      <c r="F1545" s="367">
        <v>1000</v>
      </c>
      <c r="G1545" s="367">
        <v>1000</v>
      </c>
      <c r="H1545" s="367" t="s">
        <v>25</v>
      </c>
      <c r="I1545" s="367" t="s">
        <v>13</v>
      </c>
      <c r="J1545" s="367" t="s">
        <v>13</v>
      </c>
      <c r="K1545" s="367" t="s">
        <v>13</v>
      </c>
      <c r="L1545" s="367">
        <v>0</v>
      </c>
      <c r="M1545" s="358" t="s">
        <v>14</v>
      </c>
      <c r="N1545" s="396" t="s">
        <v>332</v>
      </c>
      <c r="O1545" s="367" t="s">
        <v>27</v>
      </c>
      <c r="P1545" s="65"/>
      <c r="Q1545" s="367" t="s">
        <v>184</v>
      </c>
    </row>
    <row r="1546" spans="1:20" ht="15" customHeight="1" x14ac:dyDescent="0.3">
      <c r="A1546" s="368"/>
      <c r="B1546" s="368"/>
      <c r="C1546" s="41">
        <v>-10510</v>
      </c>
      <c r="D1546" s="371"/>
      <c r="E1546" s="368"/>
      <c r="F1546" s="368"/>
      <c r="G1546" s="368"/>
      <c r="H1546" s="368"/>
      <c r="I1546" s="368"/>
      <c r="J1546" s="368"/>
      <c r="K1546" s="368"/>
      <c r="L1546" s="368"/>
      <c r="M1546" s="359"/>
      <c r="N1546" s="397"/>
      <c r="O1546" s="368"/>
      <c r="P1546" s="226">
        <v>44066</v>
      </c>
      <c r="Q1546" s="368"/>
      <c r="T1546" s="200">
        <v>1</v>
      </c>
    </row>
    <row r="1547" spans="1:20" ht="15" customHeight="1" thickBot="1" x14ac:dyDescent="0.35">
      <c r="A1547" s="369"/>
      <c r="B1547" s="369"/>
      <c r="C1547" s="42">
        <v>12350</v>
      </c>
      <c r="D1547" s="372"/>
      <c r="E1547" s="369"/>
      <c r="F1547" s="369"/>
      <c r="G1547" s="369"/>
      <c r="H1547" s="369"/>
      <c r="I1547" s="369"/>
      <c r="J1547" s="369"/>
      <c r="K1547" s="369"/>
      <c r="L1547" s="369"/>
      <c r="M1547" s="360"/>
      <c r="N1547" s="398"/>
      <c r="O1547" s="369"/>
      <c r="P1547" s="67"/>
      <c r="Q1547" s="369"/>
    </row>
    <row r="1548" spans="1:20" ht="15" hidden="1" customHeight="1" x14ac:dyDescent="0.3">
      <c r="A1548" s="367">
        <v>374</v>
      </c>
      <c r="B1548" s="367" t="s">
        <v>174</v>
      </c>
      <c r="C1548" s="40">
        <v>16000</v>
      </c>
      <c r="D1548" s="370">
        <v>0</v>
      </c>
      <c r="E1548" s="367" t="s">
        <v>13</v>
      </c>
      <c r="F1548" s="367">
        <v>1000</v>
      </c>
      <c r="G1548" s="367">
        <v>1000</v>
      </c>
      <c r="H1548" s="367" t="s">
        <v>25</v>
      </c>
      <c r="I1548" s="367" t="s">
        <v>13</v>
      </c>
      <c r="J1548" s="367" t="s">
        <v>13</v>
      </c>
      <c r="K1548" s="367" t="s">
        <v>13</v>
      </c>
      <c r="L1548" s="367">
        <v>0</v>
      </c>
      <c r="M1548" s="358" t="s">
        <v>14</v>
      </c>
      <c r="N1548" s="396" t="s">
        <v>332</v>
      </c>
      <c r="O1548" s="367" t="s">
        <v>27</v>
      </c>
      <c r="P1548" s="65"/>
      <c r="Q1548" s="367" t="s">
        <v>184</v>
      </c>
    </row>
    <row r="1549" spans="1:20" ht="15" customHeight="1" x14ac:dyDescent="0.3">
      <c r="A1549" s="368"/>
      <c r="B1549" s="368"/>
      <c r="C1549" s="41">
        <v>-9310</v>
      </c>
      <c r="D1549" s="371"/>
      <c r="E1549" s="368"/>
      <c r="F1549" s="368"/>
      <c r="G1549" s="368"/>
      <c r="H1549" s="368"/>
      <c r="I1549" s="368"/>
      <c r="J1549" s="368"/>
      <c r="K1549" s="368"/>
      <c r="L1549" s="368"/>
      <c r="M1549" s="359"/>
      <c r="N1549" s="397"/>
      <c r="O1549" s="368"/>
      <c r="P1549" s="226">
        <v>44066</v>
      </c>
      <c r="Q1549" s="368"/>
      <c r="T1549" s="200">
        <v>1</v>
      </c>
    </row>
    <row r="1550" spans="1:20" ht="15" customHeight="1" thickBot="1" x14ac:dyDescent="0.35">
      <c r="A1550" s="369"/>
      <c r="B1550" s="369"/>
      <c r="C1550" s="42">
        <v>13000</v>
      </c>
      <c r="D1550" s="372"/>
      <c r="E1550" s="369"/>
      <c r="F1550" s="369"/>
      <c r="G1550" s="369"/>
      <c r="H1550" s="369"/>
      <c r="I1550" s="369"/>
      <c r="J1550" s="369"/>
      <c r="K1550" s="369"/>
      <c r="L1550" s="369"/>
      <c r="M1550" s="360"/>
      <c r="N1550" s="398"/>
      <c r="O1550" s="369"/>
      <c r="P1550" s="67"/>
      <c r="Q1550" s="369"/>
    </row>
    <row r="1551" spans="1:20" ht="15" hidden="1" customHeight="1" x14ac:dyDescent="0.3">
      <c r="A1551" s="370">
        <v>375</v>
      </c>
      <c r="B1551" s="370" t="s">
        <v>62</v>
      </c>
      <c r="C1551" s="37">
        <v>16000</v>
      </c>
      <c r="D1551" s="370">
        <v>1</v>
      </c>
      <c r="E1551" s="370" t="s">
        <v>24</v>
      </c>
      <c r="F1551" s="367">
        <v>1000</v>
      </c>
      <c r="G1551" s="367">
        <v>1000</v>
      </c>
      <c r="H1551" s="370" t="s">
        <v>25</v>
      </c>
      <c r="I1551" s="370">
        <v>150</v>
      </c>
      <c r="J1551" s="370" t="s">
        <v>45</v>
      </c>
      <c r="K1551" s="370">
        <v>40</v>
      </c>
      <c r="L1551" s="367">
        <v>-11</v>
      </c>
      <c r="M1551" s="358" t="s">
        <v>14</v>
      </c>
      <c r="N1551" s="399" t="s">
        <v>332</v>
      </c>
      <c r="O1551" s="367" t="s">
        <v>27</v>
      </c>
      <c r="P1551" s="261"/>
      <c r="Q1551" s="367" t="s">
        <v>333</v>
      </c>
    </row>
    <row r="1552" spans="1:20" ht="15" customHeight="1" x14ac:dyDescent="0.3">
      <c r="A1552" s="371"/>
      <c r="B1552" s="371"/>
      <c r="C1552" s="38">
        <v>-8000</v>
      </c>
      <c r="D1552" s="371"/>
      <c r="E1552" s="371"/>
      <c r="F1552" s="368"/>
      <c r="G1552" s="368"/>
      <c r="H1552" s="371"/>
      <c r="I1552" s="371"/>
      <c r="J1552" s="371"/>
      <c r="K1552" s="371"/>
      <c r="L1552" s="368"/>
      <c r="M1552" s="359"/>
      <c r="N1552" s="400"/>
      <c r="O1552" s="368"/>
      <c r="P1552" s="226">
        <v>44090</v>
      </c>
      <c r="Q1552" s="368"/>
      <c r="T1552" s="200">
        <v>1</v>
      </c>
    </row>
    <row r="1553" spans="1:20" ht="15" customHeight="1" thickBot="1" x14ac:dyDescent="0.35">
      <c r="A1553" s="372"/>
      <c r="B1553" s="372"/>
      <c r="C1553" s="39">
        <v>13000</v>
      </c>
      <c r="D1553" s="372"/>
      <c r="E1553" s="372"/>
      <c r="F1553" s="369"/>
      <c r="G1553" s="369"/>
      <c r="H1553" s="372"/>
      <c r="I1553" s="372"/>
      <c r="J1553" s="372"/>
      <c r="K1553" s="372"/>
      <c r="L1553" s="369"/>
      <c r="M1553" s="360"/>
      <c r="N1553" s="401"/>
      <c r="O1553" s="369"/>
      <c r="P1553" s="262"/>
      <c r="Q1553" s="369"/>
    </row>
    <row r="1554" spans="1:20" ht="15" hidden="1" customHeight="1" x14ac:dyDescent="0.3">
      <c r="A1554" s="367">
        <v>376</v>
      </c>
      <c r="B1554" s="367" t="s">
        <v>174</v>
      </c>
      <c r="C1554" s="40">
        <v>3990</v>
      </c>
      <c r="D1554" s="370">
        <v>0</v>
      </c>
      <c r="E1554" s="367" t="s">
        <v>13</v>
      </c>
      <c r="F1554" s="367">
        <v>1000</v>
      </c>
      <c r="G1554" s="367">
        <v>1000</v>
      </c>
      <c r="H1554" s="367" t="s">
        <v>25</v>
      </c>
      <c r="I1554" s="367" t="s">
        <v>13</v>
      </c>
      <c r="J1554" s="367" t="s">
        <v>13</v>
      </c>
      <c r="K1554" s="367" t="s">
        <v>13</v>
      </c>
      <c r="L1554" s="367">
        <v>0</v>
      </c>
      <c r="M1554" s="358" t="s">
        <v>14</v>
      </c>
      <c r="N1554" s="396" t="s">
        <v>81</v>
      </c>
      <c r="O1554" s="367" t="s">
        <v>27</v>
      </c>
      <c r="P1554" s="65"/>
      <c r="Q1554" s="367" t="s">
        <v>184</v>
      </c>
    </row>
    <row r="1555" spans="1:20" ht="15" customHeight="1" x14ac:dyDescent="0.3">
      <c r="A1555" s="368"/>
      <c r="B1555" s="368"/>
      <c r="C1555" s="41">
        <v>-18750</v>
      </c>
      <c r="D1555" s="371"/>
      <c r="E1555" s="368"/>
      <c r="F1555" s="368"/>
      <c r="G1555" s="368"/>
      <c r="H1555" s="368"/>
      <c r="I1555" s="368"/>
      <c r="J1555" s="368"/>
      <c r="K1555" s="368"/>
      <c r="L1555" s="368"/>
      <c r="M1555" s="359"/>
      <c r="N1555" s="397"/>
      <c r="O1555" s="368"/>
      <c r="P1555" s="226">
        <v>44066</v>
      </c>
      <c r="Q1555" s="368"/>
      <c r="T1555" s="200">
        <v>1</v>
      </c>
    </row>
    <row r="1556" spans="1:20" ht="15" customHeight="1" thickBot="1" x14ac:dyDescent="0.35">
      <c r="A1556" s="369"/>
      <c r="B1556" s="369"/>
      <c r="C1556" s="42">
        <v>13000</v>
      </c>
      <c r="D1556" s="372"/>
      <c r="E1556" s="369"/>
      <c r="F1556" s="369"/>
      <c r="G1556" s="369"/>
      <c r="H1556" s="369"/>
      <c r="I1556" s="369"/>
      <c r="J1556" s="369"/>
      <c r="K1556" s="369"/>
      <c r="L1556" s="369"/>
      <c r="M1556" s="360"/>
      <c r="N1556" s="398"/>
      <c r="O1556" s="369"/>
      <c r="P1556" s="67"/>
      <c r="Q1556" s="369"/>
    </row>
    <row r="1557" spans="1:20" ht="15" hidden="1" customHeight="1" x14ac:dyDescent="0.3">
      <c r="A1557" s="367">
        <v>377</v>
      </c>
      <c r="B1557" s="367" t="s">
        <v>174</v>
      </c>
      <c r="C1557" s="40">
        <v>3990</v>
      </c>
      <c r="D1557" s="370">
        <v>0</v>
      </c>
      <c r="E1557" s="367" t="s">
        <v>13</v>
      </c>
      <c r="F1557" s="367">
        <v>1000</v>
      </c>
      <c r="G1557" s="367">
        <v>1000</v>
      </c>
      <c r="H1557" s="367" t="s">
        <v>25</v>
      </c>
      <c r="I1557" s="367" t="s">
        <v>13</v>
      </c>
      <c r="J1557" s="367" t="s">
        <v>13</v>
      </c>
      <c r="K1557" s="367" t="s">
        <v>13</v>
      </c>
      <c r="L1557" s="367">
        <v>0</v>
      </c>
      <c r="M1557" s="358" t="s">
        <v>14</v>
      </c>
      <c r="N1557" s="396" t="s">
        <v>81</v>
      </c>
      <c r="O1557" s="367" t="s">
        <v>27</v>
      </c>
      <c r="P1557" s="65"/>
      <c r="Q1557" s="367" t="s">
        <v>184</v>
      </c>
      <c r="T1557" s="200">
        <v>1</v>
      </c>
    </row>
    <row r="1558" spans="1:20" ht="15" customHeight="1" x14ac:dyDescent="0.3">
      <c r="A1558" s="368"/>
      <c r="B1558" s="368"/>
      <c r="C1558" s="41">
        <v>-17100</v>
      </c>
      <c r="D1558" s="371"/>
      <c r="E1558" s="368"/>
      <c r="F1558" s="368"/>
      <c r="G1558" s="368"/>
      <c r="H1558" s="368"/>
      <c r="I1558" s="368"/>
      <c r="J1558" s="368"/>
      <c r="K1558" s="368"/>
      <c r="L1558" s="368"/>
      <c r="M1558" s="359"/>
      <c r="N1558" s="397"/>
      <c r="O1558" s="368"/>
      <c r="P1558" s="226">
        <v>44066</v>
      </c>
      <c r="Q1558" s="368"/>
    </row>
    <row r="1559" spans="1:20" ht="15" customHeight="1" thickBot="1" x14ac:dyDescent="0.35">
      <c r="A1559" s="369"/>
      <c r="B1559" s="369"/>
      <c r="C1559" s="42">
        <v>13000</v>
      </c>
      <c r="D1559" s="372"/>
      <c r="E1559" s="369"/>
      <c r="F1559" s="369"/>
      <c r="G1559" s="369"/>
      <c r="H1559" s="369"/>
      <c r="I1559" s="369"/>
      <c r="J1559" s="369"/>
      <c r="K1559" s="369"/>
      <c r="L1559" s="369"/>
      <c r="M1559" s="360"/>
      <c r="N1559" s="398"/>
      <c r="O1559" s="369"/>
      <c r="P1559" s="67"/>
      <c r="Q1559" s="369"/>
    </row>
    <row r="1560" spans="1:20" ht="15" hidden="1" customHeight="1" x14ac:dyDescent="0.3">
      <c r="A1560" s="367">
        <v>378</v>
      </c>
      <c r="B1560" s="367" t="s">
        <v>174</v>
      </c>
      <c r="C1560" s="60">
        <v>3990</v>
      </c>
      <c r="D1560" s="370">
        <v>0</v>
      </c>
      <c r="E1560" s="367" t="s">
        <v>13</v>
      </c>
      <c r="F1560" s="367">
        <v>1000</v>
      </c>
      <c r="G1560" s="367">
        <v>1000</v>
      </c>
      <c r="H1560" s="367" t="s">
        <v>25</v>
      </c>
      <c r="I1560" s="367" t="s">
        <v>13</v>
      </c>
      <c r="J1560" s="367" t="s">
        <v>13</v>
      </c>
      <c r="K1560" s="367" t="s">
        <v>13</v>
      </c>
      <c r="L1560" s="367">
        <v>0</v>
      </c>
      <c r="M1560" s="358" t="s">
        <v>14</v>
      </c>
      <c r="N1560" s="396" t="s">
        <v>81</v>
      </c>
      <c r="O1560" s="367" t="s">
        <v>27</v>
      </c>
      <c r="P1560" s="65"/>
      <c r="Q1560" s="367" t="s">
        <v>184</v>
      </c>
      <c r="T1560" s="200">
        <v>1</v>
      </c>
    </row>
    <row r="1561" spans="1:20" ht="15" customHeight="1" x14ac:dyDescent="0.3">
      <c r="A1561" s="368"/>
      <c r="B1561" s="368"/>
      <c r="C1561" s="41">
        <v>-17100</v>
      </c>
      <c r="D1561" s="371"/>
      <c r="E1561" s="368"/>
      <c r="F1561" s="368"/>
      <c r="G1561" s="368"/>
      <c r="H1561" s="368"/>
      <c r="I1561" s="368"/>
      <c r="J1561" s="368"/>
      <c r="K1561" s="368"/>
      <c r="L1561" s="368"/>
      <c r="M1561" s="359"/>
      <c r="N1561" s="397"/>
      <c r="O1561" s="368"/>
      <c r="P1561" s="226">
        <v>44066</v>
      </c>
      <c r="Q1561" s="368"/>
    </row>
    <row r="1562" spans="1:20" ht="15" customHeight="1" thickBot="1" x14ac:dyDescent="0.35">
      <c r="A1562" s="369"/>
      <c r="B1562" s="369"/>
      <c r="C1562" s="61">
        <v>12500</v>
      </c>
      <c r="D1562" s="372"/>
      <c r="E1562" s="369"/>
      <c r="F1562" s="369"/>
      <c r="G1562" s="369"/>
      <c r="H1562" s="369"/>
      <c r="I1562" s="369"/>
      <c r="J1562" s="369"/>
      <c r="K1562" s="369"/>
      <c r="L1562" s="369"/>
      <c r="M1562" s="360"/>
      <c r="N1562" s="398"/>
      <c r="O1562" s="369"/>
      <c r="P1562" s="67"/>
      <c r="Q1562" s="369"/>
    </row>
    <row r="1563" spans="1:20" ht="15" hidden="1" customHeight="1" x14ac:dyDescent="0.3">
      <c r="A1563" s="367">
        <v>379</v>
      </c>
      <c r="B1563" s="367" t="s">
        <v>174</v>
      </c>
      <c r="C1563" s="63">
        <v>3990</v>
      </c>
      <c r="D1563" s="370">
        <v>0</v>
      </c>
      <c r="E1563" s="367" t="s">
        <v>13</v>
      </c>
      <c r="F1563" s="367">
        <v>1000</v>
      </c>
      <c r="G1563" s="367">
        <v>1000</v>
      </c>
      <c r="H1563" s="367" t="s">
        <v>25</v>
      </c>
      <c r="I1563" s="367" t="s">
        <v>13</v>
      </c>
      <c r="J1563" s="367" t="s">
        <v>13</v>
      </c>
      <c r="K1563" s="367" t="s">
        <v>13</v>
      </c>
      <c r="L1563" s="367">
        <v>0</v>
      </c>
      <c r="M1563" s="358" t="s">
        <v>14</v>
      </c>
      <c r="N1563" s="396" t="s">
        <v>81</v>
      </c>
      <c r="O1563" s="367" t="s">
        <v>27</v>
      </c>
      <c r="P1563" s="65"/>
      <c r="Q1563" s="367" t="s">
        <v>184</v>
      </c>
      <c r="T1563" s="200">
        <v>1</v>
      </c>
    </row>
    <row r="1564" spans="1:20" ht="15" customHeight="1" x14ac:dyDescent="0.3">
      <c r="A1564" s="368"/>
      <c r="B1564" s="368"/>
      <c r="C1564" s="41">
        <v>-18900</v>
      </c>
      <c r="D1564" s="371"/>
      <c r="E1564" s="368"/>
      <c r="F1564" s="368"/>
      <c r="G1564" s="368"/>
      <c r="H1564" s="368"/>
      <c r="I1564" s="368"/>
      <c r="J1564" s="368"/>
      <c r="K1564" s="368"/>
      <c r="L1564" s="368"/>
      <c r="M1564" s="359"/>
      <c r="N1564" s="397"/>
      <c r="O1564" s="368"/>
      <c r="P1564" s="226">
        <v>44066</v>
      </c>
      <c r="Q1564" s="368"/>
    </row>
    <row r="1565" spans="1:20" ht="15" customHeight="1" thickBot="1" x14ac:dyDescent="0.35">
      <c r="A1565" s="369"/>
      <c r="B1565" s="369"/>
      <c r="C1565" s="42">
        <v>12500</v>
      </c>
      <c r="D1565" s="372"/>
      <c r="E1565" s="369"/>
      <c r="F1565" s="369"/>
      <c r="G1565" s="369"/>
      <c r="H1565" s="369"/>
      <c r="I1565" s="369"/>
      <c r="J1565" s="369"/>
      <c r="K1565" s="369"/>
      <c r="L1565" s="369"/>
      <c r="M1565" s="360"/>
      <c r="N1565" s="398"/>
      <c r="O1565" s="369"/>
      <c r="P1565" s="67"/>
      <c r="Q1565" s="369"/>
    </row>
    <row r="1566" spans="1:20" ht="15" hidden="1" customHeight="1" x14ac:dyDescent="0.3">
      <c r="A1566" s="367">
        <v>380</v>
      </c>
      <c r="B1566" s="367" t="s">
        <v>174</v>
      </c>
      <c r="C1566" s="40">
        <v>3990</v>
      </c>
      <c r="D1566" s="370">
        <v>0</v>
      </c>
      <c r="E1566" s="367" t="s">
        <v>13</v>
      </c>
      <c r="F1566" s="367">
        <v>1000</v>
      </c>
      <c r="G1566" s="367">
        <v>1000</v>
      </c>
      <c r="H1566" s="367" t="s">
        <v>50</v>
      </c>
      <c r="I1566" s="367" t="s">
        <v>13</v>
      </c>
      <c r="J1566" s="367" t="s">
        <v>13</v>
      </c>
      <c r="K1566" s="367" t="s">
        <v>13</v>
      </c>
      <c r="L1566" s="367">
        <v>0</v>
      </c>
      <c r="M1566" s="358" t="s">
        <v>14</v>
      </c>
      <c r="N1566" s="396" t="s">
        <v>81</v>
      </c>
      <c r="O1566" s="367" t="s">
        <v>27</v>
      </c>
      <c r="P1566" s="65"/>
      <c r="Q1566" s="367" t="s">
        <v>184</v>
      </c>
    </row>
    <row r="1567" spans="1:20" ht="15" customHeight="1" x14ac:dyDescent="0.3">
      <c r="A1567" s="368"/>
      <c r="B1567" s="368"/>
      <c r="C1567" s="41">
        <v>-18900</v>
      </c>
      <c r="D1567" s="371"/>
      <c r="E1567" s="368"/>
      <c r="F1567" s="368"/>
      <c r="G1567" s="368"/>
      <c r="H1567" s="368"/>
      <c r="I1567" s="368"/>
      <c r="J1567" s="368"/>
      <c r="K1567" s="368"/>
      <c r="L1567" s="368"/>
      <c r="M1567" s="359"/>
      <c r="N1567" s="397"/>
      <c r="O1567" s="368"/>
      <c r="P1567" s="226">
        <v>44066</v>
      </c>
      <c r="Q1567" s="368"/>
    </row>
    <row r="1568" spans="1:20" ht="15" customHeight="1" thickBot="1" x14ac:dyDescent="0.35">
      <c r="A1568" s="369"/>
      <c r="B1568" s="369"/>
      <c r="C1568" s="42">
        <v>11700</v>
      </c>
      <c r="D1568" s="372"/>
      <c r="E1568" s="369"/>
      <c r="F1568" s="369"/>
      <c r="G1568" s="369"/>
      <c r="H1568" s="369"/>
      <c r="I1568" s="369"/>
      <c r="J1568" s="369"/>
      <c r="K1568" s="369"/>
      <c r="L1568" s="369"/>
      <c r="M1568" s="360"/>
      <c r="N1568" s="398"/>
      <c r="O1568" s="369"/>
      <c r="P1568" s="67"/>
      <c r="Q1568" s="369"/>
      <c r="T1568" s="200">
        <v>1</v>
      </c>
    </row>
    <row r="1569" spans="1:20" ht="15" hidden="1" customHeight="1" x14ac:dyDescent="0.3">
      <c r="A1569" s="367">
        <v>381</v>
      </c>
      <c r="B1569" s="367" t="s">
        <v>174</v>
      </c>
      <c r="C1569" s="40">
        <v>3990</v>
      </c>
      <c r="D1569" s="370">
        <v>0</v>
      </c>
      <c r="E1569" s="367" t="s">
        <v>13</v>
      </c>
      <c r="F1569" s="367">
        <v>1000</v>
      </c>
      <c r="G1569" s="367">
        <v>1000</v>
      </c>
      <c r="H1569" s="367" t="s">
        <v>50</v>
      </c>
      <c r="I1569" s="367" t="s">
        <v>13</v>
      </c>
      <c r="J1569" s="367" t="s">
        <v>13</v>
      </c>
      <c r="K1569" s="367" t="s">
        <v>13</v>
      </c>
      <c r="L1569" s="367">
        <v>0</v>
      </c>
      <c r="M1569" s="358" t="s">
        <v>14</v>
      </c>
      <c r="N1569" s="396" t="s">
        <v>81</v>
      </c>
      <c r="O1569" s="367" t="s">
        <v>27</v>
      </c>
      <c r="P1569" s="65"/>
      <c r="Q1569" s="367" t="s">
        <v>184</v>
      </c>
    </row>
    <row r="1570" spans="1:20" ht="15" customHeight="1" x14ac:dyDescent="0.3">
      <c r="A1570" s="368"/>
      <c r="B1570" s="368"/>
      <c r="C1570" s="41">
        <v>-18900</v>
      </c>
      <c r="D1570" s="371"/>
      <c r="E1570" s="368"/>
      <c r="F1570" s="368"/>
      <c r="G1570" s="368"/>
      <c r="H1570" s="368"/>
      <c r="I1570" s="368"/>
      <c r="J1570" s="368"/>
      <c r="K1570" s="368"/>
      <c r="L1570" s="368"/>
      <c r="M1570" s="359"/>
      <c r="N1570" s="397"/>
      <c r="O1570" s="368"/>
      <c r="P1570" s="226">
        <v>44066</v>
      </c>
      <c r="Q1570" s="368"/>
    </row>
    <row r="1571" spans="1:20" ht="15" customHeight="1" thickBot="1" x14ac:dyDescent="0.35">
      <c r="A1571" s="369"/>
      <c r="B1571" s="369"/>
      <c r="C1571" s="42">
        <v>11450</v>
      </c>
      <c r="D1571" s="372"/>
      <c r="E1571" s="369"/>
      <c r="F1571" s="369"/>
      <c r="G1571" s="369"/>
      <c r="H1571" s="369"/>
      <c r="I1571" s="369"/>
      <c r="J1571" s="369"/>
      <c r="K1571" s="369"/>
      <c r="L1571" s="369"/>
      <c r="M1571" s="360"/>
      <c r="N1571" s="398"/>
      <c r="O1571" s="369"/>
      <c r="P1571" s="67"/>
      <c r="Q1571" s="369"/>
      <c r="T1571" s="200">
        <v>1</v>
      </c>
    </row>
    <row r="1572" spans="1:20" ht="15" hidden="1" customHeight="1" x14ac:dyDescent="0.3">
      <c r="A1572" s="367">
        <v>382</v>
      </c>
      <c r="B1572" s="367" t="s">
        <v>174</v>
      </c>
      <c r="C1572" s="40">
        <v>3990</v>
      </c>
      <c r="D1572" s="370">
        <v>0</v>
      </c>
      <c r="E1572" s="367" t="s">
        <v>13</v>
      </c>
      <c r="F1572" s="367">
        <v>1000</v>
      </c>
      <c r="G1572" s="367">
        <v>1000</v>
      </c>
      <c r="H1572" s="367" t="s">
        <v>50</v>
      </c>
      <c r="I1572" s="367" t="s">
        <v>13</v>
      </c>
      <c r="J1572" s="367" t="s">
        <v>13</v>
      </c>
      <c r="K1572" s="367" t="s">
        <v>13</v>
      </c>
      <c r="L1572" s="367">
        <v>0</v>
      </c>
      <c r="M1572" s="358" t="s">
        <v>14</v>
      </c>
      <c r="N1572" s="396" t="s">
        <v>81</v>
      </c>
      <c r="O1572" s="367" t="s">
        <v>27</v>
      </c>
      <c r="P1572" s="65"/>
      <c r="Q1572" s="367" t="s">
        <v>184</v>
      </c>
      <c r="T1572" s="200">
        <v>1</v>
      </c>
    </row>
    <row r="1573" spans="1:20" ht="15" customHeight="1" x14ac:dyDescent="0.3">
      <c r="A1573" s="368"/>
      <c r="B1573" s="368"/>
      <c r="C1573" s="41">
        <v>-18900</v>
      </c>
      <c r="D1573" s="371"/>
      <c r="E1573" s="368"/>
      <c r="F1573" s="368"/>
      <c r="G1573" s="368"/>
      <c r="H1573" s="368"/>
      <c r="I1573" s="368"/>
      <c r="J1573" s="368"/>
      <c r="K1573" s="368"/>
      <c r="L1573" s="368"/>
      <c r="M1573" s="359"/>
      <c r="N1573" s="397"/>
      <c r="O1573" s="368"/>
      <c r="P1573" s="226">
        <v>44066</v>
      </c>
      <c r="Q1573" s="368"/>
    </row>
    <row r="1574" spans="1:20" ht="15" customHeight="1" thickBot="1" x14ac:dyDescent="0.35">
      <c r="A1574" s="369"/>
      <c r="B1574" s="369"/>
      <c r="C1574" s="42">
        <v>11200</v>
      </c>
      <c r="D1574" s="372"/>
      <c r="E1574" s="369"/>
      <c r="F1574" s="369"/>
      <c r="G1574" s="369"/>
      <c r="H1574" s="369"/>
      <c r="I1574" s="369"/>
      <c r="J1574" s="369"/>
      <c r="K1574" s="369"/>
      <c r="L1574" s="369"/>
      <c r="M1574" s="360"/>
      <c r="N1574" s="398"/>
      <c r="O1574" s="369"/>
      <c r="P1574" s="67"/>
      <c r="Q1574" s="369"/>
    </row>
    <row r="1575" spans="1:20" ht="15" hidden="1" customHeight="1" x14ac:dyDescent="0.3">
      <c r="A1575" s="367">
        <v>383</v>
      </c>
      <c r="B1575" s="367" t="s">
        <v>174</v>
      </c>
      <c r="C1575" s="40">
        <v>3990</v>
      </c>
      <c r="D1575" s="370">
        <v>0</v>
      </c>
      <c r="E1575" s="367" t="s">
        <v>13</v>
      </c>
      <c r="F1575" s="367">
        <v>1000</v>
      </c>
      <c r="G1575" s="367">
        <v>1000</v>
      </c>
      <c r="H1575" s="367" t="s">
        <v>50</v>
      </c>
      <c r="I1575" s="367" t="s">
        <v>13</v>
      </c>
      <c r="J1575" s="367" t="s">
        <v>13</v>
      </c>
      <c r="K1575" s="367" t="s">
        <v>13</v>
      </c>
      <c r="L1575" s="367">
        <v>0</v>
      </c>
      <c r="M1575" s="358" t="s">
        <v>14</v>
      </c>
      <c r="N1575" s="396" t="s">
        <v>81</v>
      </c>
      <c r="O1575" s="367" t="s">
        <v>27</v>
      </c>
      <c r="P1575" s="65"/>
      <c r="Q1575" s="367" t="s">
        <v>184</v>
      </c>
      <c r="T1575" s="200">
        <v>1</v>
      </c>
    </row>
    <row r="1576" spans="1:20" ht="15" customHeight="1" x14ac:dyDescent="0.3">
      <c r="A1576" s="368"/>
      <c r="B1576" s="368"/>
      <c r="C1576" s="41">
        <v>-18900</v>
      </c>
      <c r="D1576" s="371"/>
      <c r="E1576" s="368"/>
      <c r="F1576" s="368"/>
      <c r="G1576" s="368"/>
      <c r="H1576" s="368"/>
      <c r="I1576" s="368"/>
      <c r="J1576" s="368"/>
      <c r="K1576" s="368"/>
      <c r="L1576" s="368"/>
      <c r="M1576" s="359"/>
      <c r="N1576" s="397"/>
      <c r="O1576" s="368"/>
      <c r="P1576" s="226">
        <v>44066</v>
      </c>
      <c r="Q1576" s="368"/>
    </row>
    <row r="1577" spans="1:20" ht="15" customHeight="1" thickBot="1" x14ac:dyDescent="0.35">
      <c r="A1577" s="369"/>
      <c r="B1577" s="369"/>
      <c r="C1577" s="42">
        <v>10950</v>
      </c>
      <c r="D1577" s="372"/>
      <c r="E1577" s="369"/>
      <c r="F1577" s="369"/>
      <c r="G1577" s="369"/>
      <c r="H1577" s="369"/>
      <c r="I1577" s="369"/>
      <c r="J1577" s="369"/>
      <c r="K1577" s="369"/>
      <c r="L1577" s="369"/>
      <c r="M1577" s="360"/>
      <c r="N1577" s="398"/>
      <c r="O1577" s="369"/>
      <c r="P1577" s="67"/>
      <c r="Q1577" s="369"/>
    </row>
    <row r="1578" spans="1:20" ht="15" hidden="1" customHeight="1" x14ac:dyDescent="0.3">
      <c r="A1578" s="367">
        <v>384</v>
      </c>
      <c r="B1578" s="367" t="s">
        <v>174</v>
      </c>
      <c r="C1578" s="40">
        <v>1900</v>
      </c>
      <c r="D1578" s="370">
        <v>0</v>
      </c>
      <c r="E1578" s="367" t="s">
        <v>13</v>
      </c>
      <c r="F1578" s="367">
        <v>1200</v>
      </c>
      <c r="G1578" s="367">
        <v>1200</v>
      </c>
      <c r="H1578" s="367" t="s">
        <v>25</v>
      </c>
      <c r="I1578" s="367" t="s">
        <v>13</v>
      </c>
      <c r="J1578" s="367" t="s">
        <v>13</v>
      </c>
      <c r="K1578" s="367" t="s">
        <v>13</v>
      </c>
      <c r="L1578" s="367">
        <v>0</v>
      </c>
      <c r="M1578" s="358" t="s">
        <v>14</v>
      </c>
      <c r="N1578" s="396" t="s">
        <v>81</v>
      </c>
      <c r="O1578" s="367" t="s">
        <v>27</v>
      </c>
      <c r="P1578" s="65"/>
      <c r="Q1578" s="367" t="s">
        <v>184</v>
      </c>
      <c r="T1578" s="200">
        <v>1</v>
      </c>
    </row>
    <row r="1579" spans="1:20" ht="15" customHeight="1" x14ac:dyDescent="0.3">
      <c r="A1579" s="368"/>
      <c r="B1579" s="368"/>
      <c r="C1579" s="41">
        <v>-10275</v>
      </c>
      <c r="D1579" s="371"/>
      <c r="E1579" s="368"/>
      <c r="F1579" s="368"/>
      <c r="G1579" s="368"/>
      <c r="H1579" s="368"/>
      <c r="I1579" s="368"/>
      <c r="J1579" s="368"/>
      <c r="K1579" s="368"/>
      <c r="L1579" s="368"/>
      <c r="M1579" s="359"/>
      <c r="N1579" s="397"/>
      <c r="O1579" s="368"/>
      <c r="P1579" s="226">
        <v>44066</v>
      </c>
      <c r="Q1579" s="368"/>
    </row>
    <row r="1580" spans="1:20" ht="15" customHeight="1" thickBot="1" x14ac:dyDescent="0.35">
      <c r="A1580" s="369"/>
      <c r="B1580" s="369"/>
      <c r="C1580" s="42">
        <v>11800</v>
      </c>
      <c r="D1580" s="372"/>
      <c r="E1580" s="369"/>
      <c r="F1580" s="369"/>
      <c r="G1580" s="369"/>
      <c r="H1580" s="369"/>
      <c r="I1580" s="369"/>
      <c r="J1580" s="369"/>
      <c r="K1580" s="369"/>
      <c r="L1580" s="369"/>
      <c r="M1580" s="360"/>
      <c r="N1580" s="398"/>
      <c r="O1580" s="369"/>
      <c r="P1580" s="67"/>
      <c r="Q1580" s="369"/>
    </row>
    <row r="1581" spans="1:20" ht="15" hidden="1" customHeight="1" x14ac:dyDescent="0.3">
      <c r="A1581" s="367">
        <v>385</v>
      </c>
      <c r="B1581" s="367" t="s">
        <v>174</v>
      </c>
      <c r="C1581" s="40">
        <v>-1543</v>
      </c>
      <c r="D1581" s="370">
        <v>0</v>
      </c>
      <c r="E1581" s="367" t="s">
        <v>13</v>
      </c>
      <c r="F1581" s="367">
        <v>1000</v>
      </c>
      <c r="G1581" s="367">
        <v>1000</v>
      </c>
      <c r="H1581" s="367" t="s">
        <v>25</v>
      </c>
      <c r="I1581" s="367" t="s">
        <v>13</v>
      </c>
      <c r="J1581" s="367" t="s">
        <v>13</v>
      </c>
      <c r="K1581" s="367" t="s">
        <v>13</v>
      </c>
      <c r="L1581" s="367">
        <v>0</v>
      </c>
      <c r="M1581" s="358" t="s">
        <v>14</v>
      </c>
      <c r="N1581" s="396" t="s">
        <v>297</v>
      </c>
      <c r="O1581" s="367" t="s">
        <v>27</v>
      </c>
      <c r="P1581" s="65"/>
      <c r="Q1581" s="367" t="s">
        <v>184</v>
      </c>
      <c r="T1581" s="200">
        <v>1</v>
      </c>
    </row>
    <row r="1582" spans="1:20" ht="15" customHeight="1" x14ac:dyDescent="0.3">
      <c r="A1582" s="368"/>
      <c r="B1582" s="368"/>
      <c r="C1582" s="41">
        <v>-20113</v>
      </c>
      <c r="D1582" s="371"/>
      <c r="E1582" s="368"/>
      <c r="F1582" s="368"/>
      <c r="G1582" s="368"/>
      <c r="H1582" s="368"/>
      <c r="I1582" s="368"/>
      <c r="J1582" s="368"/>
      <c r="K1582" s="368"/>
      <c r="L1582" s="368"/>
      <c r="M1582" s="359"/>
      <c r="N1582" s="397"/>
      <c r="O1582" s="368"/>
      <c r="P1582" s="226">
        <v>44066</v>
      </c>
      <c r="Q1582" s="368"/>
    </row>
    <row r="1583" spans="1:20" ht="15" customHeight="1" thickBot="1" x14ac:dyDescent="0.35">
      <c r="A1583" s="369"/>
      <c r="B1583" s="369"/>
      <c r="C1583" s="42">
        <v>12500</v>
      </c>
      <c r="D1583" s="372"/>
      <c r="E1583" s="369"/>
      <c r="F1583" s="369"/>
      <c r="G1583" s="369"/>
      <c r="H1583" s="369"/>
      <c r="I1583" s="369"/>
      <c r="J1583" s="369"/>
      <c r="K1583" s="369"/>
      <c r="L1583" s="369"/>
      <c r="M1583" s="360"/>
      <c r="N1583" s="398"/>
      <c r="O1583" s="369"/>
      <c r="P1583" s="67"/>
      <c r="Q1583" s="369"/>
    </row>
    <row r="1584" spans="1:20" ht="15" hidden="1" customHeight="1" x14ac:dyDescent="0.3">
      <c r="A1584" s="367">
        <v>386</v>
      </c>
      <c r="B1584" s="367" t="s">
        <v>174</v>
      </c>
      <c r="C1584" s="40">
        <v>-1543</v>
      </c>
      <c r="D1584" s="370">
        <v>0</v>
      </c>
      <c r="E1584" s="367" t="s">
        <v>13</v>
      </c>
      <c r="F1584" s="367">
        <v>1000</v>
      </c>
      <c r="G1584" s="367">
        <v>1000</v>
      </c>
      <c r="H1584" s="367" t="s">
        <v>25</v>
      </c>
      <c r="I1584" s="367" t="s">
        <v>13</v>
      </c>
      <c r="J1584" s="367" t="s">
        <v>13</v>
      </c>
      <c r="K1584" s="367" t="s">
        <v>13</v>
      </c>
      <c r="L1584" s="367">
        <v>0</v>
      </c>
      <c r="M1584" s="358" t="s">
        <v>14</v>
      </c>
      <c r="N1584" s="396" t="s">
        <v>297</v>
      </c>
      <c r="O1584" s="367" t="s">
        <v>27</v>
      </c>
      <c r="P1584" s="65"/>
      <c r="Q1584" s="367" t="s">
        <v>184</v>
      </c>
    </row>
    <row r="1585" spans="1:20" ht="15" customHeight="1" x14ac:dyDescent="0.3">
      <c r="A1585" s="368"/>
      <c r="B1585" s="368"/>
      <c r="C1585" s="41">
        <v>-20113</v>
      </c>
      <c r="D1585" s="371"/>
      <c r="E1585" s="368"/>
      <c r="F1585" s="368"/>
      <c r="G1585" s="368"/>
      <c r="H1585" s="368"/>
      <c r="I1585" s="368"/>
      <c r="J1585" s="368"/>
      <c r="K1585" s="368"/>
      <c r="L1585" s="368"/>
      <c r="M1585" s="359"/>
      <c r="N1585" s="397"/>
      <c r="O1585" s="368"/>
      <c r="P1585" s="226">
        <v>44066</v>
      </c>
      <c r="Q1585" s="368"/>
      <c r="T1585" s="200">
        <v>1</v>
      </c>
    </row>
    <row r="1586" spans="1:20" ht="15" customHeight="1" thickBot="1" x14ac:dyDescent="0.35">
      <c r="A1586" s="369"/>
      <c r="B1586" s="369"/>
      <c r="C1586" s="42">
        <v>13000</v>
      </c>
      <c r="D1586" s="372"/>
      <c r="E1586" s="369"/>
      <c r="F1586" s="369"/>
      <c r="G1586" s="369"/>
      <c r="H1586" s="369"/>
      <c r="I1586" s="369"/>
      <c r="J1586" s="369"/>
      <c r="K1586" s="369"/>
      <c r="L1586" s="369"/>
      <c r="M1586" s="360"/>
      <c r="N1586" s="398"/>
      <c r="O1586" s="369"/>
      <c r="P1586" s="67"/>
      <c r="Q1586" s="369"/>
    </row>
    <row r="1587" spans="1:20" ht="15" hidden="1" customHeight="1" x14ac:dyDescent="0.3">
      <c r="A1587" s="367">
        <v>387</v>
      </c>
      <c r="B1587" s="367" t="s">
        <v>174</v>
      </c>
      <c r="C1587" s="40">
        <v>-1084</v>
      </c>
      <c r="D1587" s="370">
        <v>0</v>
      </c>
      <c r="E1587" s="367" t="s">
        <v>13</v>
      </c>
      <c r="F1587" s="367">
        <v>1000</v>
      </c>
      <c r="G1587" s="367">
        <v>1000</v>
      </c>
      <c r="H1587" s="367" t="s">
        <v>25</v>
      </c>
      <c r="I1587" s="367" t="s">
        <v>13</v>
      </c>
      <c r="J1587" s="367" t="s">
        <v>13</v>
      </c>
      <c r="K1587" s="367" t="s">
        <v>13</v>
      </c>
      <c r="L1587" s="367">
        <v>0</v>
      </c>
      <c r="M1587" s="358" t="s">
        <v>14</v>
      </c>
      <c r="N1587" s="396" t="s">
        <v>297</v>
      </c>
      <c r="O1587" s="367" t="s">
        <v>27</v>
      </c>
      <c r="P1587" s="65"/>
      <c r="Q1587" s="367" t="s">
        <v>184</v>
      </c>
    </row>
    <row r="1588" spans="1:20" ht="15" customHeight="1" x14ac:dyDescent="0.3">
      <c r="A1588" s="368"/>
      <c r="B1588" s="368"/>
      <c r="C1588" s="41">
        <v>-20768</v>
      </c>
      <c r="D1588" s="371"/>
      <c r="E1588" s="368"/>
      <c r="F1588" s="368"/>
      <c r="G1588" s="368"/>
      <c r="H1588" s="368"/>
      <c r="I1588" s="368"/>
      <c r="J1588" s="368"/>
      <c r="K1588" s="368"/>
      <c r="L1588" s="368"/>
      <c r="M1588" s="359"/>
      <c r="N1588" s="397"/>
      <c r="O1588" s="368"/>
      <c r="P1588" s="226">
        <v>44066</v>
      </c>
      <c r="Q1588" s="368"/>
      <c r="T1588" s="200">
        <v>1</v>
      </c>
    </row>
    <row r="1589" spans="1:20" ht="15" customHeight="1" thickBot="1" x14ac:dyDescent="0.35">
      <c r="A1589" s="369"/>
      <c r="B1589" s="369"/>
      <c r="C1589" s="42">
        <v>13125</v>
      </c>
      <c r="D1589" s="372"/>
      <c r="E1589" s="369"/>
      <c r="F1589" s="369"/>
      <c r="G1589" s="369"/>
      <c r="H1589" s="369"/>
      <c r="I1589" s="369"/>
      <c r="J1589" s="369"/>
      <c r="K1589" s="369"/>
      <c r="L1589" s="369"/>
      <c r="M1589" s="360"/>
      <c r="N1589" s="398"/>
      <c r="O1589" s="369"/>
      <c r="P1589" s="67"/>
      <c r="Q1589" s="369"/>
    </row>
    <row r="1590" spans="1:20" ht="15" hidden="1" customHeight="1" x14ac:dyDescent="0.3">
      <c r="A1590" s="367">
        <v>388</v>
      </c>
      <c r="B1590" s="367" t="s">
        <v>174</v>
      </c>
      <c r="C1590" s="40">
        <v>-1084</v>
      </c>
      <c r="D1590" s="370">
        <v>0</v>
      </c>
      <c r="E1590" s="367" t="s">
        <v>13</v>
      </c>
      <c r="F1590" s="367">
        <v>1000</v>
      </c>
      <c r="G1590" s="367">
        <v>1000</v>
      </c>
      <c r="H1590" s="367" t="s">
        <v>25</v>
      </c>
      <c r="I1590" s="367" t="s">
        <v>13</v>
      </c>
      <c r="J1590" s="367" t="s">
        <v>13</v>
      </c>
      <c r="K1590" s="367" t="s">
        <v>13</v>
      </c>
      <c r="L1590" s="367">
        <v>0</v>
      </c>
      <c r="M1590" s="358" t="s">
        <v>14</v>
      </c>
      <c r="N1590" s="396" t="s">
        <v>297</v>
      </c>
      <c r="O1590" s="367" t="s">
        <v>27</v>
      </c>
      <c r="P1590" s="65"/>
      <c r="Q1590" s="367" t="s">
        <v>184</v>
      </c>
    </row>
    <row r="1591" spans="1:20" ht="15" customHeight="1" x14ac:dyDescent="0.3">
      <c r="A1591" s="368"/>
      <c r="B1591" s="368"/>
      <c r="C1591" s="41">
        <v>-20768</v>
      </c>
      <c r="D1591" s="371"/>
      <c r="E1591" s="368"/>
      <c r="F1591" s="368"/>
      <c r="G1591" s="368"/>
      <c r="H1591" s="368"/>
      <c r="I1591" s="368"/>
      <c r="J1591" s="368"/>
      <c r="K1591" s="368"/>
      <c r="L1591" s="368"/>
      <c r="M1591" s="359"/>
      <c r="N1591" s="397"/>
      <c r="O1591" s="368"/>
      <c r="P1591" s="226">
        <v>44066</v>
      </c>
      <c r="Q1591" s="368"/>
    </row>
    <row r="1592" spans="1:20" ht="15" customHeight="1" thickBot="1" x14ac:dyDescent="0.35">
      <c r="A1592" s="369"/>
      <c r="B1592" s="369"/>
      <c r="C1592" s="42">
        <v>12400</v>
      </c>
      <c r="D1592" s="372"/>
      <c r="E1592" s="369"/>
      <c r="F1592" s="369"/>
      <c r="G1592" s="369"/>
      <c r="H1592" s="369"/>
      <c r="I1592" s="369"/>
      <c r="J1592" s="369"/>
      <c r="K1592" s="369"/>
      <c r="L1592" s="369"/>
      <c r="M1592" s="360"/>
      <c r="N1592" s="398"/>
      <c r="O1592" s="369"/>
      <c r="P1592" s="67"/>
      <c r="Q1592" s="369"/>
      <c r="T1592" s="200">
        <v>1</v>
      </c>
    </row>
    <row r="1593" spans="1:20" ht="15" hidden="1" customHeight="1" x14ac:dyDescent="0.3">
      <c r="A1593" s="367">
        <v>389</v>
      </c>
      <c r="B1593" s="367" t="s">
        <v>174</v>
      </c>
      <c r="C1593" s="40">
        <v>-1600</v>
      </c>
      <c r="D1593" s="370">
        <v>0</v>
      </c>
      <c r="E1593" s="367" t="s">
        <v>13</v>
      </c>
      <c r="F1593" s="367">
        <v>1000</v>
      </c>
      <c r="G1593" s="367">
        <v>1000</v>
      </c>
      <c r="H1593" s="367" t="s">
        <v>50</v>
      </c>
      <c r="I1593" s="367" t="s">
        <v>13</v>
      </c>
      <c r="J1593" s="367" t="s">
        <v>13</v>
      </c>
      <c r="K1593" s="367" t="s">
        <v>13</v>
      </c>
      <c r="L1593" s="367">
        <v>0</v>
      </c>
      <c r="M1593" s="358" t="s">
        <v>14</v>
      </c>
      <c r="N1593" s="396" t="s">
        <v>297</v>
      </c>
      <c r="O1593" s="367" t="s">
        <v>27</v>
      </c>
      <c r="P1593" s="65"/>
      <c r="Q1593" s="367" t="s">
        <v>184</v>
      </c>
    </row>
    <row r="1594" spans="1:20" ht="15" customHeight="1" x14ac:dyDescent="0.3">
      <c r="A1594" s="368"/>
      <c r="B1594" s="368"/>
      <c r="C1594" s="41">
        <v>-20031</v>
      </c>
      <c r="D1594" s="371"/>
      <c r="E1594" s="368"/>
      <c r="F1594" s="368"/>
      <c r="G1594" s="368"/>
      <c r="H1594" s="368"/>
      <c r="I1594" s="368"/>
      <c r="J1594" s="368"/>
      <c r="K1594" s="368"/>
      <c r="L1594" s="368"/>
      <c r="M1594" s="359"/>
      <c r="N1594" s="397"/>
      <c r="O1594" s="368"/>
      <c r="P1594" s="226">
        <v>44066</v>
      </c>
      <c r="Q1594" s="368"/>
    </row>
    <row r="1595" spans="1:20" ht="15" customHeight="1" thickBot="1" x14ac:dyDescent="0.35">
      <c r="A1595" s="369"/>
      <c r="B1595" s="369"/>
      <c r="C1595" s="42">
        <v>10950</v>
      </c>
      <c r="D1595" s="372"/>
      <c r="E1595" s="369"/>
      <c r="F1595" s="369"/>
      <c r="G1595" s="369"/>
      <c r="H1595" s="369"/>
      <c r="I1595" s="369"/>
      <c r="J1595" s="369"/>
      <c r="K1595" s="369"/>
      <c r="L1595" s="369"/>
      <c r="M1595" s="360"/>
      <c r="N1595" s="398"/>
      <c r="O1595" s="369"/>
      <c r="P1595" s="67"/>
      <c r="Q1595" s="369"/>
      <c r="T1595" s="200">
        <v>1</v>
      </c>
    </row>
    <row r="1596" spans="1:20" ht="15" hidden="1" customHeight="1" x14ac:dyDescent="0.3">
      <c r="A1596" s="367">
        <v>390</v>
      </c>
      <c r="B1596" s="367" t="s">
        <v>174</v>
      </c>
      <c r="C1596" s="40">
        <v>-1600</v>
      </c>
      <c r="D1596" s="370">
        <v>0</v>
      </c>
      <c r="E1596" s="367" t="s">
        <v>13</v>
      </c>
      <c r="F1596" s="367">
        <v>1000</v>
      </c>
      <c r="G1596" s="367">
        <v>1000</v>
      </c>
      <c r="H1596" s="367" t="s">
        <v>50</v>
      </c>
      <c r="I1596" s="367" t="s">
        <v>13</v>
      </c>
      <c r="J1596" s="367" t="s">
        <v>13</v>
      </c>
      <c r="K1596" s="367" t="s">
        <v>13</v>
      </c>
      <c r="L1596" s="367">
        <v>0</v>
      </c>
      <c r="M1596" s="358" t="s">
        <v>14</v>
      </c>
      <c r="N1596" s="396" t="s">
        <v>297</v>
      </c>
      <c r="O1596" s="367" t="s">
        <v>27</v>
      </c>
      <c r="P1596" s="65"/>
      <c r="Q1596" s="367" t="s">
        <v>184</v>
      </c>
    </row>
    <row r="1597" spans="1:20" ht="15" customHeight="1" x14ac:dyDescent="0.3">
      <c r="A1597" s="368"/>
      <c r="B1597" s="368"/>
      <c r="C1597" s="41">
        <v>-20031</v>
      </c>
      <c r="D1597" s="371"/>
      <c r="E1597" s="368"/>
      <c r="F1597" s="368"/>
      <c r="G1597" s="368"/>
      <c r="H1597" s="368"/>
      <c r="I1597" s="368"/>
      <c r="J1597" s="368"/>
      <c r="K1597" s="368"/>
      <c r="L1597" s="368"/>
      <c r="M1597" s="359"/>
      <c r="N1597" s="397"/>
      <c r="O1597" s="368"/>
      <c r="P1597" s="226">
        <v>44066</v>
      </c>
      <c r="Q1597" s="368"/>
    </row>
    <row r="1598" spans="1:20" ht="15" customHeight="1" thickBot="1" x14ac:dyDescent="0.35">
      <c r="A1598" s="369"/>
      <c r="B1598" s="369"/>
      <c r="C1598" s="42">
        <v>11200</v>
      </c>
      <c r="D1598" s="372"/>
      <c r="E1598" s="369"/>
      <c r="F1598" s="369"/>
      <c r="G1598" s="369"/>
      <c r="H1598" s="369"/>
      <c r="I1598" s="369"/>
      <c r="J1598" s="369"/>
      <c r="K1598" s="369"/>
      <c r="L1598" s="369"/>
      <c r="M1598" s="360"/>
      <c r="N1598" s="398"/>
      <c r="O1598" s="369"/>
      <c r="P1598" s="67"/>
      <c r="Q1598" s="369"/>
      <c r="T1598" s="200">
        <v>1</v>
      </c>
    </row>
    <row r="1599" spans="1:20" ht="15" hidden="1" customHeight="1" x14ac:dyDescent="0.3">
      <c r="A1599" s="367">
        <v>391</v>
      </c>
      <c r="B1599" s="367" t="s">
        <v>174</v>
      </c>
      <c r="C1599" s="40">
        <v>-1600</v>
      </c>
      <c r="D1599" s="370">
        <v>0</v>
      </c>
      <c r="E1599" s="367" t="s">
        <v>13</v>
      </c>
      <c r="F1599" s="367">
        <v>1000</v>
      </c>
      <c r="G1599" s="367">
        <v>1000</v>
      </c>
      <c r="H1599" s="367" t="s">
        <v>50</v>
      </c>
      <c r="I1599" s="367" t="s">
        <v>13</v>
      </c>
      <c r="J1599" s="367" t="s">
        <v>13</v>
      </c>
      <c r="K1599" s="367" t="s">
        <v>13</v>
      </c>
      <c r="L1599" s="367">
        <v>0</v>
      </c>
      <c r="M1599" s="358" t="s">
        <v>14</v>
      </c>
      <c r="N1599" s="396" t="s">
        <v>297</v>
      </c>
      <c r="O1599" s="367" t="s">
        <v>27</v>
      </c>
      <c r="P1599" s="65"/>
      <c r="Q1599" s="367" t="s">
        <v>184</v>
      </c>
    </row>
    <row r="1600" spans="1:20" ht="15" customHeight="1" x14ac:dyDescent="0.3">
      <c r="A1600" s="368"/>
      <c r="B1600" s="368"/>
      <c r="C1600" s="41">
        <v>-20031</v>
      </c>
      <c r="D1600" s="371"/>
      <c r="E1600" s="368"/>
      <c r="F1600" s="368"/>
      <c r="G1600" s="368"/>
      <c r="H1600" s="368"/>
      <c r="I1600" s="368"/>
      <c r="J1600" s="368"/>
      <c r="K1600" s="368"/>
      <c r="L1600" s="368"/>
      <c r="M1600" s="359"/>
      <c r="N1600" s="397"/>
      <c r="O1600" s="368"/>
      <c r="P1600" s="226">
        <v>44066</v>
      </c>
      <c r="Q1600" s="368"/>
      <c r="T1600" s="200">
        <v>1</v>
      </c>
    </row>
    <row r="1601" spans="1:20" ht="15" customHeight="1" thickBot="1" x14ac:dyDescent="0.35">
      <c r="A1601" s="369"/>
      <c r="B1601" s="369"/>
      <c r="C1601" s="42">
        <v>11450</v>
      </c>
      <c r="D1601" s="372"/>
      <c r="E1601" s="369"/>
      <c r="F1601" s="369"/>
      <c r="G1601" s="369"/>
      <c r="H1601" s="369"/>
      <c r="I1601" s="369"/>
      <c r="J1601" s="369"/>
      <c r="K1601" s="369"/>
      <c r="L1601" s="369"/>
      <c r="M1601" s="360"/>
      <c r="N1601" s="398"/>
      <c r="O1601" s="369"/>
      <c r="P1601" s="67"/>
      <c r="Q1601" s="369"/>
    </row>
    <row r="1602" spans="1:20" ht="15" hidden="1" customHeight="1" x14ac:dyDescent="0.3">
      <c r="A1602" s="367">
        <v>392</v>
      </c>
      <c r="B1602" s="367" t="s">
        <v>174</v>
      </c>
      <c r="C1602" s="40">
        <v>-1600</v>
      </c>
      <c r="D1602" s="370">
        <v>0</v>
      </c>
      <c r="E1602" s="367" t="s">
        <v>13</v>
      </c>
      <c r="F1602" s="367">
        <v>1000</v>
      </c>
      <c r="G1602" s="367">
        <v>1000</v>
      </c>
      <c r="H1602" s="367" t="s">
        <v>50</v>
      </c>
      <c r="I1602" s="367" t="s">
        <v>13</v>
      </c>
      <c r="J1602" s="367" t="s">
        <v>13</v>
      </c>
      <c r="K1602" s="367" t="s">
        <v>13</v>
      </c>
      <c r="L1602" s="367">
        <v>0</v>
      </c>
      <c r="M1602" s="358" t="s">
        <v>14</v>
      </c>
      <c r="N1602" s="396" t="s">
        <v>297</v>
      </c>
      <c r="O1602" s="367" t="s">
        <v>27</v>
      </c>
      <c r="P1602" s="65"/>
      <c r="Q1602" s="367" t="s">
        <v>184</v>
      </c>
      <c r="T1602" s="200">
        <v>1</v>
      </c>
    </row>
    <row r="1603" spans="1:20" ht="15" customHeight="1" x14ac:dyDescent="0.3">
      <c r="A1603" s="368"/>
      <c r="B1603" s="368"/>
      <c r="C1603" s="41">
        <v>-20031</v>
      </c>
      <c r="D1603" s="371"/>
      <c r="E1603" s="368"/>
      <c r="F1603" s="368"/>
      <c r="G1603" s="368"/>
      <c r="H1603" s="368"/>
      <c r="I1603" s="368"/>
      <c r="J1603" s="368"/>
      <c r="K1603" s="368"/>
      <c r="L1603" s="368"/>
      <c r="M1603" s="359"/>
      <c r="N1603" s="397"/>
      <c r="O1603" s="368"/>
      <c r="P1603" s="226">
        <v>44066</v>
      </c>
      <c r="Q1603" s="368"/>
    </row>
    <row r="1604" spans="1:20" ht="15" customHeight="1" thickBot="1" x14ac:dyDescent="0.35">
      <c r="A1604" s="369"/>
      <c r="B1604" s="369"/>
      <c r="C1604" s="42">
        <v>11700</v>
      </c>
      <c r="D1604" s="372"/>
      <c r="E1604" s="369"/>
      <c r="F1604" s="369"/>
      <c r="G1604" s="369"/>
      <c r="H1604" s="369"/>
      <c r="I1604" s="369"/>
      <c r="J1604" s="369"/>
      <c r="K1604" s="369"/>
      <c r="L1604" s="369"/>
      <c r="M1604" s="360"/>
      <c r="N1604" s="398"/>
      <c r="O1604" s="369"/>
      <c r="P1604" s="67"/>
      <c r="Q1604" s="369"/>
    </row>
    <row r="1605" spans="1:20" ht="15" hidden="1" customHeight="1" x14ac:dyDescent="0.3">
      <c r="A1605" s="367">
        <v>393</v>
      </c>
      <c r="B1605" s="367" t="s">
        <v>174</v>
      </c>
      <c r="C1605" s="40">
        <v>-8177</v>
      </c>
      <c r="D1605" s="370">
        <v>0</v>
      </c>
      <c r="E1605" s="367" t="s">
        <v>13</v>
      </c>
      <c r="F1605" s="367">
        <v>1000</v>
      </c>
      <c r="G1605" s="367">
        <v>1000</v>
      </c>
      <c r="H1605" s="367" t="s">
        <v>25</v>
      </c>
      <c r="I1605" s="367" t="s">
        <v>13</v>
      </c>
      <c r="J1605" s="367" t="s">
        <v>13</v>
      </c>
      <c r="K1605" s="367" t="s">
        <v>13</v>
      </c>
      <c r="L1605" s="367">
        <v>0</v>
      </c>
      <c r="M1605" s="358" t="s">
        <v>14</v>
      </c>
      <c r="N1605" s="396" t="s">
        <v>297</v>
      </c>
      <c r="O1605" s="367" t="s">
        <v>27</v>
      </c>
      <c r="P1605" s="65"/>
      <c r="Q1605" s="367" t="s">
        <v>184</v>
      </c>
    </row>
    <row r="1606" spans="1:20" ht="15" customHeight="1" x14ac:dyDescent="0.3">
      <c r="A1606" s="368"/>
      <c r="B1606" s="368"/>
      <c r="C1606" s="41">
        <v>-18910</v>
      </c>
      <c r="D1606" s="371"/>
      <c r="E1606" s="368"/>
      <c r="F1606" s="368"/>
      <c r="G1606" s="368"/>
      <c r="H1606" s="368"/>
      <c r="I1606" s="368"/>
      <c r="J1606" s="368"/>
      <c r="K1606" s="368"/>
      <c r="L1606" s="368"/>
      <c r="M1606" s="359"/>
      <c r="N1606" s="397"/>
      <c r="O1606" s="368"/>
      <c r="P1606" s="226">
        <v>44066</v>
      </c>
      <c r="Q1606" s="368"/>
      <c r="T1606" s="200">
        <v>1</v>
      </c>
    </row>
    <row r="1607" spans="1:20" ht="15" customHeight="1" thickBot="1" x14ac:dyDescent="0.35">
      <c r="A1607" s="369"/>
      <c r="B1607" s="369"/>
      <c r="C1607" s="42">
        <v>12500</v>
      </c>
      <c r="D1607" s="372"/>
      <c r="E1607" s="369"/>
      <c r="F1607" s="369"/>
      <c r="G1607" s="369"/>
      <c r="H1607" s="369"/>
      <c r="I1607" s="369"/>
      <c r="J1607" s="369"/>
      <c r="K1607" s="369"/>
      <c r="L1607" s="369"/>
      <c r="M1607" s="360"/>
      <c r="N1607" s="398"/>
      <c r="O1607" s="369"/>
      <c r="P1607" s="67"/>
      <c r="Q1607" s="369"/>
    </row>
    <row r="1608" spans="1:20" ht="15" hidden="1" customHeight="1" x14ac:dyDescent="0.3">
      <c r="A1608" s="367">
        <v>394</v>
      </c>
      <c r="B1608" s="367" t="s">
        <v>174</v>
      </c>
      <c r="C1608" s="40">
        <v>-8177</v>
      </c>
      <c r="D1608" s="370">
        <v>0</v>
      </c>
      <c r="E1608" s="367" t="s">
        <v>13</v>
      </c>
      <c r="F1608" s="367">
        <v>1000</v>
      </c>
      <c r="G1608" s="367">
        <v>1000</v>
      </c>
      <c r="H1608" s="367" t="s">
        <v>25</v>
      </c>
      <c r="I1608" s="367" t="s">
        <v>13</v>
      </c>
      <c r="J1608" s="367" t="s">
        <v>13</v>
      </c>
      <c r="K1608" s="367" t="s">
        <v>13</v>
      </c>
      <c r="L1608" s="367">
        <v>0</v>
      </c>
      <c r="M1608" s="358" t="s">
        <v>14</v>
      </c>
      <c r="N1608" s="396" t="s">
        <v>297</v>
      </c>
      <c r="O1608" s="367" t="s">
        <v>27</v>
      </c>
      <c r="P1608" s="65"/>
      <c r="Q1608" s="367" t="s">
        <v>184</v>
      </c>
    </row>
    <row r="1609" spans="1:20" ht="15" customHeight="1" x14ac:dyDescent="0.3">
      <c r="A1609" s="368"/>
      <c r="B1609" s="368"/>
      <c r="C1609" s="41">
        <v>-18910</v>
      </c>
      <c r="D1609" s="371"/>
      <c r="E1609" s="368"/>
      <c r="F1609" s="368"/>
      <c r="G1609" s="368"/>
      <c r="H1609" s="368"/>
      <c r="I1609" s="368"/>
      <c r="J1609" s="368"/>
      <c r="K1609" s="368"/>
      <c r="L1609" s="368"/>
      <c r="M1609" s="359"/>
      <c r="N1609" s="397"/>
      <c r="O1609" s="368"/>
      <c r="P1609" s="226">
        <v>44066</v>
      </c>
      <c r="Q1609" s="368"/>
    </row>
    <row r="1610" spans="1:20" ht="15" customHeight="1" thickBot="1" x14ac:dyDescent="0.35">
      <c r="A1610" s="369"/>
      <c r="B1610" s="369"/>
      <c r="C1610" s="42">
        <v>10100</v>
      </c>
      <c r="D1610" s="372"/>
      <c r="E1610" s="369"/>
      <c r="F1610" s="369"/>
      <c r="G1610" s="369"/>
      <c r="H1610" s="369"/>
      <c r="I1610" s="369"/>
      <c r="J1610" s="369"/>
      <c r="K1610" s="369"/>
      <c r="L1610" s="369"/>
      <c r="M1610" s="360"/>
      <c r="N1610" s="398"/>
      <c r="O1610" s="369"/>
      <c r="P1610" s="67"/>
      <c r="Q1610" s="369"/>
      <c r="T1610" s="200">
        <v>1</v>
      </c>
    </row>
    <row r="1611" spans="1:20" ht="15" hidden="1" customHeight="1" x14ac:dyDescent="0.3">
      <c r="A1611" s="367">
        <v>395</v>
      </c>
      <c r="B1611" s="367" t="s">
        <v>174</v>
      </c>
      <c r="C1611" s="40">
        <v>-3103</v>
      </c>
      <c r="D1611" s="370">
        <v>0</v>
      </c>
      <c r="E1611" s="367" t="s">
        <v>13</v>
      </c>
      <c r="F1611" s="367">
        <v>1200</v>
      </c>
      <c r="G1611" s="367">
        <v>1200</v>
      </c>
      <c r="H1611" s="367" t="s">
        <v>25</v>
      </c>
      <c r="I1611" s="367" t="s">
        <v>13</v>
      </c>
      <c r="J1611" s="367" t="s">
        <v>13</v>
      </c>
      <c r="K1611" s="367" t="s">
        <v>13</v>
      </c>
      <c r="L1611" s="367">
        <v>0</v>
      </c>
      <c r="M1611" s="358" t="s">
        <v>14</v>
      </c>
      <c r="N1611" s="396" t="s">
        <v>81</v>
      </c>
      <c r="O1611" s="367" t="s">
        <v>27</v>
      </c>
      <c r="P1611" s="65"/>
      <c r="Q1611" s="367" t="s">
        <v>184</v>
      </c>
    </row>
    <row r="1612" spans="1:20" ht="15" customHeight="1" x14ac:dyDescent="0.3">
      <c r="A1612" s="368"/>
      <c r="B1612" s="368"/>
      <c r="C1612" s="41">
        <v>-15967</v>
      </c>
      <c r="D1612" s="371"/>
      <c r="E1612" s="368"/>
      <c r="F1612" s="368"/>
      <c r="G1612" s="368"/>
      <c r="H1612" s="368"/>
      <c r="I1612" s="368"/>
      <c r="J1612" s="368"/>
      <c r="K1612" s="368"/>
      <c r="L1612" s="368"/>
      <c r="M1612" s="359"/>
      <c r="N1612" s="397"/>
      <c r="O1612" s="368"/>
      <c r="P1612" s="226">
        <v>44066</v>
      </c>
      <c r="Q1612" s="368"/>
      <c r="T1612" s="200">
        <v>1</v>
      </c>
    </row>
    <row r="1613" spans="1:20" ht="15" customHeight="1" thickBot="1" x14ac:dyDescent="0.35">
      <c r="A1613" s="369"/>
      <c r="B1613" s="369"/>
      <c r="C1613" s="42">
        <v>11800</v>
      </c>
      <c r="D1613" s="372"/>
      <c r="E1613" s="369"/>
      <c r="F1613" s="369"/>
      <c r="G1613" s="369"/>
      <c r="H1613" s="369"/>
      <c r="I1613" s="369"/>
      <c r="J1613" s="369"/>
      <c r="K1613" s="369"/>
      <c r="L1613" s="369"/>
      <c r="M1613" s="360"/>
      <c r="N1613" s="398"/>
      <c r="O1613" s="369"/>
      <c r="P1613" s="67"/>
      <c r="Q1613" s="369"/>
    </row>
    <row r="1614" spans="1:20" ht="15" hidden="1" customHeight="1" x14ac:dyDescent="0.3">
      <c r="A1614" s="367">
        <v>396</v>
      </c>
      <c r="B1614" s="367" t="s">
        <v>174</v>
      </c>
      <c r="C1614" s="40">
        <v>-7768</v>
      </c>
      <c r="D1614" s="370">
        <v>0</v>
      </c>
      <c r="E1614" s="367" t="s">
        <v>13</v>
      </c>
      <c r="F1614" s="367">
        <v>1000</v>
      </c>
      <c r="G1614" s="367">
        <v>1000</v>
      </c>
      <c r="H1614" s="367" t="s">
        <v>25</v>
      </c>
      <c r="I1614" s="367" t="s">
        <v>13</v>
      </c>
      <c r="J1614" s="367" t="s">
        <v>13</v>
      </c>
      <c r="K1614" s="367" t="s">
        <v>13</v>
      </c>
      <c r="L1614" s="367">
        <v>0</v>
      </c>
      <c r="M1614" s="358" t="s">
        <v>14</v>
      </c>
      <c r="N1614" s="396" t="s">
        <v>297</v>
      </c>
      <c r="O1614" s="367" t="s">
        <v>27</v>
      </c>
      <c r="P1614" s="65"/>
      <c r="Q1614" s="367" t="s">
        <v>184</v>
      </c>
      <c r="T1614" s="200">
        <v>1</v>
      </c>
    </row>
    <row r="1615" spans="1:20" ht="15" customHeight="1" x14ac:dyDescent="0.3">
      <c r="A1615" s="368"/>
      <c r="B1615" s="368"/>
      <c r="C1615" s="41">
        <v>-18623</v>
      </c>
      <c r="D1615" s="371"/>
      <c r="E1615" s="368"/>
      <c r="F1615" s="368"/>
      <c r="G1615" s="368"/>
      <c r="H1615" s="368"/>
      <c r="I1615" s="368"/>
      <c r="J1615" s="368"/>
      <c r="K1615" s="368"/>
      <c r="L1615" s="368"/>
      <c r="M1615" s="359"/>
      <c r="N1615" s="397"/>
      <c r="O1615" s="368"/>
      <c r="P1615" s="226">
        <v>44066</v>
      </c>
      <c r="Q1615" s="368"/>
    </row>
    <row r="1616" spans="1:20" ht="15" customHeight="1" thickBot="1" x14ac:dyDescent="0.35">
      <c r="A1616" s="369"/>
      <c r="B1616" s="369"/>
      <c r="C1616" s="42">
        <v>10100</v>
      </c>
      <c r="D1616" s="372"/>
      <c r="E1616" s="369"/>
      <c r="F1616" s="369"/>
      <c r="G1616" s="369"/>
      <c r="H1616" s="369"/>
      <c r="I1616" s="369"/>
      <c r="J1616" s="369"/>
      <c r="K1616" s="369"/>
      <c r="L1616" s="369"/>
      <c r="M1616" s="360"/>
      <c r="N1616" s="398"/>
      <c r="O1616" s="369"/>
      <c r="P1616" s="67"/>
      <c r="Q1616" s="369"/>
    </row>
    <row r="1617" spans="1:20" ht="15" hidden="1" customHeight="1" x14ac:dyDescent="0.3">
      <c r="A1617" s="367">
        <v>397</v>
      </c>
      <c r="B1617" s="367" t="s">
        <v>174</v>
      </c>
      <c r="C1617" s="40">
        <v>-7768</v>
      </c>
      <c r="D1617" s="370">
        <v>0</v>
      </c>
      <c r="E1617" s="367" t="s">
        <v>13</v>
      </c>
      <c r="F1617" s="367">
        <v>1000</v>
      </c>
      <c r="G1617" s="367">
        <v>1000</v>
      </c>
      <c r="H1617" s="367" t="s">
        <v>25</v>
      </c>
      <c r="I1617" s="367" t="s">
        <v>13</v>
      </c>
      <c r="J1617" s="367" t="s">
        <v>13</v>
      </c>
      <c r="K1617" s="367" t="s">
        <v>13</v>
      </c>
      <c r="L1617" s="367">
        <v>0</v>
      </c>
      <c r="M1617" s="358" t="s">
        <v>14</v>
      </c>
      <c r="N1617" s="396" t="s">
        <v>297</v>
      </c>
      <c r="O1617" s="367" t="s">
        <v>27</v>
      </c>
      <c r="P1617" s="65"/>
      <c r="Q1617" s="367" t="s">
        <v>184</v>
      </c>
    </row>
    <row r="1618" spans="1:20" ht="15" customHeight="1" x14ac:dyDescent="0.3">
      <c r="A1618" s="368"/>
      <c r="B1618" s="368"/>
      <c r="C1618" s="41">
        <v>-18623</v>
      </c>
      <c r="D1618" s="371"/>
      <c r="E1618" s="368"/>
      <c r="F1618" s="368"/>
      <c r="G1618" s="368"/>
      <c r="H1618" s="368"/>
      <c r="I1618" s="368"/>
      <c r="J1618" s="368"/>
      <c r="K1618" s="368"/>
      <c r="L1618" s="368"/>
      <c r="M1618" s="359"/>
      <c r="N1618" s="397"/>
      <c r="O1618" s="368"/>
      <c r="P1618" s="226">
        <v>44066</v>
      </c>
      <c r="Q1618" s="368"/>
      <c r="T1618" s="200">
        <v>1</v>
      </c>
    </row>
    <row r="1619" spans="1:20" ht="15" customHeight="1" thickBot="1" x14ac:dyDescent="0.35">
      <c r="A1619" s="369"/>
      <c r="B1619" s="369"/>
      <c r="C1619" s="42">
        <v>9600</v>
      </c>
      <c r="D1619" s="372"/>
      <c r="E1619" s="369"/>
      <c r="F1619" s="369"/>
      <c r="G1619" s="369"/>
      <c r="H1619" s="369"/>
      <c r="I1619" s="369"/>
      <c r="J1619" s="369"/>
      <c r="K1619" s="369"/>
      <c r="L1619" s="369"/>
      <c r="M1619" s="360"/>
      <c r="N1619" s="398"/>
      <c r="O1619" s="369"/>
      <c r="P1619" s="67"/>
      <c r="Q1619" s="369"/>
    </row>
    <row r="1620" spans="1:20" ht="15" hidden="1" customHeight="1" x14ac:dyDescent="0.3">
      <c r="A1620" s="367">
        <v>398</v>
      </c>
      <c r="B1620" s="367" t="s">
        <v>174</v>
      </c>
      <c r="C1620" s="40">
        <v>-8177</v>
      </c>
      <c r="D1620" s="370">
        <v>0</v>
      </c>
      <c r="E1620" s="367" t="s">
        <v>13</v>
      </c>
      <c r="F1620" s="367">
        <v>1000</v>
      </c>
      <c r="G1620" s="367">
        <v>1000</v>
      </c>
      <c r="H1620" s="367" t="s">
        <v>25</v>
      </c>
      <c r="I1620" s="367" t="s">
        <v>13</v>
      </c>
      <c r="J1620" s="367" t="s">
        <v>13</v>
      </c>
      <c r="K1620" s="367" t="s">
        <v>13</v>
      </c>
      <c r="L1620" s="367">
        <v>0</v>
      </c>
      <c r="M1620" s="358" t="s">
        <v>14</v>
      </c>
      <c r="N1620" s="396" t="s">
        <v>297</v>
      </c>
      <c r="O1620" s="367" t="s">
        <v>27</v>
      </c>
      <c r="P1620" s="65"/>
      <c r="Q1620" s="367" t="s">
        <v>184</v>
      </c>
      <c r="T1620" s="200">
        <v>1</v>
      </c>
    </row>
    <row r="1621" spans="1:20" ht="15" customHeight="1" x14ac:dyDescent="0.3">
      <c r="A1621" s="368"/>
      <c r="B1621" s="368"/>
      <c r="C1621" s="41">
        <v>-18910</v>
      </c>
      <c r="D1621" s="371"/>
      <c r="E1621" s="368"/>
      <c r="F1621" s="368"/>
      <c r="G1621" s="368"/>
      <c r="H1621" s="368"/>
      <c r="I1621" s="368"/>
      <c r="J1621" s="368"/>
      <c r="K1621" s="368"/>
      <c r="L1621" s="368"/>
      <c r="M1621" s="359"/>
      <c r="N1621" s="397"/>
      <c r="O1621" s="368"/>
      <c r="P1621" s="226">
        <v>44066</v>
      </c>
      <c r="Q1621" s="368"/>
    </row>
    <row r="1622" spans="1:20" ht="15" customHeight="1" thickBot="1" x14ac:dyDescent="0.35">
      <c r="A1622" s="369"/>
      <c r="B1622" s="369"/>
      <c r="C1622" s="42">
        <v>9600</v>
      </c>
      <c r="D1622" s="372"/>
      <c r="E1622" s="369"/>
      <c r="F1622" s="369"/>
      <c r="G1622" s="369"/>
      <c r="H1622" s="369"/>
      <c r="I1622" s="369"/>
      <c r="J1622" s="369"/>
      <c r="K1622" s="369"/>
      <c r="L1622" s="369"/>
      <c r="M1622" s="360"/>
      <c r="N1622" s="398"/>
      <c r="O1622" s="369"/>
      <c r="P1622" s="67"/>
      <c r="Q1622" s="369"/>
    </row>
    <row r="1623" spans="1:20" ht="15" hidden="1" customHeight="1" x14ac:dyDescent="0.3">
      <c r="A1623" s="367">
        <v>399</v>
      </c>
      <c r="B1623" s="367" t="s">
        <v>174</v>
      </c>
      <c r="C1623" s="40">
        <v>-7768</v>
      </c>
      <c r="D1623" s="370">
        <v>0</v>
      </c>
      <c r="E1623" s="367" t="s">
        <v>13</v>
      </c>
      <c r="F1623" s="367">
        <v>1000</v>
      </c>
      <c r="G1623" s="367">
        <v>1000</v>
      </c>
      <c r="H1623" s="367" t="s">
        <v>25</v>
      </c>
      <c r="I1623" s="367" t="s">
        <v>13</v>
      </c>
      <c r="J1623" s="367" t="s">
        <v>13</v>
      </c>
      <c r="K1623" s="367" t="s">
        <v>13</v>
      </c>
      <c r="L1623" s="367">
        <v>0</v>
      </c>
      <c r="M1623" s="358" t="s">
        <v>14</v>
      </c>
      <c r="N1623" s="396" t="s">
        <v>297</v>
      </c>
      <c r="O1623" s="367" t="s">
        <v>27</v>
      </c>
      <c r="P1623" s="65"/>
      <c r="Q1623" s="367" t="s">
        <v>184</v>
      </c>
    </row>
    <row r="1624" spans="1:20" ht="15" customHeight="1" x14ac:dyDescent="0.3">
      <c r="A1624" s="368"/>
      <c r="B1624" s="368"/>
      <c r="C1624" s="41">
        <v>-18623</v>
      </c>
      <c r="D1624" s="371"/>
      <c r="E1624" s="368"/>
      <c r="F1624" s="368"/>
      <c r="G1624" s="368"/>
      <c r="H1624" s="368"/>
      <c r="I1624" s="368"/>
      <c r="J1624" s="368"/>
      <c r="K1624" s="368"/>
      <c r="L1624" s="368"/>
      <c r="M1624" s="359"/>
      <c r="N1624" s="397"/>
      <c r="O1624" s="368"/>
      <c r="P1624" s="226">
        <v>44066</v>
      </c>
      <c r="Q1624" s="368"/>
      <c r="T1624" s="200">
        <v>1</v>
      </c>
    </row>
    <row r="1625" spans="1:20" ht="15" customHeight="1" thickBot="1" x14ac:dyDescent="0.35">
      <c r="A1625" s="369"/>
      <c r="B1625" s="369"/>
      <c r="C1625" s="42">
        <v>12500</v>
      </c>
      <c r="D1625" s="372"/>
      <c r="E1625" s="369"/>
      <c r="F1625" s="369"/>
      <c r="G1625" s="369"/>
      <c r="H1625" s="369"/>
      <c r="I1625" s="369"/>
      <c r="J1625" s="369"/>
      <c r="K1625" s="369"/>
      <c r="L1625" s="369"/>
      <c r="M1625" s="360"/>
      <c r="N1625" s="398"/>
      <c r="O1625" s="369"/>
      <c r="P1625" s="67"/>
      <c r="Q1625" s="369"/>
    </row>
    <row r="1626" spans="1:20" ht="15" hidden="1" customHeight="1" x14ac:dyDescent="0.3">
      <c r="A1626" s="367">
        <v>400</v>
      </c>
      <c r="B1626" s="367" t="s">
        <v>174</v>
      </c>
      <c r="C1626" s="40">
        <v>-7768</v>
      </c>
      <c r="D1626" s="370">
        <v>0</v>
      </c>
      <c r="E1626" s="367" t="s">
        <v>13</v>
      </c>
      <c r="F1626" s="367">
        <v>1000</v>
      </c>
      <c r="G1626" s="367">
        <v>1000</v>
      </c>
      <c r="H1626" s="367" t="s">
        <v>25</v>
      </c>
      <c r="I1626" s="367" t="s">
        <v>13</v>
      </c>
      <c r="J1626" s="367" t="s">
        <v>13</v>
      </c>
      <c r="K1626" s="367" t="s">
        <v>13</v>
      </c>
      <c r="L1626" s="367">
        <v>0</v>
      </c>
      <c r="M1626" s="358" t="s">
        <v>14</v>
      </c>
      <c r="N1626" s="396" t="s">
        <v>297</v>
      </c>
      <c r="O1626" s="367" t="s">
        <v>27</v>
      </c>
      <c r="P1626" s="65"/>
      <c r="Q1626" s="367" t="s">
        <v>184</v>
      </c>
    </row>
    <row r="1627" spans="1:20" ht="15" customHeight="1" x14ac:dyDescent="0.3">
      <c r="A1627" s="368"/>
      <c r="B1627" s="368"/>
      <c r="C1627" s="41">
        <v>-18623</v>
      </c>
      <c r="D1627" s="371"/>
      <c r="E1627" s="368"/>
      <c r="F1627" s="368"/>
      <c r="G1627" s="368"/>
      <c r="H1627" s="368"/>
      <c r="I1627" s="368"/>
      <c r="J1627" s="368"/>
      <c r="K1627" s="368"/>
      <c r="L1627" s="368"/>
      <c r="M1627" s="359"/>
      <c r="N1627" s="397"/>
      <c r="O1627" s="368"/>
      <c r="P1627" s="226">
        <v>44066</v>
      </c>
      <c r="Q1627" s="368"/>
      <c r="T1627" s="200">
        <v>1</v>
      </c>
    </row>
    <row r="1628" spans="1:20" ht="15" customHeight="1" thickBot="1" x14ac:dyDescent="0.35">
      <c r="A1628" s="369"/>
      <c r="B1628" s="369"/>
      <c r="C1628" s="42">
        <v>13000</v>
      </c>
      <c r="D1628" s="372"/>
      <c r="E1628" s="369"/>
      <c r="F1628" s="369"/>
      <c r="G1628" s="369"/>
      <c r="H1628" s="369"/>
      <c r="I1628" s="369"/>
      <c r="J1628" s="369"/>
      <c r="K1628" s="369"/>
      <c r="L1628" s="369"/>
      <c r="M1628" s="360"/>
      <c r="N1628" s="398"/>
      <c r="O1628" s="369"/>
      <c r="P1628" s="67"/>
      <c r="Q1628" s="369"/>
    </row>
    <row r="1629" spans="1:20" ht="15" hidden="1" customHeight="1" x14ac:dyDescent="0.3">
      <c r="A1629" s="367">
        <v>401</v>
      </c>
      <c r="B1629" s="367" t="s">
        <v>174</v>
      </c>
      <c r="C1629" s="40">
        <v>-8177</v>
      </c>
      <c r="D1629" s="370">
        <v>0</v>
      </c>
      <c r="E1629" s="367" t="s">
        <v>13</v>
      </c>
      <c r="F1629" s="367">
        <v>1000</v>
      </c>
      <c r="G1629" s="367">
        <v>1000</v>
      </c>
      <c r="H1629" s="367" t="s">
        <v>25</v>
      </c>
      <c r="I1629" s="367" t="s">
        <v>13</v>
      </c>
      <c r="J1629" s="367" t="s">
        <v>13</v>
      </c>
      <c r="K1629" s="367" t="s">
        <v>13</v>
      </c>
      <c r="L1629" s="367">
        <v>0</v>
      </c>
      <c r="M1629" s="358" t="s">
        <v>14</v>
      </c>
      <c r="N1629" s="396" t="s">
        <v>297</v>
      </c>
      <c r="O1629" s="367" t="s">
        <v>27</v>
      </c>
      <c r="P1629" s="65"/>
      <c r="Q1629" s="367" t="s">
        <v>184</v>
      </c>
      <c r="T1629" s="200">
        <v>1</v>
      </c>
    </row>
    <row r="1630" spans="1:20" ht="15" customHeight="1" x14ac:dyDescent="0.3">
      <c r="A1630" s="368"/>
      <c r="B1630" s="368"/>
      <c r="C1630" s="41">
        <v>-18910</v>
      </c>
      <c r="D1630" s="371"/>
      <c r="E1630" s="368"/>
      <c r="F1630" s="368"/>
      <c r="G1630" s="368"/>
      <c r="H1630" s="368"/>
      <c r="I1630" s="368"/>
      <c r="J1630" s="368"/>
      <c r="K1630" s="368"/>
      <c r="L1630" s="368"/>
      <c r="M1630" s="359"/>
      <c r="N1630" s="397"/>
      <c r="O1630" s="368"/>
      <c r="P1630" s="226">
        <v>44066</v>
      </c>
      <c r="Q1630" s="368"/>
    </row>
    <row r="1631" spans="1:20" ht="15" customHeight="1" thickBot="1" x14ac:dyDescent="0.35">
      <c r="A1631" s="369"/>
      <c r="B1631" s="369"/>
      <c r="C1631" s="42">
        <v>13000</v>
      </c>
      <c r="D1631" s="372"/>
      <c r="E1631" s="369"/>
      <c r="F1631" s="369"/>
      <c r="G1631" s="369"/>
      <c r="H1631" s="369"/>
      <c r="I1631" s="369"/>
      <c r="J1631" s="369"/>
      <c r="K1631" s="369"/>
      <c r="L1631" s="369"/>
      <c r="M1631" s="360"/>
      <c r="N1631" s="398"/>
      <c r="O1631" s="369"/>
      <c r="P1631" s="67"/>
      <c r="Q1631" s="369"/>
    </row>
    <row r="1632" spans="1:20" ht="15" hidden="1" customHeight="1" x14ac:dyDescent="0.3">
      <c r="A1632" s="367">
        <v>402</v>
      </c>
      <c r="B1632" s="367" t="s">
        <v>174</v>
      </c>
      <c r="C1632" s="40">
        <v>2512</v>
      </c>
      <c r="D1632" s="370">
        <v>0</v>
      </c>
      <c r="E1632" s="367" t="s">
        <v>13</v>
      </c>
      <c r="F1632" s="367">
        <v>1000</v>
      </c>
      <c r="G1632" s="367">
        <v>1000</v>
      </c>
      <c r="H1632" s="370" t="s">
        <v>187</v>
      </c>
      <c r="I1632" s="367" t="s">
        <v>13</v>
      </c>
      <c r="J1632" s="367" t="s">
        <v>13</v>
      </c>
      <c r="K1632" s="367" t="s">
        <v>13</v>
      </c>
      <c r="L1632" s="367">
        <v>0</v>
      </c>
      <c r="M1632" s="358" t="s">
        <v>14</v>
      </c>
      <c r="N1632" s="396" t="s">
        <v>234</v>
      </c>
      <c r="O1632" s="367" t="s">
        <v>27</v>
      </c>
      <c r="P1632" s="65"/>
      <c r="Q1632" s="367" t="s">
        <v>188</v>
      </c>
    </row>
    <row r="1633" spans="1:20" ht="15" customHeight="1" x14ac:dyDescent="0.3">
      <c r="A1633" s="368"/>
      <c r="B1633" s="368"/>
      <c r="C1633" s="41">
        <v>18728</v>
      </c>
      <c r="D1633" s="371"/>
      <c r="E1633" s="368"/>
      <c r="F1633" s="368"/>
      <c r="G1633" s="368"/>
      <c r="H1633" s="371"/>
      <c r="I1633" s="368"/>
      <c r="J1633" s="368"/>
      <c r="K1633" s="368"/>
      <c r="L1633" s="368"/>
      <c r="M1633" s="359"/>
      <c r="N1633" s="397"/>
      <c r="O1633" s="368"/>
      <c r="P1633" s="226">
        <v>44066</v>
      </c>
      <c r="Q1633" s="368"/>
      <c r="T1633" s="200">
        <v>1</v>
      </c>
    </row>
    <row r="1634" spans="1:20" ht="15" customHeight="1" thickBot="1" x14ac:dyDescent="0.35">
      <c r="A1634" s="369"/>
      <c r="B1634" s="369"/>
      <c r="C1634" s="42">
        <v>11700</v>
      </c>
      <c r="D1634" s="372"/>
      <c r="E1634" s="369"/>
      <c r="F1634" s="369"/>
      <c r="G1634" s="369"/>
      <c r="H1634" s="372"/>
      <c r="I1634" s="369"/>
      <c r="J1634" s="369"/>
      <c r="K1634" s="369"/>
      <c r="L1634" s="369"/>
      <c r="M1634" s="360"/>
      <c r="N1634" s="398"/>
      <c r="O1634" s="369"/>
      <c r="P1634" s="67"/>
      <c r="Q1634" s="369"/>
    </row>
    <row r="1635" spans="1:20" ht="15" hidden="1" customHeight="1" x14ac:dyDescent="0.3">
      <c r="A1635" s="367">
        <v>403</v>
      </c>
      <c r="B1635" s="367" t="s">
        <v>334</v>
      </c>
      <c r="C1635" s="40">
        <v>-18900</v>
      </c>
      <c r="D1635" s="370">
        <v>1</v>
      </c>
      <c r="E1635" s="367" t="s">
        <v>66</v>
      </c>
      <c r="F1635" s="367">
        <v>600</v>
      </c>
      <c r="G1635" s="367">
        <v>600</v>
      </c>
      <c r="H1635" s="367" t="s">
        <v>25</v>
      </c>
      <c r="I1635" s="367">
        <v>60</v>
      </c>
      <c r="J1635" s="367" t="s">
        <v>335</v>
      </c>
      <c r="K1635" s="367">
        <v>30</v>
      </c>
      <c r="L1635" s="367">
        <v>34.5</v>
      </c>
      <c r="M1635" s="358" t="s">
        <v>14</v>
      </c>
      <c r="N1635" s="396" t="s">
        <v>79</v>
      </c>
      <c r="O1635" s="367" t="s">
        <v>27</v>
      </c>
      <c r="P1635" s="65"/>
      <c r="Q1635" s="367" t="s">
        <v>336</v>
      </c>
    </row>
    <row r="1636" spans="1:20" ht="15" customHeight="1" x14ac:dyDescent="0.3">
      <c r="A1636" s="368"/>
      <c r="B1636" s="368"/>
      <c r="C1636" s="41">
        <v>5500</v>
      </c>
      <c r="D1636" s="371"/>
      <c r="E1636" s="368"/>
      <c r="F1636" s="368"/>
      <c r="G1636" s="368"/>
      <c r="H1636" s="368"/>
      <c r="I1636" s="368"/>
      <c r="J1636" s="368"/>
      <c r="K1636" s="368"/>
      <c r="L1636" s="368"/>
      <c r="M1636" s="359"/>
      <c r="N1636" s="397"/>
      <c r="O1636" s="368"/>
      <c r="P1636" s="226">
        <v>44066</v>
      </c>
      <c r="Q1636" s="368"/>
      <c r="T1636" s="200">
        <v>1</v>
      </c>
    </row>
    <row r="1637" spans="1:20" ht="15" customHeight="1" thickBot="1" x14ac:dyDescent="0.35">
      <c r="A1637" s="369"/>
      <c r="B1637" s="369"/>
      <c r="C1637" s="42">
        <v>12200</v>
      </c>
      <c r="D1637" s="372"/>
      <c r="E1637" s="369"/>
      <c r="F1637" s="369"/>
      <c r="G1637" s="369"/>
      <c r="H1637" s="369"/>
      <c r="I1637" s="369"/>
      <c r="J1637" s="369"/>
      <c r="K1637" s="369"/>
      <c r="L1637" s="369"/>
      <c r="M1637" s="360"/>
      <c r="N1637" s="398"/>
      <c r="O1637" s="369"/>
      <c r="P1637" s="67"/>
      <c r="Q1637" s="369"/>
    </row>
    <row r="1638" spans="1:20" ht="15" hidden="1" customHeight="1" x14ac:dyDescent="0.3">
      <c r="A1638" s="367">
        <v>404</v>
      </c>
      <c r="B1638" s="396" t="s">
        <v>174</v>
      </c>
      <c r="C1638" s="91">
        <v>-18900</v>
      </c>
      <c r="D1638" s="399">
        <v>0</v>
      </c>
      <c r="E1638" s="396" t="s">
        <v>13</v>
      </c>
      <c r="F1638" s="396">
        <v>600</v>
      </c>
      <c r="G1638" s="396">
        <v>600</v>
      </c>
      <c r="H1638" s="396" t="s">
        <v>25</v>
      </c>
      <c r="I1638" s="396" t="s">
        <v>13</v>
      </c>
      <c r="J1638" s="396" t="s">
        <v>13</v>
      </c>
      <c r="K1638" s="396" t="s">
        <v>13</v>
      </c>
      <c r="L1638" s="396">
        <v>0</v>
      </c>
      <c r="M1638" s="396" t="s">
        <v>14</v>
      </c>
      <c r="N1638" s="396" t="s">
        <v>79</v>
      </c>
      <c r="O1638" s="396" t="s">
        <v>27</v>
      </c>
      <c r="P1638" s="86"/>
      <c r="Q1638" s="396" t="s">
        <v>184</v>
      </c>
    </row>
    <row r="1639" spans="1:20" ht="15" customHeight="1" x14ac:dyDescent="0.3">
      <c r="A1639" s="368"/>
      <c r="B1639" s="397"/>
      <c r="C1639" s="92">
        <v>4750</v>
      </c>
      <c r="D1639" s="400"/>
      <c r="E1639" s="397"/>
      <c r="F1639" s="397"/>
      <c r="G1639" s="397"/>
      <c r="H1639" s="397"/>
      <c r="I1639" s="397"/>
      <c r="J1639" s="397"/>
      <c r="K1639" s="397"/>
      <c r="L1639" s="397"/>
      <c r="M1639" s="397"/>
      <c r="N1639" s="397"/>
      <c r="O1639" s="397"/>
      <c r="P1639" s="230">
        <v>44066</v>
      </c>
      <c r="Q1639" s="397"/>
      <c r="T1639" s="200">
        <v>1</v>
      </c>
    </row>
    <row r="1640" spans="1:20" ht="15" customHeight="1" thickBot="1" x14ac:dyDescent="0.35">
      <c r="A1640" s="369"/>
      <c r="B1640" s="398"/>
      <c r="C1640" s="93">
        <v>12200</v>
      </c>
      <c r="D1640" s="401"/>
      <c r="E1640" s="398"/>
      <c r="F1640" s="398"/>
      <c r="G1640" s="398"/>
      <c r="H1640" s="398"/>
      <c r="I1640" s="398"/>
      <c r="J1640" s="398"/>
      <c r="K1640" s="398"/>
      <c r="L1640" s="398"/>
      <c r="M1640" s="398"/>
      <c r="N1640" s="398"/>
      <c r="O1640" s="398"/>
      <c r="P1640" s="88"/>
      <c r="Q1640" s="398"/>
    </row>
    <row r="1641" spans="1:20" ht="15" hidden="1" customHeight="1" x14ac:dyDescent="0.3">
      <c r="A1641" s="367">
        <v>405</v>
      </c>
      <c r="B1641" s="396" t="s">
        <v>174</v>
      </c>
      <c r="C1641" s="91">
        <v>-18900</v>
      </c>
      <c r="D1641" s="399">
        <v>0</v>
      </c>
      <c r="E1641" s="396" t="s">
        <v>13</v>
      </c>
      <c r="F1641" s="396">
        <v>600</v>
      </c>
      <c r="G1641" s="396">
        <v>600</v>
      </c>
      <c r="H1641" s="396" t="s">
        <v>25</v>
      </c>
      <c r="I1641" s="396" t="s">
        <v>13</v>
      </c>
      <c r="J1641" s="396" t="s">
        <v>13</v>
      </c>
      <c r="K1641" s="396" t="s">
        <v>13</v>
      </c>
      <c r="L1641" s="396">
        <v>0</v>
      </c>
      <c r="M1641" s="396" t="s">
        <v>14</v>
      </c>
      <c r="N1641" s="396" t="s">
        <v>79</v>
      </c>
      <c r="O1641" s="396" t="s">
        <v>27</v>
      </c>
      <c r="P1641" s="86"/>
      <c r="Q1641" s="396" t="s">
        <v>184</v>
      </c>
    </row>
    <row r="1642" spans="1:20" ht="15" customHeight="1" x14ac:dyDescent="0.3">
      <c r="A1642" s="368"/>
      <c r="B1642" s="397"/>
      <c r="C1642" s="92">
        <v>4750</v>
      </c>
      <c r="D1642" s="400"/>
      <c r="E1642" s="397"/>
      <c r="F1642" s="397"/>
      <c r="G1642" s="397"/>
      <c r="H1642" s="397"/>
      <c r="I1642" s="397"/>
      <c r="J1642" s="397"/>
      <c r="K1642" s="397"/>
      <c r="L1642" s="397"/>
      <c r="M1642" s="397"/>
      <c r="N1642" s="397"/>
      <c r="O1642" s="397"/>
      <c r="P1642" s="230">
        <v>44066</v>
      </c>
      <c r="Q1642" s="397"/>
      <c r="T1642" s="200">
        <v>1</v>
      </c>
    </row>
    <row r="1643" spans="1:20" ht="15" customHeight="1" thickBot="1" x14ac:dyDescent="0.35">
      <c r="A1643" s="369"/>
      <c r="B1643" s="398"/>
      <c r="C1643" s="93">
        <v>11400</v>
      </c>
      <c r="D1643" s="401"/>
      <c r="E1643" s="398"/>
      <c r="F1643" s="398"/>
      <c r="G1643" s="398"/>
      <c r="H1643" s="398"/>
      <c r="I1643" s="398"/>
      <c r="J1643" s="398"/>
      <c r="K1643" s="398"/>
      <c r="L1643" s="398"/>
      <c r="M1643" s="398"/>
      <c r="N1643" s="398"/>
      <c r="O1643" s="398"/>
      <c r="P1643" s="88"/>
      <c r="Q1643" s="398"/>
    </row>
    <row r="1644" spans="1:20" ht="15" hidden="1" customHeight="1" x14ac:dyDescent="0.3">
      <c r="A1644" s="367">
        <v>406</v>
      </c>
      <c r="B1644" s="396" t="s">
        <v>174</v>
      </c>
      <c r="C1644" s="91">
        <v>-18900</v>
      </c>
      <c r="D1644" s="399">
        <v>0</v>
      </c>
      <c r="E1644" s="396" t="s">
        <v>13</v>
      </c>
      <c r="F1644" s="396">
        <v>600</v>
      </c>
      <c r="G1644" s="396">
        <v>600</v>
      </c>
      <c r="H1644" s="396" t="s">
        <v>25</v>
      </c>
      <c r="I1644" s="396" t="s">
        <v>13</v>
      </c>
      <c r="J1644" s="396" t="s">
        <v>13</v>
      </c>
      <c r="K1644" s="396" t="s">
        <v>13</v>
      </c>
      <c r="L1644" s="396">
        <v>0</v>
      </c>
      <c r="M1644" s="396" t="s">
        <v>14</v>
      </c>
      <c r="N1644" s="396" t="s">
        <v>79</v>
      </c>
      <c r="O1644" s="396" t="s">
        <v>27</v>
      </c>
      <c r="P1644" s="86"/>
      <c r="Q1644" s="396" t="s">
        <v>184</v>
      </c>
      <c r="T1644" s="200">
        <v>1</v>
      </c>
    </row>
    <row r="1645" spans="1:20" ht="15" customHeight="1" x14ac:dyDescent="0.3">
      <c r="A1645" s="368"/>
      <c r="B1645" s="397"/>
      <c r="C1645" s="92">
        <v>5500</v>
      </c>
      <c r="D1645" s="400"/>
      <c r="E1645" s="397"/>
      <c r="F1645" s="397"/>
      <c r="G1645" s="397"/>
      <c r="H1645" s="397"/>
      <c r="I1645" s="397"/>
      <c r="J1645" s="397"/>
      <c r="K1645" s="397"/>
      <c r="L1645" s="397"/>
      <c r="M1645" s="397"/>
      <c r="N1645" s="397"/>
      <c r="O1645" s="397"/>
      <c r="P1645" s="230">
        <v>44066</v>
      </c>
      <c r="Q1645" s="397"/>
    </row>
    <row r="1646" spans="1:20" ht="15" customHeight="1" thickBot="1" x14ac:dyDescent="0.35">
      <c r="A1646" s="369"/>
      <c r="B1646" s="398"/>
      <c r="C1646" s="93">
        <v>11400</v>
      </c>
      <c r="D1646" s="401"/>
      <c r="E1646" s="398"/>
      <c r="F1646" s="398"/>
      <c r="G1646" s="398"/>
      <c r="H1646" s="398"/>
      <c r="I1646" s="398"/>
      <c r="J1646" s="398"/>
      <c r="K1646" s="398"/>
      <c r="L1646" s="398"/>
      <c r="M1646" s="398"/>
      <c r="N1646" s="398"/>
      <c r="O1646" s="398"/>
      <c r="P1646" s="88"/>
      <c r="Q1646" s="398"/>
    </row>
    <row r="1647" spans="1:20" ht="15" hidden="1" customHeight="1" x14ac:dyDescent="0.3">
      <c r="A1647" s="367">
        <v>407</v>
      </c>
      <c r="B1647" s="396" t="s">
        <v>174</v>
      </c>
      <c r="C1647" s="91">
        <v>-18900</v>
      </c>
      <c r="D1647" s="399">
        <v>0</v>
      </c>
      <c r="E1647" s="396" t="s">
        <v>13</v>
      </c>
      <c r="F1647" s="396">
        <v>600</v>
      </c>
      <c r="G1647" s="396">
        <v>600</v>
      </c>
      <c r="H1647" s="396" t="s">
        <v>25</v>
      </c>
      <c r="I1647" s="396" t="s">
        <v>13</v>
      </c>
      <c r="J1647" s="396" t="s">
        <v>13</v>
      </c>
      <c r="K1647" s="396" t="s">
        <v>13</v>
      </c>
      <c r="L1647" s="396">
        <v>0</v>
      </c>
      <c r="M1647" s="396" t="s">
        <v>14</v>
      </c>
      <c r="N1647" s="396" t="s">
        <v>79</v>
      </c>
      <c r="O1647" s="396" t="s">
        <v>27</v>
      </c>
      <c r="P1647" s="86"/>
      <c r="Q1647" s="396" t="s">
        <v>184</v>
      </c>
      <c r="T1647" s="200">
        <v>1</v>
      </c>
    </row>
    <row r="1648" spans="1:20" ht="15" customHeight="1" x14ac:dyDescent="0.3">
      <c r="A1648" s="368"/>
      <c r="B1648" s="397"/>
      <c r="C1648" s="92">
        <v>-1700</v>
      </c>
      <c r="D1648" s="400"/>
      <c r="E1648" s="397"/>
      <c r="F1648" s="397"/>
      <c r="G1648" s="397"/>
      <c r="H1648" s="397"/>
      <c r="I1648" s="397"/>
      <c r="J1648" s="397"/>
      <c r="K1648" s="397"/>
      <c r="L1648" s="397"/>
      <c r="M1648" s="397"/>
      <c r="N1648" s="397"/>
      <c r="O1648" s="397"/>
      <c r="P1648" s="230">
        <v>44066</v>
      </c>
      <c r="Q1648" s="397"/>
    </row>
    <row r="1649" spans="1:20" ht="15" customHeight="1" thickBot="1" x14ac:dyDescent="0.35">
      <c r="A1649" s="369"/>
      <c r="B1649" s="398"/>
      <c r="C1649" s="93">
        <v>12300</v>
      </c>
      <c r="D1649" s="401"/>
      <c r="E1649" s="398"/>
      <c r="F1649" s="398"/>
      <c r="G1649" s="398"/>
      <c r="H1649" s="398"/>
      <c r="I1649" s="398"/>
      <c r="J1649" s="398"/>
      <c r="K1649" s="398"/>
      <c r="L1649" s="398"/>
      <c r="M1649" s="398"/>
      <c r="N1649" s="398"/>
      <c r="O1649" s="398"/>
      <c r="P1649" s="88"/>
      <c r="Q1649" s="398"/>
    </row>
    <row r="1650" spans="1:20" ht="15" hidden="1" customHeight="1" x14ac:dyDescent="0.3">
      <c r="A1650" s="367">
        <v>408</v>
      </c>
      <c r="B1650" s="396" t="s">
        <v>174</v>
      </c>
      <c r="C1650" s="91">
        <v>-18900</v>
      </c>
      <c r="D1650" s="399">
        <v>0</v>
      </c>
      <c r="E1650" s="396" t="s">
        <v>13</v>
      </c>
      <c r="F1650" s="396">
        <v>600</v>
      </c>
      <c r="G1650" s="396">
        <v>600</v>
      </c>
      <c r="H1650" s="396" t="s">
        <v>25</v>
      </c>
      <c r="I1650" s="396" t="s">
        <v>13</v>
      </c>
      <c r="J1650" s="396" t="s">
        <v>13</v>
      </c>
      <c r="K1650" s="396" t="s">
        <v>13</v>
      </c>
      <c r="L1650" s="396">
        <v>0</v>
      </c>
      <c r="M1650" s="396" t="s">
        <v>14</v>
      </c>
      <c r="N1650" s="396" t="s">
        <v>79</v>
      </c>
      <c r="O1650" s="396" t="s">
        <v>27</v>
      </c>
      <c r="P1650" s="86"/>
      <c r="Q1650" s="396" t="s">
        <v>184</v>
      </c>
    </row>
    <row r="1651" spans="1:20" ht="15" customHeight="1" x14ac:dyDescent="0.3">
      <c r="A1651" s="368"/>
      <c r="B1651" s="397"/>
      <c r="C1651" s="92">
        <v>-2050</v>
      </c>
      <c r="D1651" s="400"/>
      <c r="E1651" s="397"/>
      <c r="F1651" s="397"/>
      <c r="G1651" s="397"/>
      <c r="H1651" s="397"/>
      <c r="I1651" s="397"/>
      <c r="J1651" s="397"/>
      <c r="K1651" s="397"/>
      <c r="L1651" s="397"/>
      <c r="M1651" s="397"/>
      <c r="N1651" s="397"/>
      <c r="O1651" s="397"/>
      <c r="P1651" s="230">
        <v>44066</v>
      </c>
      <c r="Q1651" s="397"/>
      <c r="T1651" s="200">
        <v>1</v>
      </c>
    </row>
    <row r="1652" spans="1:20" ht="15" customHeight="1" thickBot="1" x14ac:dyDescent="0.35">
      <c r="A1652" s="369"/>
      <c r="B1652" s="398"/>
      <c r="C1652" s="93">
        <v>12300</v>
      </c>
      <c r="D1652" s="401"/>
      <c r="E1652" s="398"/>
      <c r="F1652" s="398"/>
      <c r="G1652" s="398"/>
      <c r="H1652" s="398"/>
      <c r="I1652" s="398"/>
      <c r="J1652" s="398"/>
      <c r="K1652" s="398"/>
      <c r="L1652" s="398"/>
      <c r="M1652" s="398"/>
      <c r="N1652" s="398"/>
      <c r="O1652" s="398"/>
      <c r="P1652" s="88"/>
      <c r="Q1652" s="398"/>
    </row>
    <row r="1653" spans="1:20" ht="15" hidden="1" customHeight="1" x14ac:dyDescent="0.3">
      <c r="A1653" s="367">
        <v>409</v>
      </c>
      <c r="B1653" s="396" t="s">
        <v>174</v>
      </c>
      <c r="C1653" s="91">
        <v>-18900</v>
      </c>
      <c r="D1653" s="399">
        <v>0</v>
      </c>
      <c r="E1653" s="396" t="s">
        <v>13</v>
      </c>
      <c r="F1653" s="396">
        <v>600</v>
      </c>
      <c r="G1653" s="396">
        <v>600</v>
      </c>
      <c r="H1653" s="396" t="s">
        <v>25</v>
      </c>
      <c r="I1653" s="396" t="s">
        <v>13</v>
      </c>
      <c r="J1653" s="396" t="s">
        <v>13</v>
      </c>
      <c r="K1653" s="396" t="s">
        <v>13</v>
      </c>
      <c r="L1653" s="396">
        <v>0</v>
      </c>
      <c r="M1653" s="396" t="s">
        <v>14</v>
      </c>
      <c r="N1653" s="396" t="s">
        <v>79</v>
      </c>
      <c r="O1653" s="396" t="s">
        <v>27</v>
      </c>
      <c r="P1653" s="86"/>
      <c r="Q1653" s="396" t="s">
        <v>184</v>
      </c>
      <c r="T1653" s="200">
        <v>1</v>
      </c>
    </row>
    <row r="1654" spans="1:20" ht="15" customHeight="1" x14ac:dyDescent="0.3">
      <c r="A1654" s="368"/>
      <c r="B1654" s="397"/>
      <c r="C1654" s="92">
        <v>-2050</v>
      </c>
      <c r="D1654" s="400"/>
      <c r="E1654" s="397"/>
      <c r="F1654" s="397"/>
      <c r="G1654" s="397"/>
      <c r="H1654" s="397"/>
      <c r="I1654" s="397"/>
      <c r="J1654" s="397"/>
      <c r="K1654" s="397"/>
      <c r="L1654" s="397"/>
      <c r="M1654" s="397"/>
      <c r="N1654" s="397"/>
      <c r="O1654" s="397"/>
      <c r="P1654" s="230">
        <v>44066</v>
      </c>
      <c r="Q1654" s="397"/>
    </row>
    <row r="1655" spans="1:20" ht="15" customHeight="1" thickBot="1" x14ac:dyDescent="0.35">
      <c r="A1655" s="369"/>
      <c r="B1655" s="398"/>
      <c r="C1655" s="93">
        <v>11500</v>
      </c>
      <c r="D1655" s="401"/>
      <c r="E1655" s="398"/>
      <c r="F1655" s="398"/>
      <c r="G1655" s="398"/>
      <c r="H1655" s="398"/>
      <c r="I1655" s="398"/>
      <c r="J1655" s="398"/>
      <c r="K1655" s="398"/>
      <c r="L1655" s="398"/>
      <c r="M1655" s="398"/>
      <c r="N1655" s="398"/>
      <c r="O1655" s="398"/>
      <c r="P1655" s="88"/>
      <c r="Q1655" s="398"/>
    </row>
    <row r="1656" spans="1:20" ht="15" hidden="1" customHeight="1" x14ac:dyDescent="0.3">
      <c r="A1656" s="367">
        <v>410</v>
      </c>
      <c r="B1656" s="396" t="s">
        <v>174</v>
      </c>
      <c r="C1656" s="91">
        <v>-18900</v>
      </c>
      <c r="D1656" s="399">
        <v>0</v>
      </c>
      <c r="E1656" s="396" t="s">
        <v>13</v>
      </c>
      <c r="F1656" s="396">
        <v>600</v>
      </c>
      <c r="G1656" s="396">
        <v>600</v>
      </c>
      <c r="H1656" s="396" t="s">
        <v>25</v>
      </c>
      <c r="I1656" s="396" t="s">
        <v>13</v>
      </c>
      <c r="J1656" s="396" t="s">
        <v>13</v>
      </c>
      <c r="K1656" s="396" t="s">
        <v>13</v>
      </c>
      <c r="L1656" s="396">
        <v>0</v>
      </c>
      <c r="M1656" s="396" t="s">
        <v>14</v>
      </c>
      <c r="N1656" s="396" t="s">
        <v>79</v>
      </c>
      <c r="O1656" s="396" t="s">
        <v>27</v>
      </c>
      <c r="P1656" s="231">
        <v>44066</v>
      </c>
      <c r="Q1656" s="396" t="s">
        <v>184</v>
      </c>
    </row>
    <row r="1657" spans="1:20" ht="15" customHeight="1" x14ac:dyDescent="0.3">
      <c r="A1657" s="368"/>
      <c r="B1657" s="397"/>
      <c r="C1657" s="92">
        <v>-1700</v>
      </c>
      <c r="D1657" s="400"/>
      <c r="E1657" s="397"/>
      <c r="F1657" s="397"/>
      <c r="G1657" s="397"/>
      <c r="H1657" s="397"/>
      <c r="I1657" s="397"/>
      <c r="J1657" s="397"/>
      <c r="K1657" s="397"/>
      <c r="L1657" s="397"/>
      <c r="M1657" s="397"/>
      <c r="N1657" s="397"/>
      <c r="O1657" s="397"/>
      <c r="P1657" s="87"/>
      <c r="Q1657" s="397"/>
      <c r="T1657" s="200">
        <v>1</v>
      </c>
    </row>
    <row r="1658" spans="1:20" ht="15" customHeight="1" thickBot="1" x14ac:dyDescent="0.35">
      <c r="A1658" s="369"/>
      <c r="B1658" s="398"/>
      <c r="C1658" s="93">
        <v>11500</v>
      </c>
      <c r="D1658" s="401"/>
      <c r="E1658" s="398"/>
      <c r="F1658" s="398"/>
      <c r="G1658" s="398"/>
      <c r="H1658" s="398"/>
      <c r="I1658" s="398"/>
      <c r="J1658" s="398"/>
      <c r="K1658" s="398"/>
      <c r="L1658" s="398"/>
      <c r="M1658" s="398"/>
      <c r="N1658" s="398"/>
      <c r="O1658" s="398"/>
      <c r="P1658" s="88"/>
      <c r="Q1658" s="398"/>
    </row>
    <row r="1659" spans="1:20" ht="15" hidden="1" customHeight="1" x14ac:dyDescent="0.3">
      <c r="A1659" s="367">
        <v>411</v>
      </c>
      <c r="B1659" s="396" t="s">
        <v>174</v>
      </c>
      <c r="C1659" s="91">
        <v>-18900</v>
      </c>
      <c r="D1659" s="399">
        <v>0</v>
      </c>
      <c r="E1659" s="396" t="s">
        <v>13</v>
      </c>
      <c r="F1659" s="396">
        <v>864</v>
      </c>
      <c r="G1659" s="396">
        <v>600</v>
      </c>
      <c r="H1659" s="396" t="s">
        <v>134</v>
      </c>
      <c r="I1659" s="396" t="s">
        <v>13</v>
      </c>
      <c r="J1659" s="396" t="s">
        <v>13</v>
      </c>
      <c r="K1659" s="396" t="s">
        <v>13</v>
      </c>
      <c r="L1659" s="396"/>
      <c r="M1659" s="396" t="s">
        <v>14</v>
      </c>
      <c r="N1659" s="396" t="s">
        <v>79</v>
      </c>
      <c r="O1659" s="396" t="s">
        <v>27</v>
      </c>
      <c r="P1659" s="86"/>
      <c r="Q1659" s="396" t="s">
        <v>188</v>
      </c>
    </row>
    <row r="1660" spans="1:20" ht="15" customHeight="1" x14ac:dyDescent="0.3">
      <c r="A1660" s="368"/>
      <c r="B1660" s="397"/>
      <c r="C1660" s="92">
        <v>4300</v>
      </c>
      <c r="D1660" s="400"/>
      <c r="E1660" s="397"/>
      <c r="F1660" s="397"/>
      <c r="G1660" s="397"/>
      <c r="H1660" s="397"/>
      <c r="I1660" s="397"/>
      <c r="J1660" s="397"/>
      <c r="K1660" s="397"/>
      <c r="L1660" s="397"/>
      <c r="M1660" s="397"/>
      <c r="N1660" s="397"/>
      <c r="O1660" s="397"/>
      <c r="P1660" s="230">
        <v>44066</v>
      </c>
      <c r="Q1660" s="397"/>
      <c r="T1660" s="200">
        <v>1</v>
      </c>
    </row>
    <row r="1661" spans="1:20" ht="15" customHeight="1" thickBot="1" x14ac:dyDescent="0.35">
      <c r="A1661" s="369"/>
      <c r="B1661" s="398"/>
      <c r="C1661" s="93">
        <v>10908</v>
      </c>
      <c r="D1661" s="401"/>
      <c r="E1661" s="398"/>
      <c r="F1661" s="398"/>
      <c r="G1661" s="398"/>
      <c r="H1661" s="398"/>
      <c r="I1661" s="398"/>
      <c r="J1661" s="398"/>
      <c r="K1661" s="398"/>
      <c r="L1661" s="398"/>
      <c r="M1661" s="398"/>
      <c r="N1661" s="398"/>
      <c r="O1661" s="398"/>
      <c r="P1661" s="88"/>
      <c r="Q1661" s="398"/>
    </row>
    <row r="1662" spans="1:20" ht="15" hidden="1" customHeight="1" x14ac:dyDescent="0.3">
      <c r="A1662" s="367">
        <v>412</v>
      </c>
      <c r="B1662" s="396" t="s">
        <v>337</v>
      </c>
      <c r="C1662" s="91">
        <v>-14138</v>
      </c>
      <c r="D1662" s="399">
        <v>1</v>
      </c>
      <c r="E1662" s="396" t="s">
        <v>201</v>
      </c>
      <c r="F1662" s="396">
        <v>600</v>
      </c>
      <c r="G1662" s="396">
        <v>600</v>
      </c>
      <c r="H1662" s="396" t="s">
        <v>44</v>
      </c>
      <c r="I1662" s="396">
        <v>300</v>
      </c>
      <c r="J1662" s="399" t="s">
        <v>45</v>
      </c>
      <c r="K1662" s="396">
        <v>90</v>
      </c>
      <c r="L1662" s="396">
        <v>-2</v>
      </c>
      <c r="M1662" s="396" t="s">
        <v>14</v>
      </c>
      <c r="N1662" s="396" t="s">
        <v>338</v>
      </c>
      <c r="O1662" s="396" t="s">
        <v>27</v>
      </c>
      <c r="P1662" s="86"/>
      <c r="Q1662" s="396" t="s">
        <v>339</v>
      </c>
    </row>
    <row r="1663" spans="1:20" ht="15" customHeight="1" x14ac:dyDescent="0.3">
      <c r="A1663" s="368"/>
      <c r="B1663" s="397"/>
      <c r="C1663" s="92">
        <v>-10815</v>
      </c>
      <c r="D1663" s="400"/>
      <c r="E1663" s="397"/>
      <c r="F1663" s="397"/>
      <c r="G1663" s="397"/>
      <c r="H1663" s="397"/>
      <c r="I1663" s="397"/>
      <c r="J1663" s="400"/>
      <c r="K1663" s="397"/>
      <c r="L1663" s="397"/>
      <c r="M1663" s="397"/>
      <c r="N1663" s="397"/>
      <c r="O1663" s="397"/>
      <c r="P1663" s="230">
        <v>44066</v>
      </c>
      <c r="Q1663" s="397"/>
      <c r="T1663" s="200">
        <v>1</v>
      </c>
    </row>
    <row r="1664" spans="1:20" ht="15" customHeight="1" thickBot="1" x14ac:dyDescent="0.35">
      <c r="A1664" s="369"/>
      <c r="B1664" s="398"/>
      <c r="C1664" s="93">
        <v>8525</v>
      </c>
      <c r="D1664" s="401"/>
      <c r="E1664" s="398"/>
      <c r="F1664" s="398"/>
      <c r="G1664" s="398"/>
      <c r="H1664" s="398"/>
      <c r="I1664" s="398"/>
      <c r="J1664" s="401"/>
      <c r="K1664" s="398"/>
      <c r="L1664" s="398"/>
      <c r="M1664" s="398"/>
      <c r="N1664" s="398"/>
      <c r="O1664" s="398"/>
      <c r="P1664" s="88"/>
      <c r="Q1664" s="398"/>
    </row>
    <row r="1665" spans="1:20" ht="15" hidden="1" customHeight="1" x14ac:dyDescent="0.3">
      <c r="A1665" s="367">
        <v>413</v>
      </c>
      <c r="B1665" s="396" t="s">
        <v>174</v>
      </c>
      <c r="C1665" s="91">
        <v>-12099</v>
      </c>
      <c r="D1665" s="399">
        <v>0</v>
      </c>
      <c r="E1665" s="396" t="s">
        <v>13</v>
      </c>
      <c r="F1665" s="396">
        <v>600</v>
      </c>
      <c r="G1665" s="396">
        <v>600</v>
      </c>
      <c r="H1665" s="399" t="s">
        <v>187</v>
      </c>
      <c r="I1665" s="396" t="s">
        <v>13</v>
      </c>
      <c r="J1665" s="396" t="s">
        <v>13</v>
      </c>
      <c r="K1665" s="396" t="s">
        <v>13</v>
      </c>
      <c r="L1665" s="396" t="s">
        <v>13</v>
      </c>
      <c r="M1665" s="396" t="s">
        <v>14</v>
      </c>
      <c r="N1665" s="396" t="s">
        <v>338</v>
      </c>
      <c r="O1665" s="396" t="s">
        <v>27</v>
      </c>
      <c r="P1665" s="86"/>
      <c r="Q1665" s="396" t="s">
        <v>188</v>
      </c>
    </row>
    <row r="1666" spans="1:20" ht="15" customHeight="1" x14ac:dyDescent="0.3">
      <c r="A1666" s="368"/>
      <c r="B1666" s="397"/>
      <c r="C1666" s="92">
        <v>-9387</v>
      </c>
      <c r="D1666" s="400"/>
      <c r="E1666" s="397"/>
      <c r="F1666" s="397"/>
      <c r="G1666" s="397"/>
      <c r="H1666" s="400"/>
      <c r="I1666" s="397"/>
      <c r="J1666" s="397"/>
      <c r="K1666" s="397"/>
      <c r="L1666" s="397"/>
      <c r="M1666" s="397"/>
      <c r="N1666" s="397"/>
      <c r="O1666" s="397"/>
      <c r="P1666" s="230">
        <v>44066</v>
      </c>
      <c r="Q1666" s="397"/>
      <c r="T1666" s="200">
        <v>1</v>
      </c>
    </row>
    <row r="1667" spans="1:20" ht="15" customHeight="1" thickBot="1" x14ac:dyDescent="0.35">
      <c r="A1667" s="369"/>
      <c r="B1667" s="398"/>
      <c r="C1667" s="93">
        <v>9650</v>
      </c>
      <c r="D1667" s="401"/>
      <c r="E1667" s="398"/>
      <c r="F1667" s="398"/>
      <c r="G1667" s="398"/>
      <c r="H1667" s="401"/>
      <c r="I1667" s="398"/>
      <c r="J1667" s="398"/>
      <c r="K1667" s="398"/>
      <c r="L1667" s="398"/>
      <c r="M1667" s="398"/>
      <c r="N1667" s="398"/>
      <c r="O1667" s="398"/>
      <c r="P1667" s="88"/>
      <c r="Q1667" s="398"/>
    </row>
    <row r="1668" spans="1:20" ht="15" hidden="1" customHeight="1" x14ac:dyDescent="0.3">
      <c r="A1668" s="399">
        <v>414</v>
      </c>
      <c r="B1668" s="399" t="s">
        <v>340</v>
      </c>
      <c r="C1668" s="94">
        <v>-13127</v>
      </c>
      <c r="D1668" s="399">
        <v>1</v>
      </c>
      <c r="E1668" s="399" t="s">
        <v>201</v>
      </c>
      <c r="F1668" s="396">
        <v>600</v>
      </c>
      <c r="G1668" s="396">
        <v>600</v>
      </c>
      <c r="H1668" s="399" t="s">
        <v>44</v>
      </c>
      <c r="I1668" s="399">
        <v>300</v>
      </c>
      <c r="J1668" s="399" t="s">
        <v>45</v>
      </c>
      <c r="K1668" s="399">
        <v>90</v>
      </c>
      <c r="L1668" s="396">
        <v>-2</v>
      </c>
      <c r="M1668" s="396" t="s">
        <v>14</v>
      </c>
      <c r="N1668" s="399" t="s">
        <v>338</v>
      </c>
      <c r="O1668" s="396" t="s">
        <v>27</v>
      </c>
      <c r="P1668" s="86"/>
      <c r="Q1668" s="396" t="s">
        <v>339</v>
      </c>
    </row>
    <row r="1669" spans="1:20" ht="15" customHeight="1" x14ac:dyDescent="0.3">
      <c r="A1669" s="400"/>
      <c r="B1669" s="400"/>
      <c r="C1669" s="95">
        <v>-10107</v>
      </c>
      <c r="D1669" s="400"/>
      <c r="E1669" s="400"/>
      <c r="F1669" s="397"/>
      <c r="G1669" s="397"/>
      <c r="H1669" s="400"/>
      <c r="I1669" s="400"/>
      <c r="J1669" s="400"/>
      <c r="K1669" s="400"/>
      <c r="L1669" s="397"/>
      <c r="M1669" s="397"/>
      <c r="N1669" s="400"/>
      <c r="O1669" s="397"/>
      <c r="P1669" s="230">
        <v>44066</v>
      </c>
      <c r="Q1669" s="397"/>
    </row>
    <row r="1670" spans="1:20" ht="15" customHeight="1" thickBot="1" x14ac:dyDescent="0.35">
      <c r="A1670" s="401"/>
      <c r="B1670" s="401"/>
      <c r="C1670" s="96">
        <v>9850</v>
      </c>
      <c r="D1670" s="401"/>
      <c r="E1670" s="401"/>
      <c r="F1670" s="398"/>
      <c r="G1670" s="398"/>
      <c r="H1670" s="401"/>
      <c r="I1670" s="401"/>
      <c r="J1670" s="401"/>
      <c r="K1670" s="401"/>
      <c r="L1670" s="398"/>
      <c r="M1670" s="398"/>
      <c r="N1670" s="401"/>
      <c r="O1670" s="398"/>
      <c r="P1670" s="88"/>
      <c r="Q1670" s="398"/>
      <c r="T1670" s="200">
        <v>1</v>
      </c>
    </row>
    <row r="1671" spans="1:20" ht="15" hidden="1" customHeight="1" x14ac:dyDescent="0.3">
      <c r="A1671" s="367">
        <v>415</v>
      </c>
      <c r="B1671" s="367" t="s">
        <v>174</v>
      </c>
      <c r="C1671" s="37">
        <v>-13635</v>
      </c>
      <c r="D1671" s="370">
        <v>0</v>
      </c>
      <c r="E1671" s="370" t="s">
        <v>13</v>
      </c>
      <c r="F1671" s="367">
        <v>600</v>
      </c>
      <c r="G1671" s="367">
        <v>600</v>
      </c>
      <c r="H1671" s="370" t="s">
        <v>187</v>
      </c>
      <c r="I1671" s="370" t="s">
        <v>13</v>
      </c>
      <c r="J1671" s="370" t="s">
        <v>13</v>
      </c>
      <c r="K1671" s="370" t="s">
        <v>13</v>
      </c>
      <c r="L1671" s="370" t="s">
        <v>13</v>
      </c>
      <c r="M1671" s="358" t="s">
        <v>14</v>
      </c>
      <c r="N1671" s="399" t="s">
        <v>338</v>
      </c>
      <c r="O1671" s="367" t="s">
        <v>27</v>
      </c>
      <c r="P1671" s="65"/>
      <c r="Q1671" s="367" t="s">
        <v>188</v>
      </c>
    </row>
    <row r="1672" spans="1:20" ht="15" customHeight="1" x14ac:dyDescent="0.3">
      <c r="A1672" s="368"/>
      <c r="B1672" s="368"/>
      <c r="C1672" s="38">
        <v>-10463</v>
      </c>
      <c r="D1672" s="371"/>
      <c r="E1672" s="371"/>
      <c r="F1672" s="368"/>
      <c r="G1672" s="368"/>
      <c r="H1672" s="371"/>
      <c r="I1672" s="371"/>
      <c r="J1672" s="371"/>
      <c r="K1672" s="371"/>
      <c r="L1672" s="371"/>
      <c r="M1672" s="359"/>
      <c r="N1672" s="400"/>
      <c r="O1672" s="368"/>
      <c r="P1672" s="226">
        <v>44066</v>
      </c>
      <c r="Q1672" s="368"/>
      <c r="T1672" s="200">
        <v>1</v>
      </c>
    </row>
    <row r="1673" spans="1:20" ht="15" customHeight="1" thickBot="1" x14ac:dyDescent="0.35">
      <c r="A1673" s="369"/>
      <c r="B1673" s="369"/>
      <c r="C1673" s="39">
        <v>11500</v>
      </c>
      <c r="D1673" s="372"/>
      <c r="E1673" s="372"/>
      <c r="F1673" s="369"/>
      <c r="G1673" s="369"/>
      <c r="H1673" s="372"/>
      <c r="I1673" s="372"/>
      <c r="J1673" s="372"/>
      <c r="K1673" s="372"/>
      <c r="L1673" s="372"/>
      <c r="M1673" s="360"/>
      <c r="N1673" s="401"/>
      <c r="O1673" s="369"/>
      <c r="P1673" s="67"/>
      <c r="Q1673" s="369"/>
    </row>
    <row r="1674" spans="1:20" ht="15" hidden="1" customHeight="1" x14ac:dyDescent="0.3">
      <c r="A1674" s="367">
        <v>416</v>
      </c>
      <c r="B1674" s="367" t="s">
        <v>174</v>
      </c>
      <c r="C1674" s="40">
        <v>-14003</v>
      </c>
      <c r="D1674" s="370">
        <v>0</v>
      </c>
      <c r="E1674" s="367" t="s">
        <v>13</v>
      </c>
      <c r="F1674" s="367">
        <v>600</v>
      </c>
      <c r="G1674" s="367">
        <v>600</v>
      </c>
      <c r="H1674" s="370" t="s">
        <v>187</v>
      </c>
      <c r="I1674" s="367" t="s">
        <v>13</v>
      </c>
      <c r="J1674" s="367" t="s">
        <v>13</v>
      </c>
      <c r="K1674" s="367" t="s">
        <v>13</v>
      </c>
      <c r="L1674" s="367" t="s">
        <v>13</v>
      </c>
      <c r="M1674" s="358" t="s">
        <v>14</v>
      </c>
      <c r="N1674" s="396" t="s">
        <v>338</v>
      </c>
      <c r="O1674" s="367" t="s">
        <v>27</v>
      </c>
      <c r="P1674" s="228">
        <v>44066</v>
      </c>
      <c r="Q1674" s="367" t="s">
        <v>188</v>
      </c>
      <c r="T1674" s="200">
        <v>1</v>
      </c>
    </row>
    <row r="1675" spans="1:20" ht="15" customHeight="1" x14ac:dyDescent="0.3">
      <c r="A1675" s="368"/>
      <c r="B1675" s="368"/>
      <c r="C1675" s="40">
        <v>-10721</v>
      </c>
      <c r="D1675" s="371"/>
      <c r="E1675" s="368"/>
      <c r="F1675" s="368"/>
      <c r="G1675" s="368"/>
      <c r="H1675" s="371"/>
      <c r="I1675" s="368"/>
      <c r="J1675" s="368"/>
      <c r="K1675" s="368"/>
      <c r="L1675" s="368"/>
      <c r="M1675" s="359"/>
      <c r="N1675" s="397"/>
      <c r="O1675" s="368"/>
      <c r="P1675" s="66"/>
      <c r="Q1675" s="368"/>
    </row>
    <row r="1676" spans="1:20" ht="15" customHeight="1" thickBot="1" x14ac:dyDescent="0.35">
      <c r="A1676" s="369"/>
      <c r="B1676" s="369"/>
      <c r="C1676" s="42">
        <v>13075</v>
      </c>
      <c r="D1676" s="372"/>
      <c r="E1676" s="369"/>
      <c r="F1676" s="369"/>
      <c r="G1676" s="369"/>
      <c r="H1676" s="372"/>
      <c r="I1676" s="369"/>
      <c r="J1676" s="369"/>
      <c r="K1676" s="369"/>
      <c r="L1676" s="369"/>
      <c r="M1676" s="360"/>
      <c r="N1676" s="398"/>
      <c r="O1676" s="369"/>
      <c r="P1676" s="67"/>
      <c r="Q1676" s="369"/>
    </row>
    <row r="1677" spans="1:20" ht="15" hidden="1" customHeight="1" x14ac:dyDescent="0.3">
      <c r="A1677" s="367">
        <v>417</v>
      </c>
      <c r="B1677" s="367" t="s">
        <v>337</v>
      </c>
      <c r="C1677" s="40">
        <v>-12748</v>
      </c>
      <c r="D1677" s="370">
        <v>1</v>
      </c>
      <c r="E1677" s="367" t="s">
        <v>201</v>
      </c>
      <c r="F1677" s="367">
        <v>600</v>
      </c>
      <c r="G1677" s="367">
        <v>600</v>
      </c>
      <c r="H1677" s="367" t="s">
        <v>44</v>
      </c>
      <c r="I1677" s="367">
        <v>300</v>
      </c>
      <c r="J1677" s="370" t="s">
        <v>45</v>
      </c>
      <c r="K1677" s="367">
        <v>90</v>
      </c>
      <c r="L1677" s="367">
        <v>-2</v>
      </c>
      <c r="M1677" s="358" t="s">
        <v>14</v>
      </c>
      <c r="N1677" s="396" t="s">
        <v>338</v>
      </c>
      <c r="O1677" s="367" t="s">
        <v>27</v>
      </c>
      <c r="P1677" s="65"/>
      <c r="Q1677" s="367" t="s">
        <v>339</v>
      </c>
      <c r="T1677" s="200">
        <v>1</v>
      </c>
    </row>
    <row r="1678" spans="1:20" ht="15" customHeight="1" x14ac:dyDescent="0.3">
      <c r="A1678" s="368"/>
      <c r="B1678" s="368"/>
      <c r="C1678" s="40">
        <v>-9842</v>
      </c>
      <c r="D1678" s="371"/>
      <c r="E1678" s="368"/>
      <c r="F1678" s="368"/>
      <c r="G1678" s="368"/>
      <c r="H1678" s="368"/>
      <c r="I1678" s="368"/>
      <c r="J1678" s="371"/>
      <c r="K1678" s="368"/>
      <c r="L1678" s="368"/>
      <c r="M1678" s="359"/>
      <c r="N1678" s="397"/>
      <c r="O1678" s="368"/>
      <c r="P1678" s="226">
        <v>44066</v>
      </c>
      <c r="Q1678" s="368"/>
    </row>
    <row r="1679" spans="1:20" ht="15" customHeight="1" thickBot="1" x14ac:dyDescent="0.35">
      <c r="A1679" s="369"/>
      <c r="B1679" s="369"/>
      <c r="C1679" s="42">
        <v>8365</v>
      </c>
      <c r="D1679" s="372"/>
      <c r="E1679" s="369"/>
      <c r="F1679" s="369"/>
      <c r="G1679" s="369"/>
      <c r="H1679" s="369"/>
      <c r="I1679" s="369"/>
      <c r="J1679" s="372"/>
      <c r="K1679" s="369"/>
      <c r="L1679" s="369"/>
      <c r="M1679" s="360"/>
      <c r="N1679" s="398"/>
      <c r="O1679" s="369"/>
      <c r="P1679" s="67"/>
      <c r="Q1679" s="369"/>
    </row>
    <row r="1680" spans="1:20" ht="15" hidden="1" customHeight="1" x14ac:dyDescent="0.3">
      <c r="A1680" s="367">
        <v>418</v>
      </c>
      <c r="B1680" s="367" t="s">
        <v>174</v>
      </c>
      <c r="C1680" s="40">
        <v>-14024</v>
      </c>
      <c r="D1680" s="370">
        <v>0</v>
      </c>
      <c r="E1680" s="367" t="s">
        <v>13</v>
      </c>
      <c r="F1680" s="367">
        <v>600</v>
      </c>
      <c r="G1680" s="367">
        <v>600</v>
      </c>
      <c r="H1680" s="370" t="s">
        <v>187</v>
      </c>
      <c r="I1680" s="367" t="s">
        <v>13</v>
      </c>
      <c r="J1680" s="367" t="s">
        <v>13</v>
      </c>
      <c r="K1680" s="367" t="s">
        <v>13</v>
      </c>
      <c r="L1680" s="367">
        <v>0</v>
      </c>
      <c r="M1680" s="358" t="s">
        <v>14</v>
      </c>
      <c r="N1680" s="396" t="s">
        <v>338</v>
      </c>
      <c r="O1680" s="367" t="s">
        <v>27</v>
      </c>
      <c r="P1680" s="65"/>
      <c r="Q1680" s="367" t="s">
        <v>188</v>
      </c>
      <c r="T1680" s="200">
        <v>1</v>
      </c>
    </row>
    <row r="1681" spans="1:20" ht="15" customHeight="1" x14ac:dyDescent="0.3">
      <c r="A1681" s="368"/>
      <c r="B1681" s="368"/>
      <c r="C1681" s="40" t="s">
        <v>341</v>
      </c>
      <c r="D1681" s="371"/>
      <c r="E1681" s="368"/>
      <c r="F1681" s="368"/>
      <c r="G1681" s="368"/>
      <c r="H1681" s="371"/>
      <c r="I1681" s="368"/>
      <c r="J1681" s="368"/>
      <c r="K1681" s="368"/>
      <c r="L1681" s="368"/>
      <c r="M1681" s="359"/>
      <c r="N1681" s="397"/>
      <c r="O1681" s="368"/>
      <c r="P1681" s="226">
        <v>44066</v>
      </c>
      <c r="Q1681" s="368"/>
    </row>
    <row r="1682" spans="1:20" ht="15" customHeight="1" thickBot="1" x14ac:dyDescent="0.35">
      <c r="A1682" s="369"/>
      <c r="B1682" s="369"/>
      <c r="C1682" s="42">
        <v>11930</v>
      </c>
      <c r="D1682" s="372"/>
      <c r="E1682" s="369"/>
      <c r="F1682" s="369"/>
      <c r="G1682" s="369"/>
      <c r="H1682" s="372"/>
      <c r="I1682" s="369"/>
      <c r="J1682" s="369"/>
      <c r="K1682" s="369"/>
      <c r="L1682" s="369"/>
      <c r="M1682" s="360"/>
      <c r="N1682" s="398"/>
      <c r="O1682" s="369"/>
      <c r="P1682" s="67"/>
      <c r="Q1682" s="369"/>
    </row>
    <row r="1683" spans="1:20" ht="15" hidden="1" customHeight="1" x14ac:dyDescent="0.3">
      <c r="A1683" s="367">
        <v>419</v>
      </c>
      <c r="B1683" s="367" t="s">
        <v>174</v>
      </c>
      <c r="C1683" s="40">
        <v>-13086</v>
      </c>
      <c r="D1683" s="370">
        <v>0</v>
      </c>
      <c r="E1683" s="367" t="s">
        <v>13</v>
      </c>
      <c r="F1683" s="367">
        <v>600</v>
      </c>
      <c r="G1683" s="367">
        <v>600</v>
      </c>
      <c r="H1683" s="367" t="s">
        <v>30</v>
      </c>
      <c r="I1683" s="367" t="s">
        <v>13</v>
      </c>
      <c r="J1683" s="367" t="s">
        <v>13</v>
      </c>
      <c r="K1683" s="367" t="s">
        <v>13</v>
      </c>
      <c r="L1683" s="367">
        <v>0</v>
      </c>
      <c r="M1683" s="358" t="s">
        <v>14</v>
      </c>
      <c r="N1683" s="396" t="s">
        <v>338</v>
      </c>
      <c r="O1683" s="367" t="s">
        <v>27</v>
      </c>
      <c r="P1683" s="65"/>
      <c r="Q1683" s="367" t="s">
        <v>184</v>
      </c>
      <c r="T1683" s="200">
        <v>1</v>
      </c>
    </row>
    <row r="1684" spans="1:20" ht="15" customHeight="1" x14ac:dyDescent="0.3">
      <c r="A1684" s="368"/>
      <c r="B1684" s="368"/>
      <c r="C1684" s="40">
        <v>-10078</v>
      </c>
      <c r="D1684" s="371"/>
      <c r="E1684" s="368"/>
      <c r="F1684" s="368"/>
      <c r="G1684" s="368"/>
      <c r="H1684" s="368"/>
      <c r="I1684" s="368"/>
      <c r="J1684" s="368"/>
      <c r="K1684" s="368"/>
      <c r="L1684" s="368"/>
      <c r="M1684" s="359"/>
      <c r="N1684" s="397"/>
      <c r="O1684" s="368"/>
      <c r="P1684" s="226">
        <v>44066</v>
      </c>
      <c r="Q1684" s="368"/>
    </row>
    <row r="1685" spans="1:20" ht="15" customHeight="1" thickBot="1" x14ac:dyDescent="0.35">
      <c r="A1685" s="369"/>
      <c r="B1685" s="369"/>
      <c r="C1685" s="42">
        <v>8250</v>
      </c>
      <c r="D1685" s="372"/>
      <c r="E1685" s="369"/>
      <c r="F1685" s="369"/>
      <c r="G1685" s="369"/>
      <c r="H1685" s="369"/>
      <c r="I1685" s="369"/>
      <c r="J1685" s="369"/>
      <c r="K1685" s="369"/>
      <c r="L1685" s="369"/>
      <c r="M1685" s="360"/>
      <c r="N1685" s="398"/>
      <c r="O1685" s="369"/>
      <c r="P1685" s="67"/>
      <c r="Q1685" s="369"/>
    </row>
    <row r="1686" spans="1:20" ht="15" hidden="1" customHeight="1" x14ac:dyDescent="0.3">
      <c r="A1686" s="388">
        <v>420</v>
      </c>
      <c r="B1686" s="388" t="s">
        <v>64</v>
      </c>
      <c r="C1686" s="45">
        <v>-13127</v>
      </c>
      <c r="D1686" s="385">
        <v>1</v>
      </c>
      <c r="E1686" s="388" t="s">
        <v>66</v>
      </c>
      <c r="F1686" s="388">
        <v>600</v>
      </c>
      <c r="G1686" s="388">
        <v>600</v>
      </c>
      <c r="H1686" s="388" t="s">
        <v>342</v>
      </c>
      <c r="I1686" s="388">
        <v>300</v>
      </c>
      <c r="J1686" s="385" t="s">
        <v>45</v>
      </c>
      <c r="K1686" s="388">
        <v>40</v>
      </c>
      <c r="L1686" s="388">
        <v>-8</v>
      </c>
      <c r="M1686" s="355" t="s">
        <v>14</v>
      </c>
      <c r="N1686" s="437" t="s">
        <v>338</v>
      </c>
      <c r="O1686" s="388" t="s">
        <v>27</v>
      </c>
      <c r="P1686" s="266"/>
      <c r="Q1686" s="388" t="s">
        <v>343</v>
      </c>
      <c r="T1686" s="287">
        <v>1</v>
      </c>
    </row>
    <row r="1687" spans="1:20" ht="15" customHeight="1" x14ac:dyDescent="0.3">
      <c r="A1687" s="389"/>
      <c r="B1687" s="389"/>
      <c r="C1687" s="45">
        <v>-10107</v>
      </c>
      <c r="D1687" s="386"/>
      <c r="E1687" s="389"/>
      <c r="F1687" s="389"/>
      <c r="G1687" s="389"/>
      <c r="H1687" s="389"/>
      <c r="I1687" s="389"/>
      <c r="J1687" s="386"/>
      <c r="K1687" s="389"/>
      <c r="L1687" s="389"/>
      <c r="M1687" s="356"/>
      <c r="N1687" s="438"/>
      <c r="O1687" s="389"/>
      <c r="P1687" s="300">
        <v>44076</v>
      </c>
      <c r="Q1687" s="389"/>
      <c r="R1687" s="186">
        <v>44076</v>
      </c>
    </row>
    <row r="1688" spans="1:20" ht="15" customHeight="1" thickBot="1" x14ac:dyDescent="0.35">
      <c r="A1688" s="390"/>
      <c r="B1688" s="390"/>
      <c r="C1688" s="47">
        <v>13250</v>
      </c>
      <c r="D1688" s="387"/>
      <c r="E1688" s="390"/>
      <c r="F1688" s="390"/>
      <c r="G1688" s="390"/>
      <c r="H1688" s="390"/>
      <c r="I1688" s="390"/>
      <c r="J1688" s="387"/>
      <c r="K1688" s="390"/>
      <c r="L1688" s="390"/>
      <c r="M1688" s="357"/>
      <c r="N1688" s="439"/>
      <c r="O1688" s="390"/>
      <c r="P1688" s="267"/>
      <c r="Q1688" s="390"/>
    </row>
    <row r="1689" spans="1:20" ht="15" hidden="1" customHeight="1" x14ac:dyDescent="0.3">
      <c r="A1689" s="367">
        <v>421</v>
      </c>
      <c r="B1689" s="367" t="s">
        <v>174</v>
      </c>
      <c r="C1689" s="40">
        <v>-15257</v>
      </c>
      <c r="D1689" s="370">
        <v>0</v>
      </c>
      <c r="E1689" s="367" t="s">
        <v>13</v>
      </c>
      <c r="F1689" s="367">
        <v>600</v>
      </c>
      <c r="G1689" s="367">
        <v>600</v>
      </c>
      <c r="H1689" s="367" t="s">
        <v>50</v>
      </c>
      <c r="I1689" s="367" t="s">
        <v>13</v>
      </c>
      <c r="J1689" s="367" t="s">
        <v>13</v>
      </c>
      <c r="K1689" s="367" t="s">
        <v>13</v>
      </c>
      <c r="L1689" s="367">
        <v>0</v>
      </c>
      <c r="M1689" s="358" t="s">
        <v>14</v>
      </c>
      <c r="N1689" s="396" t="s">
        <v>338</v>
      </c>
      <c r="O1689" s="367" t="s">
        <v>27</v>
      </c>
      <c r="P1689" s="65"/>
      <c r="Q1689" s="367" t="s">
        <v>184</v>
      </c>
    </row>
    <row r="1690" spans="1:20" ht="15" customHeight="1" x14ac:dyDescent="0.3">
      <c r="A1690" s="368"/>
      <c r="B1690" s="368"/>
      <c r="C1690" s="40">
        <v>-11598</v>
      </c>
      <c r="D1690" s="371"/>
      <c r="E1690" s="368"/>
      <c r="F1690" s="368"/>
      <c r="G1690" s="368"/>
      <c r="H1690" s="368"/>
      <c r="I1690" s="368"/>
      <c r="J1690" s="368"/>
      <c r="K1690" s="368"/>
      <c r="L1690" s="368"/>
      <c r="M1690" s="359"/>
      <c r="N1690" s="397"/>
      <c r="O1690" s="368"/>
      <c r="P1690" s="226">
        <v>44066</v>
      </c>
      <c r="Q1690" s="368"/>
      <c r="T1690" s="200">
        <v>1</v>
      </c>
    </row>
    <row r="1691" spans="1:20" ht="15" customHeight="1" thickBot="1" x14ac:dyDescent="0.35">
      <c r="A1691" s="369"/>
      <c r="B1691" s="369"/>
      <c r="C1691" s="42">
        <v>13000</v>
      </c>
      <c r="D1691" s="372"/>
      <c r="E1691" s="369"/>
      <c r="F1691" s="369"/>
      <c r="G1691" s="369"/>
      <c r="H1691" s="369"/>
      <c r="I1691" s="369"/>
      <c r="J1691" s="369"/>
      <c r="K1691" s="369"/>
      <c r="L1691" s="369"/>
      <c r="M1691" s="360"/>
      <c r="N1691" s="398"/>
      <c r="O1691" s="369"/>
      <c r="P1691" s="67"/>
      <c r="Q1691" s="369"/>
    </row>
    <row r="1692" spans="1:20" ht="15" hidden="1" customHeight="1" x14ac:dyDescent="0.3">
      <c r="A1692" s="367">
        <v>422</v>
      </c>
      <c r="B1692" s="367" t="s">
        <v>174</v>
      </c>
      <c r="C1692" s="40">
        <v>-15257</v>
      </c>
      <c r="D1692" s="370">
        <v>0</v>
      </c>
      <c r="E1692" s="367" t="s">
        <v>13</v>
      </c>
      <c r="F1692" s="367">
        <v>600</v>
      </c>
      <c r="G1692" s="367">
        <v>600</v>
      </c>
      <c r="H1692" s="367" t="s">
        <v>50</v>
      </c>
      <c r="I1692" s="367" t="s">
        <v>13</v>
      </c>
      <c r="J1692" s="367" t="s">
        <v>13</v>
      </c>
      <c r="K1692" s="367" t="s">
        <v>13</v>
      </c>
      <c r="L1692" s="367">
        <v>0</v>
      </c>
      <c r="M1692" s="358" t="s">
        <v>14</v>
      </c>
      <c r="N1692" s="396" t="s">
        <v>338</v>
      </c>
      <c r="O1692" s="367" t="s">
        <v>27</v>
      </c>
      <c r="P1692" s="65"/>
      <c r="Q1692" s="367" t="s">
        <v>184</v>
      </c>
    </row>
    <row r="1693" spans="1:20" ht="15" customHeight="1" x14ac:dyDescent="0.3">
      <c r="A1693" s="368"/>
      <c r="B1693" s="368"/>
      <c r="C1693" s="40">
        <v>-11598</v>
      </c>
      <c r="D1693" s="371"/>
      <c r="E1693" s="368"/>
      <c r="F1693" s="368"/>
      <c r="G1693" s="368"/>
      <c r="H1693" s="368"/>
      <c r="I1693" s="368"/>
      <c r="J1693" s="368"/>
      <c r="K1693" s="368"/>
      <c r="L1693" s="368"/>
      <c r="M1693" s="359"/>
      <c r="N1693" s="397"/>
      <c r="O1693" s="368"/>
      <c r="P1693" s="226">
        <v>44066</v>
      </c>
      <c r="Q1693" s="368"/>
      <c r="T1693" s="200">
        <v>1</v>
      </c>
    </row>
    <row r="1694" spans="1:20" ht="15" customHeight="1" thickBot="1" x14ac:dyDescent="0.35">
      <c r="A1694" s="369"/>
      <c r="B1694" s="369"/>
      <c r="C1694" s="42">
        <v>12500</v>
      </c>
      <c r="D1694" s="372"/>
      <c r="E1694" s="369"/>
      <c r="F1694" s="369"/>
      <c r="G1694" s="369"/>
      <c r="H1694" s="369"/>
      <c r="I1694" s="369"/>
      <c r="J1694" s="369"/>
      <c r="K1694" s="369"/>
      <c r="L1694" s="369"/>
      <c r="M1694" s="360"/>
      <c r="N1694" s="398"/>
      <c r="O1694" s="369"/>
      <c r="P1694" s="67"/>
      <c r="Q1694" s="369"/>
    </row>
    <row r="1695" spans="1:20" ht="15" hidden="1" customHeight="1" x14ac:dyDescent="0.3">
      <c r="A1695" s="367">
        <v>423</v>
      </c>
      <c r="B1695" s="367" t="s">
        <v>174</v>
      </c>
      <c r="C1695" s="40">
        <v>-12099</v>
      </c>
      <c r="D1695" s="370">
        <v>0</v>
      </c>
      <c r="E1695" s="367" t="s">
        <v>13</v>
      </c>
      <c r="F1695" s="367">
        <v>600</v>
      </c>
      <c r="G1695" s="367">
        <v>600</v>
      </c>
      <c r="H1695" s="367" t="s">
        <v>25</v>
      </c>
      <c r="I1695" s="367" t="s">
        <v>13</v>
      </c>
      <c r="J1695" s="367" t="s">
        <v>13</v>
      </c>
      <c r="K1695" s="367" t="s">
        <v>13</v>
      </c>
      <c r="L1695" s="367">
        <v>0</v>
      </c>
      <c r="M1695" s="358" t="s">
        <v>14</v>
      </c>
      <c r="N1695" s="396" t="s">
        <v>338</v>
      </c>
      <c r="O1695" s="367" t="s">
        <v>27</v>
      </c>
      <c r="P1695" s="65"/>
      <c r="Q1695" s="367" t="s">
        <v>184</v>
      </c>
    </row>
    <row r="1696" spans="1:20" ht="15" customHeight="1" x14ac:dyDescent="0.3">
      <c r="A1696" s="368"/>
      <c r="B1696" s="368"/>
      <c r="C1696" s="40">
        <v>-9387</v>
      </c>
      <c r="D1696" s="371"/>
      <c r="E1696" s="368"/>
      <c r="F1696" s="368"/>
      <c r="G1696" s="368"/>
      <c r="H1696" s="368"/>
      <c r="I1696" s="368"/>
      <c r="J1696" s="368"/>
      <c r="K1696" s="368"/>
      <c r="L1696" s="368"/>
      <c r="M1696" s="359"/>
      <c r="N1696" s="397"/>
      <c r="O1696" s="368"/>
      <c r="P1696" s="226">
        <v>44066</v>
      </c>
      <c r="Q1696" s="368"/>
      <c r="T1696" s="200">
        <v>1</v>
      </c>
    </row>
    <row r="1697" spans="1:20" ht="15" customHeight="1" thickBot="1" x14ac:dyDescent="0.35">
      <c r="A1697" s="369"/>
      <c r="B1697" s="369"/>
      <c r="C1697" s="42">
        <v>11850</v>
      </c>
      <c r="D1697" s="372"/>
      <c r="E1697" s="369"/>
      <c r="F1697" s="369"/>
      <c r="G1697" s="369"/>
      <c r="H1697" s="369"/>
      <c r="I1697" s="369"/>
      <c r="J1697" s="369"/>
      <c r="K1697" s="369"/>
      <c r="L1697" s="369"/>
      <c r="M1697" s="360"/>
      <c r="N1697" s="398"/>
      <c r="O1697" s="369"/>
      <c r="P1697" s="67"/>
      <c r="Q1697" s="369"/>
    </row>
    <row r="1698" spans="1:20" ht="15" hidden="1" customHeight="1" x14ac:dyDescent="0.3">
      <c r="A1698" s="367">
        <v>424</v>
      </c>
      <c r="B1698" s="367" t="s">
        <v>230</v>
      </c>
      <c r="C1698" s="40">
        <v>-8495</v>
      </c>
      <c r="D1698" s="370">
        <v>1</v>
      </c>
      <c r="E1698" s="367" t="s">
        <v>271</v>
      </c>
      <c r="F1698" s="367">
        <v>1200</v>
      </c>
      <c r="G1698" s="367">
        <v>1200</v>
      </c>
      <c r="H1698" s="367" t="s">
        <v>25</v>
      </c>
      <c r="I1698" s="367">
        <v>150</v>
      </c>
      <c r="J1698" s="370" t="s">
        <v>45</v>
      </c>
      <c r="K1698" s="367">
        <v>30</v>
      </c>
      <c r="L1698" s="367">
        <v>24.5</v>
      </c>
      <c r="M1698" s="358" t="s">
        <v>14</v>
      </c>
      <c r="N1698" s="396" t="s">
        <v>81</v>
      </c>
      <c r="O1698" s="367" t="s">
        <v>27</v>
      </c>
      <c r="P1698" s="237"/>
      <c r="Q1698" s="367" t="s">
        <v>344</v>
      </c>
    </row>
    <row r="1699" spans="1:20" ht="15" customHeight="1" x14ac:dyDescent="0.3">
      <c r="A1699" s="368"/>
      <c r="B1699" s="368"/>
      <c r="C1699" s="40">
        <v>-8266</v>
      </c>
      <c r="D1699" s="371"/>
      <c r="E1699" s="368"/>
      <c r="F1699" s="368"/>
      <c r="G1699" s="368"/>
      <c r="H1699" s="368"/>
      <c r="I1699" s="368"/>
      <c r="J1699" s="371"/>
      <c r="K1699" s="368"/>
      <c r="L1699" s="368"/>
      <c r="M1699" s="359"/>
      <c r="N1699" s="397"/>
      <c r="O1699" s="368"/>
      <c r="P1699" s="226">
        <v>44076</v>
      </c>
      <c r="Q1699" s="368"/>
      <c r="R1699" s="186">
        <v>44076</v>
      </c>
      <c r="T1699" s="200">
        <v>1</v>
      </c>
    </row>
    <row r="1700" spans="1:20" ht="15" customHeight="1" thickBot="1" x14ac:dyDescent="0.35">
      <c r="A1700" s="369"/>
      <c r="B1700" s="369"/>
      <c r="C1700" s="42">
        <v>11800</v>
      </c>
      <c r="D1700" s="372"/>
      <c r="E1700" s="369"/>
      <c r="F1700" s="369"/>
      <c r="G1700" s="369"/>
      <c r="H1700" s="369"/>
      <c r="I1700" s="369"/>
      <c r="J1700" s="372"/>
      <c r="K1700" s="369"/>
      <c r="L1700" s="369"/>
      <c r="M1700" s="360"/>
      <c r="N1700" s="398"/>
      <c r="O1700" s="369"/>
      <c r="P1700" s="239"/>
      <c r="Q1700" s="369"/>
    </row>
    <row r="1701" spans="1:20" ht="15" hidden="1" customHeight="1" x14ac:dyDescent="0.3">
      <c r="A1701" s="367">
        <v>425</v>
      </c>
      <c r="B1701" s="367" t="s">
        <v>174</v>
      </c>
      <c r="C1701" s="40">
        <v>-12825</v>
      </c>
      <c r="D1701" s="370">
        <v>0</v>
      </c>
      <c r="E1701" s="367" t="s">
        <v>13</v>
      </c>
      <c r="F1701" s="367">
        <v>1000</v>
      </c>
      <c r="G1701" s="367">
        <v>1000</v>
      </c>
      <c r="H1701" s="367" t="s">
        <v>50</v>
      </c>
      <c r="I1701" s="367" t="s">
        <v>13</v>
      </c>
      <c r="J1701" s="367" t="s">
        <v>13</v>
      </c>
      <c r="K1701" s="367" t="s">
        <v>13</v>
      </c>
      <c r="L1701" s="367">
        <v>0</v>
      </c>
      <c r="M1701" s="358" t="s">
        <v>14</v>
      </c>
      <c r="N1701" s="396" t="s">
        <v>345</v>
      </c>
      <c r="O1701" s="367" t="s">
        <v>27</v>
      </c>
      <c r="P1701" s="65"/>
      <c r="Q1701" s="367" t="s">
        <v>184</v>
      </c>
    </row>
    <row r="1702" spans="1:20" ht="15" customHeight="1" x14ac:dyDescent="0.3">
      <c r="A1702" s="368"/>
      <c r="B1702" s="368"/>
      <c r="C1702" s="40">
        <v>-13851</v>
      </c>
      <c r="D1702" s="371"/>
      <c r="E1702" s="368"/>
      <c r="F1702" s="368"/>
      <c r="G1702" s="368"/>
      <c r="H1702" s="368"/>
      <c r="I1702" s="368"/>
      <c r="J1702" s="368"/>
      <c r="K1702" s="368"/>
      <c r="L1702" s="368"/>
      <c r="M1702" s="359"/>
      <c r="N1702" s="397"/>
      <c r="O1702" s="368"/>
      <c r="P1702" s="226">
        <v>44066</v>
      </c>
      <c r="Q1702" s="368"/>
      <c r="T1702" s="200">
        <v>1</v>
      </c>
    </row>
    <row r="1703" spans="1:20" ht="15" customHeight="1" thickBot="1" x14ac:dyDescent="0.35">
      <c r="A1703" s="369"/>
      <c r="B1703" s="369"/>
      <c r="C1703" s="42">
        <v>13000</v>
      </c>
      <c r="D1703" s="372"/>
      <c r="E1703" s="369"/>
      <c r="F1703" s="369"/>
      <c r="G1703" s="369"/>
      <c r="H1703" s="369"/>
      <c r="I1703" s="369"/>
      <c r="J1703" s="369"/>
      <c r="K1703" s="369"/>
      <c r="L1703" s="369"/>
      <c r="M1703" s="360"/>
      <c r="N1703" s="398"/>
      <c r="O1703" s="369"/>
      <c r="P1703" s="67"/>
      <c r="Q1703" s="369"/>
    </row>
    <row r="1704" spans="1:20" ht="15" hidden="1" customHeight="1" x14ac:dyDescent="0.3">
      <c r="A1704" s="367">
        <v>426</v>
      </c>
      <c r="B1704" s="367" t="s">
        <v>174</v>
      </c>
      <c r="C1704" s="40">
        <v>-12825</v>
      </c>
      <c r="D1704" s="370">
        <v>0</v>
      </c>
      <c r="E1704" s="367" t="s">
        <v>13</v>
      </c>
      <c r="F1704" s="367">
        <v>1000</v>
      </c>
      <c r="G1704" s="367">
        <v>1000</v>
      </c>
      <c r="H1704" s="367" t="s">
        <v>50</v>
      </c>
      <c r="I1704" s="367" t="s">
        <v>13</v>
      </c>
      <c r="J1704" s="367" t="s">
        <v>13</v>
      </c>
      <c r="K1704" s="367" t="s">
        <v>13</v>
      </c>
      <c r="L1704" s="367">
        <v>0</v>
      </c>
      <c r="M1704" s="358" t="s">
        <v>14</v>
      </c>
      <c r="N1704" s="396" t="s">
        <v>345</v>
      </c>
      <c r="O1704" s="367" t="s">
        <v>27</v>
      </c>
      <c r="P1704" s="65"/>
      <c r="Q1704" s="367" t="s">
        <v>184</v>
      </c>
    </row>
    <row r="1705" spans="1:20" ht="15" customHeight="1" x14ac:dyDescent="0.3">
      <c r="A1705" s="368"/>
      <c r="B1705" s="368"/>
      <c r="C1705" s="41">
        <v>-13851</v>
      </c>
      <c r="D1705" s="371"/>
      <c r="E1705" s="368"/>
      <c r="F1705" s="368"/>
      <c r="G1705" s="368"/>
      <c r="H1705" s="368"/>
      <c r="I1705" s="368"/>
      <c r="J1705" s="368"/>
      <c r="K1705" s="368"/>
      <c r="L1705" s="368"/>
      <c r="M1705" s="359"/>
      <c r="N1705" s="397"/>
      <c r="O1705" s="368"/>
      <c r="P1705" s="226">
        <v>44066</v>
      </c>
      <c r="Q1705" s="368"/>
      <c r="T1705" s="200">
        <v>1</v>
      </c>
    </row>
    <row r="1706" spans="1:20" ht="15" customHeight="1" thickBot="1" x14ac:dyDescent="0.35">
      <c r="A1706" s="369"/>
      <c r="B1706" s="369"/>
      <c r="C1706" s="42">
        <v>12500</v>
      </c>
      <c r="D1706" s="372"/>
      <c r="E1706" s="369"/>
      <c r="F1706" s="369"/>
      <c r="G1706" s="369"/>
      <c r="H1706" s="369"/>
      <c r="I1706" s="369"/>
      <c r="J1706" s="369"/>
      <c r="K1706" s="369"/>
      <c r="L1706" s="369"/>
      <c r="M1706" s="360"/>
      <c r="N1706" s="398"/>
      <c r="O1706" s="369"/>
      <c r="P1706" s="67"/>
      <c r="Q1706" s="369"/>
    </row>
    <row r="1707" spans="1:20" ht="15" hidden="1" customHeight="1" x14ac:dyDescent="0.3">
      <c r="A1707" s="367">
        <v>427</v>
      </c>
      <c r="B1707" s="367" t="s">
        <v>321</v>
      </c>
      <c r="C1707" s="40">
        <v>-12689</v>
      </c>
      <c r="D1707" s="367">
        <v>1</v>
      </c>
      <c r="E1707" s="367" t="s">
        <v>322</v>
      </c>
      <c r="F1707" s="367">
        <v>1485</v>
      </c>
      <c r="G1707" s="367">
        <v>1000</v>
      </c>
      <c r="H1707" s="367" t="s">
        <v>134</v>
      </c>
      <c r="I1707" s="367">
        <v>300</v>
      </c>
      <c r="J1707" s="370" t="s">
        <v>45</v>
      </c>
      <c r="K1707" s="367">
        <v>100</v>
      </c>
      <c r="L1707" s="367">
        <v>88</v>
      </c>
      <c r="M1707" s="358" t="s">
        <v>14</v>
      </c>
      <c r="N1707" s="396" t="s">
        <v>346</v>
      </c>
      <c r="O1707" s="367" t="s">
        <v>27</v>
      </c>
      <c r="P1707" s="128"/>
      <c r="Q1707" s="367" t="s">
        <v>323</v>
      </c>
      <c r="R1707" s="350">
        <v>44042</v>
      </c>
    </row>
    <row r="1708" spans="1:20" ht="15" customHeight="1" x14ac:dyDescent="0.3">
      <c r="A1708" s="368"/>
      <c r="B1708" s="368"/>
      <c r="C1708" s="41">
        <v>-7801</v>
      </c>
      <c r="D1708" s="368"/>
      <c r="E1708" s="368"/>
      <c r="F1708" s="368"/>
      <c r="G1708" s="368"/>
      <c r="H1708" s="368"/>
      <c r="I1708" s="368"/>
      <c r="J1708" s="371"/>
      <c r="K1708" s="368"/>
      <c r="L1708" s="368"/>
      <c r="M1708" s="359"/>
      <c r="N1708" s="397"/>
      <c r="O1708" s="368"/>
      <c r="P1708" s="226">
        <v>44066</v>
      </c>
      <c r="Q1708" s="368"/>
      <c r="R1708" s="351"/>
      <c r="T1708" s="200">
        <v>1</v>
      </c>
    </row>
    <row r="1709" spans="1:20" ht="15" customHeight="1" thickBot="1" x14ac:dyDescent="0.35">
      <c r="A1709" s="369"/>
      <c r="B1709" s="369"/>
      <c r="C1709" s="42">
        <v>11800</v>
      </c>
      <c r="D1709" s="369"/>
      <c r="E1709" s="369"/>
      <c r="F1709" s="369"/>
      <c r="G1709" s="369"/>
      <c r="H1709" s="369"/>
      <c r="I1709" s="369"/>
      <c r="J1709" s="372"/>
      <c r="K1709" s="369"/>
      <c r="L1709" s="369"/>
      <c r="M1709" s="360"/>
      <c r="N1709" s="398"/>
      <c r="O1709" s="369"/>
      <c r="P1709" s="130"/>
      <c r="Q1709" s="369"/>
      <c r="R1709" s="351"/>
    </row>
    <row r="1710" spans="1:20" ht="15" hidden="1" customHeight="1" x14ac:dyDescent="0.3">
      <c r="A1710" s="367">
        <v>428</v>
      </c>
      <c r="B1710" s="367" t="s">
        <v>174</v>
      </c>
      <c r="C1710" s="40">
        <v>-14200</v>
      </c>
      <c r="D1710" s="370">
        <v>0</v>
      </c>
      <c r="E1710" s="367" t="s">
        <v>13</v>
      </c>
      <c r="F1710" s="367">
        <v>1000</v>
      </c>
      <c r="G1710" s="367">
        <v>1000</v>
      </c>
      <c r="H1710" s="367" t="s">
        <v>25</v>
      </c>
      <c r="I1710" s="367" t="s">
        <v>13</v>
      </c>
      <c r="J1710" s="367" t="s">
        <v>13</v>
      </c>
      <c r="K1710" s="367" t="s">
        <v>13</v>
      </c>
      <c r="L1710" s="367">
        <v>0</v>
      </c>
      <c r="M1710" s="358" t="s">
        <v>14</v>
      </c>
      <c r="N1710" s="396" t="s">
        <v>346</v>
      </c>
      <c r="O1710" s="367" t="s">
        <v>27</v>
      </c>
      <c r="P1710" s="65"/>
      <c r="Q1710" s="367" t="s">
        <v>184</v>
      </c>
    </row>
    <row r="1711" spans="1:20" ht="15" customHeight="1" x14ac:dyDescent="0.3">
      <c r="A1711" s="368"/>
      <c r="B1711" s="368"/>
      <c r="C1711" s="41">
        <v>-4320</v>
      </c>
      <c r="D1711" s="371"/>
      <c r="E1711" s="368"/>
      <c r="F1711" s="368"/>
      <c r="G1711" s="368"/>
      <c r="H1711" s="368"/>
      <c r="I1711" s="368"/>
      <c r="J1711" s="368"/>
      <c r="K1711" s="368"/>
      <c r="L1711" s="368"/>
      <c r="M1711" s="359"/>
      <c r="N1711" s="397"/>
      <c r="O1711" s="368"/>
      <c r="P1711" s="226">
        <v>44066</v>
      </c>
      <c r="Q1711" s="368"/>
    </row>
    <row r="1712" spans="1:20" ht="15" customHeight="1" thickBot="1" x14ac:dyDescent="0.35">
      <c r="A1712" s="369"/>
      <c r="B1712" s="369"/>
      <c r="C1712" s="42">
        <v>9100</v>
      </c>
      <c r="D1712" s="372"/>
      <c r="E1712" s="369"/>
      <c r="F1712" s="369"/>
      <c r="G1712" s="369"/>
      <c r="H1712" s="369"/>
      <c r="I1712" s="369"/>
      <c r="J1712" s="369"/>
      <c r="K1712" s="369"/>
      <c r="L1712" s="369"/>
      <c r="M1712" s="360"/>
      <c r="N1712" s="398"/>
      <c r="O1712" s="369"/>
      <c r="P1712" s="67"/>
      <c r="Q1712" s="369"/>
      <c r="T1712" s="200">
        <v>1</v>
      </c>
    </row>
    <row r="1713" spans="1:20" ht="15" hidden="1" customHeight="1" x14ac:dyDescent="0.3">
      <c r="A1713" s="367">
        <v>429</v>
      </c>
      <c r="B1713" s="367" t="s">
        <v>174</v>
      </c>
      <c r="C1713" s="40">
        <v>-14200</v>
      </c>
      <c r="D1713" s="370">
        <v>0</v>
      </c>
      <c r="E1713" s="367" t="s">
        <v>13</v>
      </c>
      <c r="F1713" s="367">
        <v>1000</v>
      </c>
      <c r="G1713" s="367">
        <v>1000</v>
      </c>
      <c r="H1713" s="367" t="s">
        <v>25</v>
      </c>
      <c r="I1713" s="367" t="s">
        <v>13</v>
      </c>
      <c r="J1713" s="367" t="s">
        <v>13</v>
      </c>
      <c r="K1713" s="367" t="s">
        <v>13</v>
      </c>
      <c r="L1713" s="367">
        <v>0</v>
      </c>
      <c r="M1713" s="358" t="s">
        <v>14</v>
      </c>
      <c r="N1713" s="396" t="s">
        <v>346</v>
      </c>
      <c r="O1713" s="367" t="s">
        <v>27</v>
      </c>
      <c r="P1713" s="65"/>
      <c r="Q1713" s="367" t="s">
        <v>184</v>
      </c>
    </row>
    <row r="1714" spans="1:20" ht="15" customHeight="1" x14ac:dyDescent="0.3">
      <c r="A1714" s="368"/>
      <c r="B1714" s="368"/>
      <c r="C1714" s="41">
        <v>-4720</v>
      </c>
      <c r="D1714" s="371"/>
      <c r="E1714" s="368"/>
      <c r="F1714" s="368"/>
      <c r="G1714" s="368"/>
      <c r="H1714" s="368"/>
      <c r="I1714" s="368"/>
      <c r="J1714" s="368"/>
      <c r="K1714" s="368"/>
      <c r="L1714" s="368"/>
      <c r="M1714" s="359"/>
      <c r="N1714" s="397"/>
      <c r="O1714" s="368"/>
      <c r="P1714" s="226">
        <v>44066</v>
      </c>
      <c r="Q1714" s="368"/>
      <c r="T1714" s="200">
        <v>1</v>
      </c>
    </row>
    <row r="1715" spans="1:20" ht="15" customHeight="1" thickBot="1" x14ac:dyDescent="0.35">
      <c r="A1715" s="369"/>
      <c r="B1715" s="369"/>
      <c r="C1715" s="42">
        <v>9100</v>
      </c>
      <c r="D1715" s="372"/>
      <c r="E1715" s="369"/>
      <c r="F1715" s="369"/>
      <c r="G1715" s="369"/>
      <c r="H1715" s="369"/>
      <c r="I1715" s="369"/>
      <c r="J1715" s="369"/>
      <c r="K1715" s="369"/>
      <c r="L1715" s="369"/>
      <c r="M1715" s="360"/>
      <c r="N1715" s="398"/>
      <c r="O1715" s="369"/>
      <c r="P1715" s="67"/>
      <c r="Q1715" s="369"/>
    </row>
    <row r="1716" spans="1:20" ht="15" hidden="1" customHeight="1" x14ac:dyDescent="0.3">
      <c r="A1716" s="367">
        <v>430</v>
      </c>
      <c r="B1716" s="367" t="s">
        <v>174</v>
      </c>
      <c r="C1716" s="40">
        <v>-14200</v>
      </c>
      <c r="D1716" s="370">
        <v>0</v>
      </c>
      <c r="E1716" s="367" t="s">
        <v>13</v>
      </c>
      <c r="F1716" s="367">
        <v>1000</v>
      </c>
      <c r="G1716" s="367">
        <v>1000</v>
      </c>
      <c r="H1716" s="367" t="s">
        <v>25</v>
      </c>
      <c r="I1716" s="367" t="s">
        <v>13</v>
      </c>
      <c r="J1716" s="367" t="s">
        <v>13</v>
      </c>
      <c r="K1716" s="367" t="s">
        <v>13</v>
      </c>
      <c r="L1716" s="367">
        <v>0</v>
      </c>
      <c r="M1716" s="358" t="s">
        <v>14</v>
      </c>
      <c r="N1716" s="396" t="s">
        <v>346</v>
      </c>
      <c r="O1716" s="367" t="s">
        <v>27</v>
      </c>
      <c r="P1716" s="65"/>
      <c r="Q1716" s="367" t="s">
        <v>184</v>
      </c>
    </row>
    <row r="1717" spans="1:20" ht="15" customHeight="1" x14ac:dyDescent="0.3">
      <c r="A1717" s="368"/>
      <c r="B1717" s="368"/>
      <c r="C1717" s="41">
        <v>-4720</v>
      </c>
      <c r="D1717" s="371"/>
      <c r="E1717" s="368"/>
      <c r="F1717" s="368"/>
      <c r="G1717" s="368"/>
      <c r="H1717" s="368"/>
      <c r="I1717" s="368"/>
      <c r="J1717" s="368"/>
      <c r="K1717" s="368"/>
      <c r="L1717" s="368"/>
      <c r="M1717" s="359"/>
      <c r="N1717" s="397"/>
      <c r="O1717" s="368"/>
      <c r="P1717" s="226">
        <v>44066</v>
      </c>
      <c r="Q1717" s="368"/>
      <c r="T1717" s="200">
        <v>1</v>
      </c>
    </row>
    <row r="1718" spans="1:20" ht="15" customHeight="1" thickBot="1" x14ac:dyDescent="0.35">
      <c r="A1718" s="369"/>
      <c r="B1718" s="369"/>
      <c r="C1718" s="42">
        <v>9600</v>
      </c>
      <c r="D1718" s="372"/>
      <c r="E1718" s="369"/>
      <c r="F1718" s="369"/>
      <c r="G1718" s="369"/>
      <c r="H1718" s="369"/>
      <c r="I1718" s="369"/>
      <c r="J1718" s="369"/>
      <c r="K1718" s="369"/>
      <c r="L1718" s="369"/>
      <c r="M1718" s="360"/>
      <c r="N1718" s="398"/>
      <c r="O1718" s="369"/>
      <c r="P1718" s="67"/>
      <c r="Q1718" s="369"/>
    </row>
    <row r="1719" spans="1:20" ht="15" hidden="1" customHeight="1" x14ac:dyDescent="0.3">
      <c r="A1719" s="367">
        <v>431</v>
      </c>
      <c r="B1719" s="367" t="s">
        <v>174</v>
      </c>
      <c r="C1719" s="40">
        <v>-14200</v>
      </c>
      <c r="D1719" s="370">
        <v>0</v>
      </c>
      <c r="E1719" s="367" t="s">
        <v>13</v>
      </c>
      <c r="F1719" s="367">
        <v>1000</v>
      </c>
      <c r="G1719" s="367">
        <v>1000</v>
      </c>
      <c r="H1719" s="367" t="s">
        <v>25</v>
      </c>
      <c r="I1719" s="367" t="s">
        <v>13</v>
      </c>
      <c r="J1719" s="367" t="s">
        <v>13</v>
      </c>
      <c r="K1719" s="367" t="s">
        <v>13</v>
      </c>
      <c r="L1719" s="367">
        <v>0</v>
      </c>
      <c r="M1719" s="358" t="s">
        <v>14</v>
      </c>
      <c r="N1719" s="396" t="s">
        <v>346</v>
      </c>
      <c r="O1719" s="367" t="s">
        <v>27</v>
      </c>
      <c r="P1719" s="65"/>
      <c r="Q1719" s="367" t="s">
        <v>184</v>
      </c>
    </row>
    <row r="1720" spans="1:20" ht="15" customHeight="1" x14ac:dyDescent="0.3">
      <c r="A1720" s="368"/>
      <c r="B1720" s="368"/>
      <c r="C1720" s="41">
        <v>-4320</v>
      </c>
      <c r="D1720" s="371"/>
      <c r="E1720" s="368"/>
      <c r="F1720" s="368"/>
      <c r="G1720" s="368"/>
      <c r="H1720" s="368"/>
      <c r="I1720" s="368"/>
      <c r="J1720" s="368"/>
      <c r="K1720" s="368"/>
      <c r="L1720" s="368"/>
      <c r="M1720" s="359"/>
      <c r="N1720" s="397"/>
      <c r="O1720" s="368"/>
      <c r="P1720" s="226">
        <v>44066</v>
      </c>
      <c r="Q1720" s="368"/>
      <c r="T1720" s="200">
        <v>1</v>
      </c>
    </row>
    <row r="1721" spans="1:20" ht="15" customHeight="1" thickBot="1" x14ac:dyDescent="0.35">
      <c r="A1721" s="369"/>
      <c r="B1721" s="369"/>
      <c r="C1721" s="42">
        <v>9600</v>
      </c>
      <c r="D1721" s="372"/>
      <c r="E1721" s="369"/>
      <c r="F1721" s="369"/>
      <c r="G1721" s="369"/>
      <c r="H1721" s="369"/>
      <c r="I1721" s="369"/>
      <c r="J1721" s="369"/>
      <c r="K1721" s="369"/>
      <c r="L1721" s="369"/>
      <c r="M1721" s="360"/>
      <c r="N1721" s="398"/>
      <c r="O1721" s="369"/>
      <c r="P1721" s="67"/>
      <c r="Q1721" s="369"/>
    </row>
    <row r="1722" spans="1:20" ht="15" hidden="1" customHeight="1" x14ac:dyDescent="0.3">
      <c r="A1722" s="367">
        <v>432</v>
      </c>
      <c r="B1722" s="367" t="s">
        <v>174</v>
      </c>
      <c r="C1722" s="40">
        <v>-14200</v>
      </c>
      <c r="D1722" s="370">
        <v>0</v>
      </c>
      <c r="E1722" s="367" t="s">
        <v>13</v>
      </c>
      <c r="F1722" s="367">
        <v>1000</v>
      </c>
      <c r="G1722" s="367">
        <v>1000</v>
      </c>
      <c r="H1722" s="367" t="s">
        <v>25</v>
      </c>
      <c r="I1722" s="367" t="s">
        <v>13</v>
      </c>
      <c r="J1722" s="367" t="s">
        <v>13</v>
      </c>
      <c r="K1722" s="367" t="s">
        <v>13</v>
      </c>
      <c r="L1722" s="367">
        <v>0</v>
      </c>
      <c r="M1722" s="358" t="s">
        <v>14</v>
      </c>
      <c r="N1722" s="396" t="s">
        <v>346</v>
      </c>
      <c r="O1722" s="367" t="s">
        <v>27</v>
      </c>
      <c r="P1722" s="65"/>
      <c r="Q1722" s="367" t="s">
        <v>184</v>
      </c>
    </row>
    <row r="1723" spans="1:20" ht="15" customHeight="1" x14ac:dyDescent="0.3">
      <c r="A1723" s="368"/>
      <c r="B1723" s="368"/>
      <c r="C1723" s="41">
        <v>-6090</v>
      </c>
      <c r="D1723" s="371"/>
      <c r="E1723" s="368"/>
      <c r="F1723" s="368"/>
      <c r="G1723" s="368"/>
      <c r="H1723" s="368"/>
      <c r="I1723" s="368"/>
      <c r="J1723" s="368"/>
      <c r="K1723" s="368"/>
      <c r="L1723" s="368"/>
      <c r="M1723" s="359"/>
      <c r="N1723" s="397"/>
      <c r="O1723" s="368"/>
      <c r="P1723" s="226">
        <v>44066</v>
      </c>
      <c r="Q1723" s="368"/>
    </row>
    <row r="1724" spans="1:20" ht="15" customHeight="1" thickBot="1" x14ac:dyDescent="0.35">
      <c r="A1724" s="369"/>
      <c r="B1724" s="369"/>
      <c r="C1724" s="42">
        <v>10500</v>
      </c>
      <c r="D1724" s="372"/>
      <c r="E1724" s="369"/>
      <c r="F1724" s="369"/>
      <c r="G1724" s="369"/>
      <c r="H1724" s="369"/>
      <c r="I1724" s="369"/>
      <c r="J1724" s="369"/>
      <c r="K1724" s="369"/>
      <c r="L1724" s="369"/>
      <c r="M1724" s="360"/>
      <c r="N1724" s="398"/>
      <c r="O1724" s="369"/>
      <c r="P1724" s="67"/>
      <c r="Q1724" s="369"/>
      <c r="T1724" s="200">
        <v>1</v>
      </c>
    </row>
    <row r="1725" spans="1:20" ht="15" hidden="1" customHeight="1" x14ac:dyDescent="0.3">
      <c r="A1725" s="367">
        <v>433</v>
      </c>
      <c r="B1725" s="367" t="s">
        <v>174</v>
      </c>
      <c r="C1725" s="40">
        <v>-14200</v>
      </c>
      <c r="D1725" s="370">
        <v>0</v>
      </c>
      <c r="E1725" s="367" t="s">
        <v>13</v>
      </c>
      <c r="F1725" s="367">
        <v>1000</v>
      </c>
      <c r="G1725" s="367">
        <v>1000</v>
      </c>
      <c r="H1725" s="367" t="s">
        <v>25</v>
      </c>
      <c r="I1725" s="367" t="s">
        <v>13</v>
      </c>
      <c r="J1725" s="367" t="s">
        <v>13</v>
      </c>
      <c r="K1725" s="367" t="s">
        <v>13</v>
      </c>
      <c r="L1725" s="367">
        <v>0</v>
      </c>
      <c r="M1725" s="358" t="s">
        <v>14</v>
      </c>
      <c r="N1725" s="396" t="s">
        <v>346</v>
      </c>
      <c r="O1725" s="367" t="s">
        <v>27</v>
      </c>
      <c r="P1725" s="65"/>
      <c r="Q1725" s="367" t="s">
        <v>184</v>
      </c>
      <c r="T1725" s="200">
        <v>1</v>
      </c>
    </row>
    <row r="1726" spans="1:20" ht="15" customHeight="1" x14ac:dyDescent="0.3">
      <c r="A1726" s="368"/>
      <c r="B1726" s="368"/>
      <c r="C1726" s="41">
        <v>-6090</v>
      </c>
      <c r="D1726" s="371"/>
      <c r="E1726" s="368"/>
      <c r="F1726" s="368"/>
      <c r="G1726" s="368"/>
      <c r="H1726" s="368"/>
      <c r="I1726" s="368"/>
      <c r="J1726" s="368"/>
      <c r="K1726" s="368"/>
      <c r="L1726" s="368"/>
      <c r="M1726" s="359"/>
      <c r="N1726" s="397"/>
      <c r="O1726" s="368"/>
      <c r="P1726" s="226">
        <v>44066</v>
      </c>
      <c r="Q1726" s="368"/>
    </row>
    <row r="1727" spans="1:20" ht="15" customHeight="1" thickBot="1" x14ac:dyDescent="0.35">
      <c r="A1727" s="369"/>
      <c r="B1727" s="369"/>
      <c r="C1727" s="42">
        <v>11750</v>
      </c>
      <c r="D1727" s="372"/>
      <c r="E1727" s="369"/>
      <c r="F1727" s="369"/>
      <c r="G1727" s="369"/>
      <c r="H1727" s="369"/>
      <c r="I1727" s="369"/>
      <c r="J1727" s="369"/>
      <c r="K1727" s="369"/>
      <c r="L1727" s="369"/>
      <c r="M1727" s="360"/>
      <c r="N1727" s="398"/>
      <c r="O1727" s="369"/>
      <c r="P1727" s="67"/>
      <c r="Q1727" s="369"/>
    </row>
    <row r="1728" spans="1:20" ht="15" hidden="1" customHeight="1" x14ac:dyDescent="0.3">
      <c r="A1728" s="367">
        <v>434</v>
      </c>
      <c r="B1728" s="367" t="s">
        <v>324</v>
      </c>
      <c r="C1728" s="40">
        <v>-14200</v>
      </c>
      <c r="D1728" s="370">
        <v>1</v>
      </c>
      <c r="E1728" s="367" t="s">
        <v>245</v>
      </c>
      <c r="F1728" s="367">
        <v>1000</v>
      </c>
      <c r="G1728" s="367">
        <v>1000</v>
      </c>
      <c r="H1728" s="367" t="s">
        <v>44</v>
      </c>
      <c r="I1728" s="367">
        <v>300</v>
      </c>
      <c r="J1728" s="370" t="s">
        <v>45</v>
      </c>
      <c r="K1728" s="367">
        <v>90</v>
      </c>
      <c r="L1728" s="367">
        <v>20</v>
      </c>
      <c r="M1728" s="358" t="s">
        <v>14</v>
      </c>
      <c r="N1728" s="396" t="s">
        <v>346</v>
      </c>
      <c r="O1728" s="367" t="s">
        <v>27</v>
      </c>
      <c r="P1728" s="65"/>
      <c r="Q1728" s="367" t="s">
        <v>325</v>
      </c>
      <c r="T1728" s="200">
        <v>1</v>
      </c>
    </row>
    <row r="1729" spans="1:20" ht="15" customHeight="1" x14ac:dyDescent="0.3">
      <c r="A1729" s="368"/>
      <c r="B1729" s="368"/>
      <c r="C1729" s="41">
        <v>-4790</v>
      </c>
      <c r="D1729" s="371"/>
      <c r="E1729" s="368"/>
      <c r="F1729" s="368"/>
      <c r="G1729" s="368"/>
      <c r="H1729" s="368"/>
      <c r="I1729" s="368"/>
      <c r="J1729" s="371"/>
      <c r="K1729" s="368"/>
      <c r="L1729" s="368"/>
      <c r="M1729" s="359"/>
      <c r="N1729" s="397"/>
      <c r="O1729" s="368"/>
      <c r="P1729" s="226">
        <v>44066</v>
      </c>
      <c r="Q1729" s="368"/>
    </row>
    <row r="1730" spans="1:20" ht="15" customHeight="1" thickBot="1" x14ac:dyDescent="0.35">
      <c r="A1730" s="369"/>
      <c r="B1730" s="369"/>
      <c r="C1730" s="42">
        <v>12530</v>
      </c>
      <c r="D1730" s="372"/>
      <c r="E1730" s="369"/>
      <c r="F1730" s="369"/>
      <c r="G1730" s="369"/>
      <c r="H1730" s="369"/>
      <c r="I1730" s="369"/>
      <c r="J1730" s="372"/>
      <c r="K1730" s="369"/>
      <c r="L1730" s="369"/>
      <c r="M1730" s="360"/>
      <c r="N1730" s="398"/>
      <c r="O1730" s="369"/>
      <c r="P1730" s="67"/>
      <c r="Q1730" s="369"/>
    </row>
    <row r="1731" spans="1:20" ht="15" hidden="1" customHeight="1" x14ac:dyDescent="0.3">
      <c r="A1731" s="367">
        <v>435</v>
      </c>
      <c r="B1731" s="367" t="s">
        <v>174</v>
      </c>
      <c r="C1731" s="40">
        <v>-14200</v>
      </c>
      <c r="D1731" s="370">
        <v>0</v>
      </c>
      <c r="E1731" s="367" t="s">
        <v>13</v>
      </c>
      <c r="F1731" s="367">
        <v>1000</v>
      </c>
      <c r="G1731" s="367">
        <v>1000</v>
      </c>
      <c r="H1731" s="370" t="s">
        <v>187</v>
      </c>
      <c r="I1731" s="367" t="s">
        <v>13</v>
      </c>
      <c r="J1731" s="367" t="s">
        <v>13</v>
      </c>
      <c r="K1731" s="367" t="s">
        <v>13</v>
      </c>
      <c r="L1731" s="367">
        <v>0</v>
      </c>
      <c r="M1731" s="358" t="s">
        <v>14</v>
      </c>
      <c r="N1731" s="396" t="s">
        <v>346</v>
      </c>
      <c r="O1731" s="367" t="s">
        <v>27</v>
      </c>
      <c r="P1731" s="65"/>
      <c r="Q1731" s="367" t="s">
        <v>188</v>
      </c>
      <c r="T1731" s="200">
        <v>1</v>
      </c>
    </row>
    <row r="1732" spans="1:20" ht="15" customHeight="1" x14ac:dyDescent="0.3">
      <c r="A1732" s="368"/>
      <c r="B1732" s="368"/>
      <c r="C1732" s="41">
        <v>-5535</v>
      </c>
      <c r="D1732" s="371"/>
      <c r="E1732" s="368"/>
      <c r="F1732" s="368"/>
      <c r="G1732" s="368"/>
      <c r="H1732" s="371"/>
      <c r="I1732" s="368"/>
      <c r="J1732" s="368"/>
      <c r="K1732" s="368"/>
      <c r="L1732" s="368"/>
      <c r="M1732" s="359"/>
      <c r="N1732" s="397"/>
      <c r="O1732" s="368"/>
      <c r="P1732" s="226">
        <v>44066</v>
      </c>
      <c r="Q1732" s="368"/>
    </row>
    <row r="1733" spans="1:20" ht="15" customHeight="1" thickBot="1" x14ac:dyDescent="0.35">
      <c r="A1733" s="369"/>
      <c r="B1733" s="369"/>
      <c r="C1733" s="42">
        <v>13000</v>
      </c>
      <c r="D1733" s="372"/>
      <c r="E1733" s="369"/>
      <c r="F1733" s="369"/>
      <c r="G1733" s="369"/>
      <c r="H1733" s="372"/>
      <c r="I1733" s="369"/>
      <c r="J1733" s="369"/>
      <c r="K1733" s="369"/>
      <c r="L1733" s="369"/>
      <c r="M1733" s="360"/>
      <c r="N1733" s="398"/>
      <c r="O1733" s="369"/>
      <c r="P1733" s="67"/>
      <c r="Q1733" s="369"/>
    </row>
    <row r="1734" spans="1:20" ht="15" hidden="1" customHeight="1" x14ac:dyDescent="0.3">
      <c r="A1734" s="367">
        <v>436</v>
      </c>
      <c r="B1734" s="367" t="s">
        <v>324</v>
      </c>
      <c r="C1734" s="40">
        <v>-14200</v>
      </c>
      <c r="D1734" s="370">
        <v>1</v>
      </c>
      <c r="E1734" s="367" t="s">
        <v>245</v>
      </c>
      <c r="F1734" s="367">
        <v>1000</v>
      </c>
      <c r="G1734" s="367">
        <v>1000</v>
      </c>
      <c r="H1734" s="367" t="s">
        <v>44</v>
      </c>
      <c r="I1734" s="367">
        <v>300</v>
      </c>
      <c r="J1734" s="370" t="s">
        <v>45</v>
      </c>
      <c r="K1734" s="367">
        <v>90</v>
      </c>
      <c r="L1734" s="367">
        <v>20</v>
      </c>
      <c r="M1734" s="358" t="s">
        <v>14</v>
      </c>
      <c r="N1734" s="396" t="s">
        <v>346</v>
      </c>
      <c r="O1734" s="367" t="s">
        <v>27</v>
      </c>
      <c r="P1734" s="65"/>
      <c r="Q1734" s="367" t="s">
        <v>325</v>
      </c>
      <c r="T1734" s="200">
        <v>1</v>
      </c>
    </row>
    <row r="1735" spans="1:20" ht="15" customHeight="1" x14ac:dyDescent="0.3">
      <c r="A1735" s="368"/>
      <c r="B1735" s="368"/>
      <c r="C1735" s="41">
        <v>-4790</v>
      </c>
      <c r="D1735" s="371"/>
      <c r="E1735" s="368"/>
      <c r="F1735" s="368"/>
      <c r="G1735" s="368"/>
      <c r="H1735" s="368"/>
      <c r="I1735" s="368"/>
      <c r="J1735" s="371"/>
      <c r="K1735" s="368"/>
      <c r="L1735" s="368"/>
      <c r="M1735" s="359"/>
      <c r="N1735" s="397"/>
      <c r="O1735" s="368"/>
      <c r="P1735" s="226">
        <v>44066</v>
      </c>
      <c r="Q1735" s="368"/>
    </row>
    <row r="1736" spans="1:20" ht="15" customHeight="1" thickBot="1" x14ac:dyDescent="0.35">
      <c r="A1736" s="369"/>
      <c r="B1736" s="369"/>
      <c r="C1736" s="42">
        <v>13000</v>
      </c>
      <c r="D1736" s="372"/>
      <c r="E1736" s="369"/>
      <c r="F1736" s="369"/>
      <c r="G1736" s="369"/>
      <c r="H1736" s="369"/>
      <c r="I1736" s="369"/>
      <c r="J1736" s="372"/>
      <c r="K1736" s="369"/>
      <c r="L1736" s="369"/>
      <c r="M1736" s="360"/>
      <c r="N1736" s="398"/>
      <c r="O1736" s="369"/>
      <c r="P1736" s="67"/>
      <c r="Q1736" s="369"/>
    </row>
    <row r="1737" spans="1:20" ht="15" hidden="1" customHeight="1" x14ac:dyDescent="0.3">
      <c r="A1737" s="367">
        <v>437</v>
      </c>
      <c r="B1737" s="367" t="s">
        <v>174</v>
      </c>
      <c r="C1737" s="40">
        <v>-14200</v>
      </c>
      <c r="D1737" s="370">
        <v>0</v>
      </c>
      <c r="E1737" s="367" t="s">
        <v>13</v>
      </c>
      <c r="F1737" s="367">
        <v>1000</v>
      </c>
      <c r="G1737" s="367">
        <v>1000</v>
      </c>
      <c r="H1737" s="370" t="s">
        <v>187</v>
      </c>
      <c r="I1737" s="367" t="s">
        <v>13</v>
      </c>
      <c r="J1737" s="367" t="s">
        <v>13</v>
      </c>
      <c r="K1737" s="367" t="s">
        <v>13</v>
      </c>
      <c r="L1737" s="367" t="s">
        <v>13</v>
      </c>
      <c r="M1737" s="358" t="s">
        <v>14</v>
      </c>
      <c r="N1737" s="396" t="s">
        <v>346</v>
      </c>
      <c r="O1737" s="367" t="s">
        <v>27</v>
      </c>
      <c r="P1737" s="65"/>
      <c r="Q1737" s="367" t="s">
        <v>188</v>
      </c>
      <c r="T1737" s="200">
        <v>1</v>
      </c>
    </row>
    <row r="1738" spans="1:20" ht="15" customHeight="1" x14ac:dyDescent="0.3">
      <c r="A1738" s="368"/>
      <c r="B1738" s="368"/>
      <c r="C1738" s="41">
        <v>-5535</v>
      </c>
      <c r="D1738" s="371"/>
      <c r="E1738" s="368"/>
      <c r="F1738" s="368"/>
      <c r="G1738" s="368"/>
      <c r="H1738" s="371"/>
      <c r="I1738" s="368"/>
      <c r="J1738" s="368"/>
      <c r="K1738" s="368"/>
      <c r="L1738" s="368"/>
      <c r="M1738" s="359"/>
      <c r="N1738" s="397"/>
      <c r="O1738" s="368"/>
      <c r="P1738" s="226">
        <v>44066</v>
      </c>
      <c r="Q1738" s="368"/>
    </row>
    <row r="1739" spans="1:20" ht="15" customHeight="1" thickBot="1" x14ac:dyDescent="0.35">
      <c r="A1739" s="369"/>
      <c r="B1739" s="369"/>
      <c r="C1739" s="42">
        <v>12530</v>
      </c>
      <c r="D1739" s="372"/>
      <c r="E1739" s="369"/>
      <c r="F1739" s="369"/>
      <c r="G1739" s="369"/>
      <c r="H1739" s="372"/>
      <c r="I1739" s="369"/>
      <c r="J1739" s="369"/>
      <c r="K1739" s="369"/>
      <c r="L1739" s="369"/>
      <c r="M1739" s="360"/>
      <c r="N1739" s="398"/>
      <c r="O1739" s="369"/>
      <c r="P1739" s="67"/>
      <c r="Q1739" s="369"/>
    </row>
    <row r="1740" spans="1:20" ht="15" hidden="1" customHeight="1" x14ac:dyDescent="0.3">
      <c r="A1740" s="367">
        <v>438</v>
      </c>
      <c r="B1740" s="367" t="s">
        <v>321</v>
      </c>
      <c r="C1740" s="40">
        <v>-14200</v>
      </c>
      <c r="D1740" s="370">
        <v>1</v>
      </c>
      <c r="E1740" s="367" t="s">
        <v>347</v>
      </c>
      <c r="F1740" s="367">
        <v>1000</v>
      </c>
      <c r="G1740" s="367">
        <v>1000</v>
      </c>
      <c r="H1740" s="367" t="s">
        <v>134</v>
      </c>
      <c r="I1740" s="367">
        <v>300</v>
      </c>
      <c r="J1740" s="370" t="s">
        <v>45</v>
      </c>
      <c r="K1740" s="367">
        <v>100</v>
      </c>
      <c r="L1740" s="367">
        <v>88</v>
      </c>
      <c r="M1740" s="358" t="s">
        <v>14</v>
      </c>
      <c r="N1740" s="396" t="s">
        <v>346</v>
      </c>
      <c r="O1740" s="367" t="s">
        <v>27</v>
      </c>
      <c r="P1740" s="65"/>
      <c r="Q1740" s="367" t="s">
        <v>323</v>
      </c>
    </row>
    <row r="1741" spans="1:20" ht="15" customHeight="1" x14ac:dyDescent="0.3">
      <c r="A1741" s="368"/>
      <c r="B1741" s="368"/>
      <c r="C1741" s="41">
        <v>-4300</v>
      </c>
      <c r="D1741" s="371"/>
      <c r="E1741" s="368"/>
      <c r="F1741" s="368"/>
      <c r="G1741" s="368"/>
      <c r="H1741" s="368"/>
      <c r="I1741" s="368"/>
      <c r="J1741" s="371"/>
      <c r="K1741" s="368"/>
      <c r="L1741" s="368"/>
      <c r="M1741" s="359"/>
      <c r="N1741" s="397"/>
      <c r="O1741" s="368"/>
      <c r="P1741" s="226">
        <v>44066</v>
      </c>
      <c r="Q1741" s="368"/>
      <c r="T1741" s="200">
        <v>1</v>
      </c>
    </row>
    <row r="1742" spans="1:20" ht="15" customHeight="1" thickBot="1" x14ac:dyDescent="0.35">
      <c r="A1742" s="369"/>
      <c r="B1742" s="369"/>
      <c r="C1742" s="42">
        <v>10800</v>
      </c>
      <c r="D1742" s="372"/>
      <c r="E1742" s="369"/>
      <c r="F1742" s="369"/>
      <c r="G1742" s="369"/>
      <c r="H1742" s="369"/>
      <c r="I1742" s="369"/>
      <c r="J1742" s="372"/>
      <c r="K1742" s="369"/>
      <c r="L1742" s="369"/>
      <c r="M1742" s="360"/>
      <c r="N1742" s="398"/>
      <c r="O1742" s="369"/>
      <c r="P1742" s="67"/>
      <c r="Q1742" s="369"/>
    </row>
    <row r="1743" spans="1:20" ht="15" hidden="1" customHeight="1" x14ac:dyDescent="0.3">
      <c r="A1743" s="367">
        <v>439</v>
      </c>
      <c r="B1743" s="367" t="s">
        <v>174</v>
      </c>
      <c r="C1743" s="40">
        <v>-14200</v>
      </c>
      <c r="D1743" s="370">
        <v>0</v>
      </c>
      <c r="E1743" s="367" t="s">
        <v>13</v>
      </c>
      <c r="F1743" s="367">
        <v>1000</v>
      </c>
      <c r="G1743" s="367">
        <v>1000</v>
      </c>
      <c r="H1743" s="370" t="s">
        <v>187</v>
      </c>
      <c r="I1743" s="367" t="s">
        <v>13</v>
      </c>
      <c r="J1743" s="370" t="s">
        <v>13</v>
      </c>
      <c r="K1743" s="367" t="s">
        <v>13</v>
      </c>
      <c r="L1743" s="367">
        <v>0</v>
      </c>
      <c r="M1743" s="358" t="s">
        <v>14</v>
      </c>
      <c r="N1743" s="396" t="s">
        <v>346</v>
      </c>
      <c r="O1743" s="367" t="s">
        <v>27</v>
      </c>
      <c r="P1743" s="65"/>
      <c r="Q1743" s="367" t="s">
        <v>188</v>
      </c>
      <c r="T1743" s="200">
        <v>1</v>
      </c>
    </row>
    <row r="1744" spans="1:20" ht="15" customHeight="1" x14ac:dyDescent="0.3">
      <c r="A1744" s="368"/>
      <c r="B1744" s="368"/>
      <c r="C1744" s="41">
        <v>-5595</v>
      </c>
      <c r="D1744" s="371"/>
      <c r="E1744" s="368"/>
      <c r="F1744" s="368"/>
      <c r="G1744" s="368"/>
      <c r="H1744" s="371"/>
      <c r="I1744" s="368"/>
      <c r="J1744" s="371"/>
      <c r="K1744" s="368"/>
      <c r="L1744" s="368"/>
      <c r="M1744" s="359"/>
      <c r="N1744" s="397"/>
      <c r="O1744" s="368"/>
      <c r="P1744" s="226">
        <v>44066</v>
      </c>
      <c r="Q1744" s="368"/>
    </row>
    <row r="1745" spans="1:20" ht="15" customHeight="1" thickBot="1" x14ac:dyDescent="0.35">
      <c r="A1745" s="369"/>
      <c r="B1745" s="369"/>
      <c r="C1745" s="42">
        <v>10500</v>
      </c>
      <c r="D1745" s="372"/>
      <c r="E1745" s="369"/>
      <c r="F1745" s="369"/>
      <c r="G1745" s="369"/>
      <c r="H1745" s="372"/>
      <c r="I1745" s="369"/>
      <c r="J1745" s="372"/>
      <c r="K1745" s="369"/>
      <c r="L1745" s="369"/>
      <c r="M1745" s="360"/>
      <c r="N1745" s="398"/>
      <c r="O1745" s="369"/>
      <c r="P1745" s="67"/>
      <c r="Q1745" s="369"/>
    </row>
    <row r="1746" spans="1:20" ht="15" hidden="1" customHeight="1" x14ac:dyDescent="0.3">
      <c r="A1746" s="367">
        <v>440</v>
      </c>
      <c r="B1746" s="367" t="s">
        <v>174</v>
      </c>
      <c r="C1746" s="40">
        <v>-14200</v>
      </c>
      <c r="D1746" s="370">
        <v>0</v>
      </c>
      <c r="E1746" s="367" t="s">
        <v>13</v>
      </c>
      <c r="F1746" s="367">
        <v>1000</v>
      </c>
      <c r="G1746" s="367">
        <v>1000</v>
      </c>
      <c r="H1746" s="370" t="s">
        <v>187</v>
      </c>
      <c r="I1746" s="367" t="s">
        <v>13</v>
      </c>
      <c r="J1746" s="367" t="s">
        <v>13</v>
      </c>
      <c r="K1746" s="367" t="s">
        <v>13</v>
      </c>
      <c r="L1746" s="367">
        <v>154.5</v>
      </c>
      <c r="M1746" s="358" t="s">
        <v>14</v>
      </c>
      <c r="N1746" s="396" t="s">
        <v>346</v>
      </c>
      <c r="O1746" s="367" t="s">
        <v>27</v>
      </c>
      <c r="P1746" s="65"/>
      <c r="Q1746" s="367" t="s">
        <v>188</v>
      </c>
      <c r="T1746" s="200">
        <v>1</v>
      </c>
    </row>
    <row r="1747" spans="1:20" ht="15" customHeight="1" x14ac:dyDescent="0.3">
      <c r="A1747" s="368"/>
      <c r="B1747" s="368"/>
      <c r="C1747" s="41">
        <v>-5595</v>
      </c>
      <c r="D1747" s="371"/>
      <c r="E1747" s="368"/>
      <c r="F1747" s="368"/>
      <c r="G1747" s="368"/>
      <c r="H1747" s="371"/>
      <c r="I1747" s="368"/>
      <c r="J1747" s="368"/>
      <c r="K1747" s="368"/>
      <c r="L1747" s="368"/>
      <c r="M1747" s="359"/>
      <c r="N1747" s="397"/>
      <c r="O1747" s="368"/>
      <c r="P1747" s="226">
        <v>44066</v>
      </c>
      <c r="Q1747" s="368"/>
    </row>
    <row r="1748" spans="1:20" ht="15" customHeight="1" thickBot="1" x14ac:dyDescent="0.35">
      <c r="A1748" s="369"/>
      <c r="B1748" s="369"/>
      <c r="C1748" s="42">
        <v>11400</v>
      </c>
      <c r="D1748" s="372"/>
      <c r="E1748" s="369"/>
      <c r="F1748" s="369"/>
      <c r="G1748" s="369"/>
      <c r="H1748" s="372"/>
      <c r="I1748" s="369"/>
      <c r="J1748" s="369"/>
      <c r="K1748" s="369"/>
      <c r="L1748" s="369"/>
      <c r="M1748" s="360"/>
      <c r="N1748" s="398"/>
      <c r="O1748" s="369"/>
      <c r="P1748" s="67"/>
      <c r="Q1748" s="369"/>
    </row>
    <row r="1749" spans="1:20" ht="15" hidden="1" customHeight="1" x14ac:dyDescent="0.3">
      <c r="A1749" s="367">
        <v>441</v>
      </c>
      <c r="B1749" s="367" t="s">
        <v>321</v>
      </c>
      <c r="C1749" s="40">
        <v>-17872</v>
      </c>
      <c r="D1749" s="367">
        <v>1</v>
      </c>
      <c r="E1749" s="367" t="s">
        <v>347</v>
      </c>
      <c r="F1749" s="367">
        <v>992</v>
      </c>
      <c r="G1749" s="367">
        <v>400</v>
      </c>
      <c r="H1749" s="367" t="s">
        <v>348</v>
      </c>
      <c r="I1749" s="367">
        <v>300</v>
      </c>
      <c r="J1749" s="370" t="s">
        <v>45</v>
      </c>
      <c r="K1749" s="367">
        <v>100</v>
      </c>
      <c r="L1749" s="367">
        <v>38</v>
      </c>
      <c r="M1749" s="358" t="s">
        <v>14</v>
      </c>
      <c r="N1749" s="396" t="s">
        <v>309</v>
      </c>
      <c r="O1749" s="367" t="s">
        <v>27</v>
      </c>
      <c r="P1749" s="65"/>
      <c r="Q1749" s="367" t="s">
        <v>349</v>
      </c>
    </row>
    <row r="1750" spans="1:20" ht="15" customHeight="1" x14ac:dyDescent="0.3">
      <c r="A1750" s="368"/>
      <c r="B1750" s="368"/>
      <c r="C1750" s="41">
        <v>-4300</v>
      </c>
      <c r="D1750" s="368"/>
      <c r="E1750" s="368"/>
      <c r="F1750" s="368"/>
      <c r="G1750" s="368"/>
      <c r="H1750" s="368"/>
      <c r="I1750" s="368"/>
      <c r="J1750" s="371"/>
      <c r="K1750" s="368"/>
      <c r="L1750" s="368"/>
      <c r="M1750" s="359"/>
      <c r="N1750" s="397"/>
      <c r="O1750" s="368"/>
      <c r="P1750" s="226">
        <v>44066</v>
      </c>
      <c r="Q1750" s="368"/>
      <c r="T1750" s="200">
        <v>1</v>
      </c>
    </row>
    <row r="1751" spans="1:20" ht="15" customHeight="1" thickBot="1" x14ac:dyDescent="0.35">
      <c r="A1751" s="369"/>
      <c r="B1751" s="369"/>
      <c r="C1751" s="42">
        <v>10800</v>
      </c>
      <c r="D1751" s="369"/>
      <c r="E1751" s="369"/>
      <c r="F1751" s="369"/>
      <c r="G1751" s="369"/>
      <c r="H1751" s="369"/>
      <c r="I1751" s="369"/>
      <c r="J1751" s="372"/>
      <c r="K1751" s="369"/>
      <c r="L1751" s="369"/>
      <c r="M1751" s="360"/>
      <c r="N1751" s="398"/>
      <c r="O1751" s="369"/>
      <c r="P1751" s="67"/>
      <c r="Q1751" s="369"/>
    </row>
    <row r="1752" spans="1:20" ht="15" hidden="1" customHeight="1" x14ac:dyDescent="0.3">
      <c r="A1752" s="367">
        <v>442</v>
      </c>
      <c r="B1752" s="367" t="s">
        <v>174</v>
      </c>
      <c r="C1752" s="40">
        <v>-19299</v>
      </c>
      <c r="D1752" s="370">
        <v>0</v>
      </c>
      <c r="E1752" s="367" t="s">
        <v>13</v>
      </c>
      <c r="F1752" s="367">
        <v>1000</v>
      </c>
      <c r="G1752" s="367">
        <v>1000</v>
      </c>
      <c r="H1752" s="367" t="s">
        <v>25</v>
      </c>
      <c r="I1752" s="367" t="s">
        <v>13</v>
      </c>
      <c r="J1752" s="367" t="s">
        <v>13</v>
      </c>
      <c r="K1752" s="367" t="s">
        <v>13</v>
      </c>
      <c r="L1752" s="367">
        <v>0</v>
      </c>
      <c r="M1752" s="358" t="s">
        <v>14</v>
      </c>
      <c r="N1752" s="396" t="s">
        <v>350</v>
      </c>
      <c r="O1752" s="367" t="s">
        <v>27</v>
      </c>
      <c r="P1752" s="65"/>
      <c r="Q1752" s="367" t="s">
        <v>184</v>
      </c>
      <c r="T1752" s="200">
        <v>1</v>
      </c>
    </row>
    <row r="1753" spans="1:20" ht="15" customHeight="1" x14ac:dyDescent="0.3">
      <c r="A1753" s="368"/>
      <c r="B1753" s="368"/>
      <c r="C1753" s="41">
        <v>-8876</v>
      </c>
      <c r="D1753" s="371"/>
      <c r="E1753" s="368"/>
      <c r="F1753" s="368"/>
      <c r="G1753" s="368"/>
      <c r="H1753" s="368"/>
      <c r="I1753" s="368"/>
      <c r="J1753" s="368"/>
      <c r="K1753" s="368"/>
      <c r="L1753" s="368"/>
      <c r="M1753" s="359"/>
      <c r="N1753" s="397"/>
      <c r="O1753" s="368"/>
      <c r="P1753" s="226">
        <v>44066</v>
      </c>
      <c r="Q1753" s="368"/>
    </row>
    <row r="1754" spans="1:20" ht="15" customHeight="1" thickBot="1" x14ac:dyDescent="0.35">
      <c r="A1754" s="369"/>
      <c r="B1754" s="369"/>
      <c r="C1754" s="42">
        <v>12300</v>
      </c>
      <c r="D1754" s="372"/>
      <c r="E1754" s="369"/>
      <c r="F1754" s="369"/>
      <c r="G1754" s="369"/>
      <c r="H1754" s="369"/>
      <c r="I1754" s="369"/>
      <c r="J1754" s="369"/>
      <c r="K1754" s="369"/>
      <c r="L1754" s="369"/>
      <c r="M1754" s="360"/>
      <c r="N1754" s="398"/>
      <c r="O1754" s="369"/>
      <c r="P1754" s="67"/>
      <c r="Q1754" s="369"/>
    </row>
    <row r="1755" spans="1:20" ht="15" hidden="1" customHeight="1" x14ac:dyDescent="0.3">
      <c r="A1755" s="367">
        <v>443</v>
      </c>
      <c r="B1755" s="367" t="s">
        <v>174</v>
      </c>
      <c r="C1755" s="40">
        <v>-15000</v>
      </c>
      <c r="D1755" s="370">
        <v>0</v>
      </c>
      <c r="E1755" s="367" t="s">
        <v>13</v>
      </c>
      <c r="F1755" s="367">
        <v>500</v>
      </c>
      <c r="G1755" s="367">
        <v>500</v>
      </c>
      <c r="H1755" s="370" t="s">
        <v>187</v>
      </c>
      <c r="I1755" s="367" t="s">
        <v>13</v>
      </c>
      <c r="J1755" s="367" t="s">
        <v>13</v>
      </c>
      <c r="K1755" s="367" t="s">
        <v>13</v>
      </c>
      <c r="L1755" s="367">
        <v>0</v>
      </c>
      <c r="M1755" s="358" t="s">
        <v>14</v>
      </c>
      <c r="N1755" s="396" t="s">
        <v>351</v>
      </c>
      <c r="O1755" s="367" t="s">
        <v>27</v>
      </c>
      <c r="P1755" s="65"/>
      <c r="Q1755" s="367" t="s">
        <v>188</v>
      </c>
    </row>
    <row r="1756" spans="1:20" ht="15" customHeight="1" x14ac:dyDescent="0.3">
      <c r="A1756" s="368"/>
      <c r="B1756" s="368"/>
      <c r="C1756" s="41">
        <v>-3250</v>
      </c>
      <c r="D1756" s="371"/>
      <c r="E1756" s="368"/>
      <c r="F1756" s="368"/>
      <c r="G1756" s="368"/>
      <c r="H1756" s="371"/>
      <c r="I1756" s="368"/>
      <c r="J1756" s="368"/>
      <c r="K1756" s="368"/>
      <c r="L1756" s="368"/>
      <c r="M1756" s="359"/>
      <c r="N1756" s="397"/>
      <c r="O1756" s="368"/>
      <c r="P1756" s="226">
        <v>44066</v>
      </c>
      <c r="Q1756" s="368"/>
      <c r="T1756" s="200">
        <v>1</v>
      </c>
    </row>
    <row r="1757" spans="1:20" ht="15" customHeight="1" thickBot="1" x14ac:dyDescent="0.35">
      <c r="A1757" s="369"/>
      <c r="B1757" s="369"/>
      <c r="C1757" s="42">
        <v>8850</v>
      </c>
      <c r="D1757" s="372"/>
      <c r="E1757" s="369"/>
      <c r="F1757" s="369"/>
      <c r="G1757" s="369"/>
      <c r="H1757" s="372"/>
      <c r="I1757" s="369"/>
      <c r="J1757" s="369"/>
      <c r="K1757" s="369"/>
      <c r="L1757" s="369"/>
      <c r="M1757" s="360"/>
      <c r="N1757" s="398"/>
      <c r="O1757" s="369"/>
      <c r="P1757" s="67"/>
      <c r="Q1757" s="369"/>
    </row>
    <row r="1758" spans="1:20" ht="15" hidden="1" customHeight="1" x14ac:dyDescent="0.3">
      <c r="A1758" s="367">
        <v>444</v>
      </c>
      <c r="B1758" s="367" t="s">
        <v>174</v>
      </c>
      <c r="C1758" s="40">
        <v>-16100</v>
      </c>
      <c r="D1758" s="370">
        <v>0</v>
      </c>
      <c r="E1758" s="367" t="s">
        <v>13</v>
      </c>
      <c r="F1758" s="367">
        <v>500</v>
      </c>
      <c r="G1758" s="367">
        <v>500</v>
      </c>
      <c r="H1758" s="370" t="s">
        <v>187</v>
      </c>
      <c r="I1758" s="367" t="s">
        <v>13</v>
      </c>
      <c r="J1758" s="367" t="s">
        <v>13</v>
      </c>
      <c r="K1758" s="367" t="s">
        <v>13</v>
      </c>
      <c r="L1758" s="367">
        <v>0</v>
      </c>
      <c r="M1758" s="358" t="s">
        <v>14</v>
      </c>
      <c r="N1758" s="396" t="s">
        <v>351</v>
      </c>
      <c r="O1758" s="367" t="s">
        <v>27</v>
      </c>
      <c r="P1758" s="65"/>
      <c r="Q1758" s="367" t="s">
        <v>188</v>
      </c>
    </row>
    <row r="1759" spans="1:20" ht="15" customHeight="1" x14ac:dyDescent="0.3">
      <c r="A1759" s="368"/>
      <c r="B1759" s="368"/>
      <c r="C1759" s="41">
        <v>-3250</v>
      </c>
      <c r="D1759" s="371"/>
      <c r="E1759" s="368"/>
      <c r="F1759" s="368"/>
      <c r="G1759" s="368"/>
      <c r="H1759" s="371"/>
      <c r="I1759" s="368"/>
      <c r="J1759" s="368"/>
      <c r="K1759" s="368"/>
      <c r="L1759" s="368"/>
      <c r="M1759" s="359"/>
      <c r="N1759" s="397"/>
      <c r="O1759" s="368"/>
      <c r="P1759" s="226">
        <v>44066</v>
      </c>
      <c r="Q1759" s="368"/>
      <c r="T1759" s="200">
        <v>1</v>
      </c>
    </row>
    <row r="1760" spans="1:20" ht="15" customHeight="1" thickBot="1" x14ac:dyDescent="0.35">
      <c r="A1760" s="369"/>
      <c r="B1760" s="369"/>
      <c r="C1760" s="42">
        <v>9620</v>
      </c>
      <c r="D1760" s="372"/>
      <c r="E1760" s="369"/>
      <c r="F1760" s="369"/>
      <c r="G1760" s="369"/>
      <c r="H1760" s="372"/>
      <c r="I1760" s="369"/>
      <c r="J1760" s="369"/>
      <c r="K1760" s="369"/>
      <c r="L1760" s="369"/>
      <c r="M1760" s="360"/>
      <c r="N1760" s="398"/>
      <c r="O1760" s="369"/>
      <c r="P1760" s="67"/>
      <c r="Q1760" s="369"/>
    </row>
    <row r="1761" spans="1:20" ht="15" hidden="1" customHeight="1" x14ac:dyDescent="0.3">
      <c r="A1761" s="367">
        <v>445</v>
      </c>
      <c r="B1761" s="367" t="s">
        <v>174</v>
      </c>
      <c r="C1761" s="37">
        <v>-15000</v>
      </c>
      <c r="D1761" s="370">
        <v>0</v>
      </c>
      <c r="E1761" s="370" t="s">
        <v>13</v>
      </c>
      <c r="F1761" s="367">
        <v>500</v>
      </c>
      <c r="G1761" s="367">
        <v>500</v>
      </c>
      <c r="H1761" s="370" t="s">
        <v>187</v>
      </c>
      <c r="I1761" s="370" t="s">
        <v>13</v>
      </c>
      <c r="J1761" s="370" t="s">
        <v>13</v>
      </c>
      <c r="K1761" s="370" t="s">
        <v>13</v>
      </c>
      <c r="L1761" s="370" t="s">
        <v>13</v>
      </c>
      <c r="M1761" s="358" t="s">
        <v>14</v>
      </c>
      <c r="N1761" s="399" t="s">
        <v>351</v>
      </c>
      <c r="O1761" s="367" t="s">
        <v>27</v>
      </c>
      <c r="P1761" s="65"/>
      <c r="Q1761" s="367" t="s">
        <v>188</v>
      </c>
    </row>
    <row r="1762" spans="1:20" ht="15" customHeight="1" x14ac:dyDescent="0.3">
      <c r="A1762" s="368"/>
      <c r="B1762" s="368"/>
      <c r="C1762" s="38">
        <v>-3250</v>
      </c>
      <c r="D1762" s="371"/>
      <c r="E1762" s="371"/>
      <c r="F1762" s="368"/>
      <c r="G1762" s="368"/>
      <c r="H1762" s="371"/>
      <c r="I1762" s="371"/>
      <c r="J1762" s="371"/>
      <c r="K1762" s="371"/>
      <c r="L1762" s="371"/>
      <c r="M1762" s="359"/>
      <c r="N1762" s="400"/>
      <c r="O1762" s="368"/>
      <c r="P1762" s="226">
        <v>44066</v>
      </c>
      <c r="Q1762" s="368"/>
      <c r="T1762" s="200">
        <v>1</v>
      </c>
    </row>
    <row r="1763" spans="1:20" ht="15" customHeight="1" thickBot="1" x14ac:dyDescent="0.35">
      <c r="A1763" s="369"/>
      <c r="B1763" s="369"/>
      <c r="C1763" s="39">
        <v>9850</v>
      </c>
      <c r="D1763" s="372"/>
      <c r="E1763" s="372"/>
      <c r="F1763" s="369"/>
      <c r="G1763" s="369"/>
      <c r="H1763" s="372"/>
      <c r="I1763" s="372"/>
      <c r="J1763" s="372"/>
      <c r="K1763" s="372"/>
      <c r="L1763" s="372"/>
      <c r="M1763" s="360"/>
      <c r="N1763" s="401"/>
      <c r="O1763" s="369"/>
      <c r="P1763" s="67"/>
      <c r="Q1763" s="369"/>
    </row>
    <row r="1764" spans="1:20" ht="15" hidden="1" customHeight="1" x14ac:dyDescent="0.3">
      <c r="A1764" s="367">
        <v>446</v>
      </c>
      <c r="B1764" s="367" t="s">
        <v>174</v>
      </c>
      <c r="C1764" s="40">
        <v>-15000</v>
      </c>
      <c r="D1764" s="370">
        <v>0</v>
      </c>
      <c r="E1764" s="367" t="s">
        <v>13</v>
      </c>
      <c r="F1764" s="367">
        <v>500</v>
      </c>
      <c r="G1764" s="367">
        <v>500</v>
      </c>
      <c r="H1764" s="370" t="s">
        <v>187</v>
      </c>
      <c r="I1764" s="367" t="s">
        <v>13</v>
      </c>
      <c r="J1764" s="367" t="s">
        <v>13</v>
      </c>
      <c r="K1764" s="367" t="s">
        <v>13</v>
      </c>
      <c r="L1764" s="367">
        <v>154.5</v>
      </c>
      <c r="M1764" s="358" t="s">
        <v>14</v>
      </c>
      <c r="N1764" s="396" t="s">
        <v>351</v>
      </c>
      <c r="O1764" s="367" t="s">
        <v>27</v>
      </c>
      <c r="P1764" s="65"/>
      <c r="Q1764" s="367" t="s">
        <v>188</v>
      </c>
    </row>
    <row r="1765" spans="1:20" ht="15" customHeight="1" x14ac:dyDescent="0.3">
      <c r="A1765" s="368"/>
      <c r="B1765" s="368"/>
      <c r="C1765" s="41">
        <v>-3250</v>
      </c>
      <c r="D1765" s="371"/>
      <c r="E1765" s="368"/>
      <c r="F1765" s="368"/>
      <c r="G1765" s="368"/>
      <c r="H1765" s="371"/>
      <c r="I1765" s="368"/>
      <c r="J1765" s="368"/>
      <c r="K1765" s="368"/>
      <c r="L1765" s="368"/>
      <c r="M1765" s="359"/>
      <c r="N1765" s="397"/>
      <c r="O1765" s="368"/>
      <c r="P1765" s="226">
        <v>44066</v>
      </c>
      <c r="Q1765" s="368"/>
      <c r="T1765" s="200">
        <v>1</v>
      </c>
    </row>
    <row r="1766" spans="1:20" ht="15" customHeight="1" thickBot="1" x14ac:dyDescent="0.35">
      <c r="A1766" s="369"/>
      <c r="B1766" s="369"/>
      <c r="C1766" s="42">
        <v>11400</v>
      </c>
      <c r="D1766" s="372"/>
      <c r="E1766" s="369"/>
      <c r="F1766" s="369"/>
      <c r="G1766" s="369"/>
      <c r="H1766" s="372"/>
      <c r="I1766" s="369"/>
      <c r="J1766" s="369"/>
      <c r="K1766" s="369"/>
      <c r="L1766" s="369"/>
      <c r="M1766" s="360"/>
      <c r="N1766" s="398"/>
      <c r="O1766" s="369"/>
      <c r="P1766" s="67"/>
      <c r="Q1766" s="369"/>
    </row>
    <row r="1767" spans="1:20" ht="15" hidden="1" customHeight="1" x14ac:dyDescent="0.3">
      <c r="A1767" s="367">
        <v>447</v>
      </c>
      <c r="B1767" s="367" t="s">
        <v>174</v>
      </c>
      <c r="C1767" s="40">
        <v>-15750</v>
      </c>
      <c r="D1767" s="370">
        <v>0</v>
      </c>
      <c r="E1767" s="367" t="s">
        <v>13</v>
      </c>
      <c r="F1767" s="367">
        <v>500</v>
      </c>
      <c r="G1767" s="367">
        <v>500</v>
      </c>
      <c r="H1767" s="370" t="s">
        <v>187</v>
      </c>
      <c r="I1767" s="367" t="s">
        <v>13</v>
      </c>
      <c r="J1767" s="367" t="s">
        <v>13</v>
      </c>
      <c r="K1767" s="367" t="s">
        <v>13</v>
      </c>
      <c r="L1767" s="367">
        <v>0</v>
      </c>
      <c r="M1767" s="358" t="s">
        <v>14</v>
      </c>
      <c r="N1767" s="396" t="s">
        <v>351</v>
      </c>
      <c r="O1767" s="367" t="s">
        <v>27</v>
      </c>
      <c r="P1767" s="65"/>
      <c r="Q1767" s="367" t="s">
        <v>188</v>
      </c>
    </row>
    <row r="1768" spans="1:20" ht="15" customHeight="1" x14ac:dyDescent="0.3">
      <c r="A1768" s="368"/>
      <c r="B1768" s="368"/>
      <c r="C1768" s="41">
        <v>-3250</v>
      </c>
      <c r="D1768" s="371"/>
      <c r="E1768" s="368"/>
      <c r="F1768" s="368"/>
      <c r="G1768" s="368"/>
      <c r="H1768" s="371"/>
      <c r="I1768" s="368"/>
      <c r="J1768" s="368"/>
      <c r="K1768" s="368"/>
      <c r="L1768" s="368"/>
      <c r="M1768" s="359"/>
      <c r="N1768" s="397"/>
      <c r="O1768" s="368"/>
      <c r="P1768" s="226">
        <v>44066</v>
      </c>
      <c r="Q1768" s="368"/>
      <c r="T1768" s="200">
        <v>1</v>
      </c>
    </row>
    <row r="1769" spans="1:20" ht="15" customHeight="1" thickBot="1" x14ac:dyDescent="0.35">
      <c r="A1769" s="369"/>
      <c r="B1769" s="369"/>
      <c r="C1769" s="42">
        <v>12530</v>
      </c>
      <c r="D1769" s="372"/>
      <c r="E1769" s="369"/>
      <c r="F1769" s="369"/>
      <c r="G1769" s="369"/>
      <c r="H1769" s="372"/>
      <c r="I1769" s="369"/>
      <c r="J1769" s="369"/>
      <c r="K1769" s="369"/>
      <c r="L1769" s="369"/>
      <c r="M1769" s="360"/>
      <c r="N1769" s="398"/>
      <c r="O1769" s="369"/>
      <c r="P1769" s="67"/>
      <c r="Q1769" s="369"/>
    </row>
    <row r="1770" spans="1:20" ht="15" hidden="1" customHeight="1" x14ac:dyDescent="0.3">
      <c r="A1770" s="367">
        <v>448</v>
      </c>
      <c r="B1770" s="367" t="s">
        <v>324</v>
      </c>
      <c r="C1770" s="40">
        <v>-15044</v>
      </c>
      <c r="D1770" s="370">
        <v>1</v>
      </c>
      <c r="E1770" s="367" t="s">
        <v>245</v>
      </c>
      <c r="F1770" s="367">
        <v>500</v>
      </c>
      <c r="G1770" s="367">
        <v>500</v>
      </c>
      <c r="H1770" s="367" t="s">
        <v>44</v>
      </c>
      <c r="I1770" s="367">
        <v>300</v>
      </c>
      <c r="J1770" s="370" t="s">
        <v>45</v>
      </c>
      <c r="K1770" s="367">
        <v>90</v>
      </c>
      <c r="L1770" s="367">
        <v>20</v>
      </c>
      <c r="M1770" s="358" t="s">
        <v>14</v>
      </c>
      <c r="N1770" s="396" t="s">
        <v>351</v>
      </c>
      <c r="O1770" s="367" t="s">
        <v>27</v>
      </c>
      <c r="P1770" s="65"/>
      <c r="Q1770" s="367" t="s">
        <v>325</v>
      </c>
    </row>
    <row r="1771" spans="1:20" ht="15" customHeight="1" x14ac:dyDescent="0.3">
      <c r="A1771" s="368"/>
      <c r="B1771" s="368"/>
      <c r="C1771" s="41">
        <v>-3250</v>
      </c>
      <c r="D1771" s="371"/>
      <c r="E1771" s="368"/>
      <c r="F1771" s="368"/>
      <c r="G1771" s="368"/>
      <c r="H1771" s="368"/>
      <c r="I1771" s="368"/>
      <c r="J1771" s="371"/>
      <c r="K1771" s="368"/>
      <c r="L1771" s="368"/>
      <c r="M1771" s="359"/>
      <c r="N1771" s="397"/>
      <c r="O1771" s="368"/>
      <c r="P1771" s="226">
        <v>44066</v>
      </c>
      <c r="Q1771" s="368"/>
      <c r="T1771" s="200">
        <v>1</v>
      </c>
    </row>
    <row r="1772" spans="1:20" ht="15" customHeight="1" thickBot="1" x14ac:dyDescent="0.35">
      <c r="A1772" s="369"/>
      <c r="B1772" s="369"/>
      <c r="C1772" s="42">
        <v>13000</v>
      </c>
      <c r="D1772" s="372"/>
      <c r="E1772" s="369"/>
      <c r="F1772" s="369"/>
      <c r="G1772" s="369"/>
      <c r="H1772" s="369"/>
      <c r="I1772" s="369"/>
      <c r="J1772" s="372"/>
      <c r="K1772" s="369"/>
      <c r="L1772" s="369"/>
      <c r="M1772" s="360"/>
      <c r="N1772" s="398"/>
      <c r="O1772" s="369"/>
      <c r="P1772" s="67"/>
      <c r="Q1772" s="369"/>
    </row>
    <row r="1773" spans="1:20" ht="15" hidden="1" customHeight="1" x14ac:dyDescent="0.3">
      <c r="A1773" s="367">
        <v>449</v>
      </c>
      <c r="B1773" s="367" t="s">
        <v>174</v>
      </c>
      <c r="C1773" s="40">
        <v>-15750</v>
      </c>
      <c r="D1773" s="370">
        <v>0</v>
      </c>
      <c r="E1773" s="367" t="s">
        <v>13</v>
      </c>
      <c r="F1773" s="367">
        <v>500</v>
      </c>
      <c r="G1773" s="367">
        <v>500</v>
      </c>
      <c r="H1773" s="370" t="s">
        <v>187</v>
      </c>
      <c r="I1773" s="367" t="s">
        <v>13</v>
      </c>
      <c r="J1773" s="367" t="s">
        <v>13</v>
      </c>
      <c r="K1773" s="367" t="s">
        <v>13</v>
      </c>
      <c r="L1773" s="367">
        <v>0</v>
      </c>
      <c r="M1773" s="358" t="s">
        <v>14</v>
      </c>
      <c r="N1773" s="396" t="s">
        <v>351</v>
      </c>
      <c r="O1773" s="367" t="s">
        <v>27</v>
      </c>
      <c r="P1773" s="65"/>
      <c r="Q1773" s="367" t="s">
        <v>188</v>
      </c>
    </row>
    <row r="1774" spans="1:20" ht="15" customHeight="1" x14ac:dyDescent="0.3">
      <c r="A1774" s="368"/>
      <c r="B1774" s="368"/>
      <c r="C1774" s="41">
        <v>-3250</v>
      </c>
      <c r="D1774" s="371"/>
      <c r="E1774" s="368"/>
      <c r="F1774" s="368"/>
      <c r="G1774" s="368"/>
      <c r="H1774" s="371"/>
      <c r="I1774" s="368"/>
      <c r="J1774" s="368"/>
      <c r="K1774" s="368"/>
      <c r="L1774" s="368"/>
      <c r="M1774" s="359"/>
      <c r="N1774" s="397"/>
      <c r="O1774" s="368"/>
      <c r="P1774" s="226">
        <v>44066</v>
      </c>
      <c r="Q1774" s="368"/>
      <c r="T1774" s="200">
        <v>1</v>
      </c>
    </row>
    <row r="1775" spans="1:20" ht="15" customHeight="1" thickBot="1" x14ac:dyDescent="0.35">
      <c r="A1775" s="369"/>
      <c r="B1775" s="369"/>
      <c r="C1775" s="42">
        <v>13000</v>
      </c>
      <c r="D1775" s="372"/>
      <c r="E1775" s="369"/>
      <c r="F1775" s="369"/>
      <c r="G1775" s="369"/>
      <c r="H1775" s="372"/>
      <c r="I1775" s="369"/>
      <c r="J1775" s="369"/>
      <c r="K1775" s="369"/>
      <c r="L1775" s="369"/>
      <c r="M1775" s="360"/>
      <c r="N1775" s="398"/>
      <c r="O1775" s="369"/>
      <c r="P1775" s="67"/>
      <c r="Q1775" s="369"/>
    </row>
    <row r="1776" spans="1:20" ht="15" hidden="1" customHeight="1" x14ac:dyDescent="0.3">
      <c r="A1776" s="367">
        <v>450</v>
      </c>
      <c r="B1776" s="367" t="s">
        <v>324</v>
      </c>
      <c r="C1776" s="40">
        <v>-15044</v>
      </c>
      <c r="D1776" s="370">
        <v>1</v>
      </c>
      <c r="E1776" s="367" t="s">
        <v>245</v>
      </c>
      <c r="F1776" s="367">
        <v>500</v>
      </c>
      <c r="G1776" s="367">
        <v>500</v>
      </c>
      <c r="H1776" s="367" t="s">
        <v>44</v>
      </c>
      <c r="I1776" s="367">
        <v>300</v>
      </c>
      <c r="J1776" s="370" t="s">
        <v>45</v>
      </c>
      <c r="K1776" s="367">
        <v>90</v>
      </c>
      <c r="L1776" s="367">
        <v>20</v>
      </c>
      <c r="M1776" s="358" t="s">
        <v>14</v>
      </c>
      <c r="N1776" s="396" t="s">
        <v>351</v>
      </c>
      <c r="O1776" s="367" t="s">
        <v>27</v>
      </c>
      <c r="P1776" s="65"/>
      <c r="Q1776" s="367" t="s">
        <v>325</v>
      </c>
      <c r="T1776" s="200">
        <v>1</v>
      </c>
    </row>
    <row r="1777" spans="1:20" ht="15" customHeight="1" x14ac:dyDescent="0.3">
      <c r="A1777" s="368"/>
      <c r="B1777" s="368"/>
      <c r="C1777" s="41">
        <v>-3250</v>
      </c>
      <c r="D1777" s="371"/>
      <c r="E1777" s="368"/>
      <c r="F1777" s="368"/>
      <c r="G1777" s="368"/>
      <c r="H1777" s="368"/>
      <c r="I1777" s="368"/>
      <c r="J1777" s="371"/>
      <c r="K1777" s="368"/>
      <c r="L1777" s="368"/>
      <c r="M1777" s="359"/>
      <c r="N1777" s="397"/>
      <c r="O1777" s="368"/>
      <c r="P1777" s="66"/>
      <c r="Q1777" s="368"/>
    </row>
    <row r="1778" spans="1:20" ht="15" customHeight="1" thickBot="1" x14ac:dyDescent="0.35">
      <c r="A1778" s="369"/>
      <c r="B1778" s="369"/>
      <c r="C1778" s="42">
        <v>12530</v>
      </c>
      <c r="D1778" s="372"/>
      <c r="E1778" s="369"/>
      <c r="F1778" s="369"/>
      <c r="G1778" s="369"/>
      <c r="H1778" s="369"/>
      <c r="I1778" s="369"/>
      <c r="J1778" s="372"/>
      <c r="K1778" s="369"/>
      <c r="L1778" s="369"/>
      <c r="M1778" s="360"/>
      <c r="N1778" s="398"/>
      <c r="O1778" s="369"/>
      <c r="P1778" s="227">
        <v>44066</v>
      </c>
      <c r="Q1778" s="369"/>
    </row>
    <row r="1779" spans="1:20" ht="15" hidden="1" customHeight="1" x14ac:dyDescent="0.3">
      <c r="A1779" s="367">
        <v>451</v>
      </c>
      <c r="B1779" s="367" t="s">
        <v>174</v>
      </c>
      <c r="C1779" s="40">
        <v>-17400</v>
      </c>
      <c r="D1779" s="370">
        <v>0</v>
      </c>
      <c r="E1779" s="367" t="s">
        <v>13</v>
      </c>
      <c r="F1779" s="367">
        <v>500</v>
      </c>
      <c r="G1779" s="367">
        <v>500</v>
      </c>
      <c r="H1779" s="367" t="s">
        <v>25</v>
      </c>
      <c r="I1779" s="367"/>
      <c r="J1779" s="367" t="s">
        <v>13</v>
      </c>
      <c r="K1779" s="367" t="s">
        <v>13</v>
      </c>
      <c r="L1779" s="367">
        <v>0</v>
      </c>
      <c r="M1779" s="358" t="s">
        <v>14</v>
      </c>
      <c r="N1779" s="396" t="s">
        <v>351</v>
      </c>
      <c r="O1779" s="367" t="s">
        <v>27</v>
      </c>
      <c r="P1779" s="65"/>
      <c r="Q1779" s="367" t="s">
        <v>184</v>
      </c>
      <c r="T1779" s="200">
        <v>1</v>
      </c>
    </row>
    <row r="1780" spans="1:20" ht="15" customHeight="1" x14ac:dyDescent="0.3">
      <c r="A1780" s="368"/>
      <c r="B1780" s="368"/>
      <c r="C1780" s="41">
        <v>-3250</v>
      </c>
      <c r="D1780" s="371"/>
      <c r="E1780" s="368"/>
      <c r="F1780" s="368"/>
      <c r="G1780" s="368"/>
      <c r="H1780" s="368"/>
      <c r="I1780" s="368"/>
      <c r="J1780" s="368"/>
      <c r="K1780" s="368"/>
      <c r="L1780" s="368"/>
      <c r="M1780" s="359"/>
      <c r="N1780" s="397"/>
      <c r="O1780" s="368"/>
      <c r="P1780" s="226">
        <v>44066</v>
      </c>
      <c r="Q1780" s="368"/>
    </row>
    <row r="1781" spans="1:20" ht="15" customHeight="1" thickBot="1" x14ac:dyDescent="0.35">
      <c r="A1781" s="369"/>
      <c r="B1781" s="369"/>
      <c r="C1781" s="42">
        <v>12200</v>
      </c>
      <c r="D1781" s="372"/>
      <c r="E1781" s="369"/>
      <c r="F1781" s="369"/>
      <c r="G1781" s="369"/>
      <c r="H1781" s="369"/>
      <c r="I1781" s="369"/>
      <c r="J1781" s="369"/>
      <c r="K1781" s="369"/>
      <c r="L1781" s="369"/>
      <c r="M1781" s="360"/>
      <c r="N1781" s="398"/>
      <c r="O1781" s="369"/>
      <c r="P1781" s="67"/>
      <c r="Q1781" s="369"/>
    </row>
    <row r="1782" spans="1:20" ht="15" hidden="1" customHeight="1" x14ac:dyDescent="0.3">
      <c r="A1782" s="373">
        <v>452</v>
      </c>
      <c r="B1782" s="373" t="s">
        <v>324</v>
      </c>
      <c r="C1782" s="49">
        <v>7657</v>
      </c>
      <c r="D1782" s="373">
        <v>1</v>
      </c>
      <c r="E1782" s="373" t="s">
        <v>245</v>
      </c>
      <c r="F1782" s="373">
        <v>1000</v>
      </c>
      <c r="G1782" s="373">
        <v>1000</v>
      </c>
      <c r="H1782" s="373" t="s">
        <v>44</v>
      </c>
      <c r="I1782" s="373">
        <v>300</v>
      </c>
      <c r="J1782" s="376" t="s">
        <v>45</v>
      </c>
      <c r="K1782" s="373">
        <v>90</v>
      </c>
      <c r="L1782" s="373">
        <v>20</v>
      </c>
      <c r="M1782" s="379" t="s">
        <v>14</v>
      </c>
      <c r="N1782" s="408" t="s">
        <v>234</v>
      </c>
      <c r="O1782" s="373" t="s">
        <v>27</v>
      </c>
      <c r="P1782" s="83"/>
      <c r="Q1782" s="373" t="s">
        <v>325</v>
      </c>
      <c r="T1782" s="288">
        <v>1</v>
      </c>
    </row>
    <row r="1783" spans="1:20" ht="15" customHeight="1" x14ac:dyDescent="0.3">
      <c r="A1783" s="374"/>
      <c r="B1783" s="374"/>
      <c r="C1783" s="51">
        <v>18546</v>
      </c>
      <c r="D1783" s="374"/>
      <c r="E1783" s="374"/>
      <c r="F1783" s="374"/>
      <c r="G1783" s="374"/>
      <c r="H1783" s="374"/>
      <c r="I1783" s="374"/>
      <c r="J1783" s="377"/>
      <c r="K1783" s="374"/>
      <c r="L1783" s="374"/>
      <c r="M1783" s="380"/>
      <c r="N1783" s="409"/>
      <c r="O1783" s="374"/>
      <c r="P1783" s="84"/>
      <c r="Q1783" s="374"/>
    </row>
    <row r="1784" spans="1:20" ht="15" customHeight="1" thickBot="1" x14ac:dyDescent="0.35">
      <c r="A1784" s="375"/>
      <c r="B1784" s="375"/>
      <c r="C1784" s="50">
        <v>12825</v>
      </c>
      <c r="D1784" s="375"/>
      <c r="E1784" s="375"/>
      <c r="F1784" s="375"/>
      <c r="G1784" s="375"/>
      <c r="H1784" s="375"/>
      <c r="I1784" s="375"/>
      <c r="J1784" s="378"/>
      <c r="K1784" s="375"/>
      <c r="L1784" s="375"/>
      <c r="M1784" s="381"/>
      <c r="N1784" s="410"/>
      <c r="O1784" s="375"/>
      <c r="P1784" s="85"/>
      <c r="Q1784" s="375"/>
    </row>
    <row r="1785" spans="1:20" ht="15" hidden="1" customHeight="1" x14ac:dyDescent="0.3">
      <c r="A1785" s="367">
        <v>453</v>
      </c>
      <c r="B1785" s="367" t="s">
        <v>174</v>
      </c>
      <c r="C1785" s="40">
        <v>-11200</v>
      </c>
      <c r="D1785" s="370">
        <v>0</v>
      </c>
      <c r="E1785" s="367" t="s">
        <v>13</v>
      </c>
      <c r="F1785" s="367">
        <v>1000</v>
      </c>
      <c r="G1785" s="367">
        <v>1000</v>
      </c>
      <c r="H1785" s="367" t="s">
        <v>25</v>
      </c>
      <c r="I1785" s="367" t="s">
        <v>13</v>
      </c>
      <c r="J1785" s="367" t="s">
        <v>13</v>
      </c>
      <c r="K1785" s="367" t="s">
        <v>13</v>
      </c>
      <c r="L1785" s="367" t="s">
        <v>13</v>
      </c>
      <c r="M1785" s="358" t="s">
        <v>14</v>
      </c>
      <c r="N1785" s="396" t="s">
        <v>319</v>
      </c>
      <c r="O1785" s="367" t="s">
        <v>27</v>
      </c>
      <c r="P1785" s="65"/>
      <c r="Q1785" s="367" t="s">
        <v>184</v>
      </c>
      <c r="T1785" s="200">
        <v>1</v>
      </c>
    </row>
    <row r="1786" spans="1:20" ht="15" customHeight="1" x14ac:dyDescent="0.3">
      <c r="A1786" s="368"/>
      <c r="B1786" s="368"/>
      <c r="C1786" s="41">
        <v>16650</v>
      </c>
      <c r="D1786" s="371"/>
      <c r="E1786" s="368"/>
      <c r="F1786" s="368"/>
      <c r="G1786" s="368"/>
      <c r="H1786" s="368"/>
      <c r="I1786" s="368"/>
      <c r="J1786" s="368"/>
      <c r="K1786" s="368"/>
      <c r="L1786" s="368"/>
      <c r="M1786" s="359"/>
      <c r="N1786" s="397"/>
      <c r="O1786" s="368"/>
      <c r="P1786" s="226">
        <v>44066</v>
      </c>
      <c r="Q1786" s="368"/>
    </row>
    <row r="1787" spans="1:20" ht="15" customHeight="1" thickBot="1" x14ac:dyDescent="0.35">
      <c r="A1787" s="369"/>
      <c r="B1787" s="369"/>
      <c r="C1787" s="42">
        <v>13000</v>
      </c>
      <c r="D1787" s="372"/>
      <c r="E1787" s="369"/>
      <c r="F1787" s="369"/>
      <c r="G1787" s="369"/>
      <c r="H1787" s="369"/>
      <c r="I1787" s="369"/>
      <c r="J1787" s="369"/>
      <c r="K1787" s="369"/>
      <c r="L1787" s="369"/>
      <c r="M1787" s="360"/>
      <c r="N1787" s="398"/>
      <c r="O1787" s="369"/>
      <c r="P1787" s="67"/>
      <c r="Q1787" s="369"/>
    </row>
    <row r="1788" spans="1:20" ht="15" hidden="1" customHeight="1" x14ac:dyDescent="0.3">
      <c r="A1788" s="367">
        <v>454</v>
      </c>
      <c r="B1788" s="367" t="s">
        <v>324</v>
      </c>
      <c r="C1788" s="40">
        <v>-3998</v>
      </c>
      <c r="D1788" s="367">
        <v>1</v>
      </c>
      <c r="E1788" s="367" t="s">
        <v>245</v>
      </c>
      <c r="F1788" s="367">
        <v>1000</v>
      </c>
      <c r="G1788" s="367">
        <v>1000</v>
      </c>
      <c r="H1788" s="367" t="s">
        <v>44</v>
      </c>
      <c r="I1788" s="367">
        <v>300</v>
      </c>
      <c r="J1788" s="370" t="s">
        <v>45</v>
      </c>
      <c r="K1788" s="367">
        <v>90</v>
      </c>
      <c r="L1788" s="367">
        <v>20</v>
      </c>
      <c r="M1788" s="358" t="s">
        <v>14</v>
      </c>
      <c r="N1788" s="396" t="s">
        <v>80</v>
      </c>
      <c r="O1788" s="367" t="s">
        <v>27</v>
      </c>
      <c r="P1788" s="65"/>
      <c r="Q1788" s="367" t="s">
        <v>325</v>
      </c>
      <c r="T1788" s="200">
        <v>1</v>
      </c>
    </row>
    <row r="1789" spans="1:20" ht="15" customHeight="1" x14ac:dyDescent="0.3">
      <c r="A1789" s="368"/>
      <c r="B1789" s="368"/>
      <c r="C1789" s="41">
        <v>14050</v>
      </c>
      <c r="D1789" s="368"/>
      <c r="E1789" s="368"/>
      <c r="F1789" s="368"/>
      <c r="G1789" s="368"/>
      <c r="H1789" s="368"/>
      <c r="I1789" s="368"/>
      <c r="J1789" s="371"/>
      <c r="K1789" s="368"/>
      <c r="L1789" s="368"/>
      <c r="M1789" s="359"/>
      <c r="N1789" s="397"/>
      <c r="O1789" s="368"/>
      <c r="P1789" s="226">
        <v>44066</v>
      </c>
      <c r="Q1789" s="368"/>
    </row>
    <row r="1790" spans="1:20" ht="15" customHeight="1" thickBot="1" x14ac:dyDescent="0.35">
      <c r="A1790" s="369"/>
      <c r="B1790" s="369"/>
      <c r="C1790" s="42">
        <v>11000</v>
      </c>
      <c r="D1790" s="369"/>
      <c r="E1790" s="369"/>
      <c r="F1790" s="369"/>
      <c r="G1790" s="369"/>
      <c r="H1790" s="369"/>
      <c r="I1790" s="369"/>
      <c r="J1790" s="372"/>
      <c r="K1790" s="369"/>
      <c r="L1790" s="369"/>
      <c r="M1790" s="360"/>
      <c r="N1790" s="398"/>
      <c r="O1790" s="369"/>
      <c r="P1790" s="67"/>
      <c r="Q1790" s="369"/>
    </row>
    <row r="1791" spans="1:20" ht="15" hidden="1" customHeight="1" x14ac:dyDescent="0.3">
      <c r="A1791" s="367">
        <v>455</v>
      </c>
      <c r="B1791" s="367" t="s">
        <v>324</v>
      </c>
      <c r="C1791" s="40">
        <v>-3998</v>
      </c>
      <c r="D1791" s="367">
        <v>1</v>
      </c>
      <c r="E1791" s="367" t="s">
        <v>245</v>
      </c>
      <c r="F1791" s="367">
        <v>1000</v>
      </c>
      <c r="G1791" s="367">
        <v>1000</v>
      </c>
      <c r="H1791" s="367" t="s">
        <v>44</v>
      </c>
      <c r="I1791" s="367">
        <v>300</v>
      </c>
      <c r="J1791" s="370" t="s">
        <v>45</v>
      </c>
      <c r="K1791" s="367">
        <v>90</v>
      </c>
      <c r="L1791" s="367">
        <v>20</v>
      </c>
      <c r="M1791" s="358" t="s">
        <v>14</v>
      </c>
      <c r="N1791" s="396" t="s">
        <v>80</v>
      </c>
      <c r="O1791" s="367" t="s">
        <v>27</v>
      </c>
      <c r="P1791" s="65"/>
      <c r="Q1791" s="367" t="s">
        <v>325</v>
      </c>
      <c r="T1791" s="200">
        <v>1</v>
      </c>
    </row>
    <row r="1792" spans="1:20" ht="15" customHeight="1" x14ac:dyDescent="0.3">
      <c r="A1792" s="368"/>
      <c r="B1792" s="368"/>
      <c r="C1792" s="41">
        <v>13650</v>
      </c>
      <c r="D1792" s="368"/>
      <c r="E1792" s="368"/>
      <c r="F1792" s="368"/>
      <c r="G1792" s="368"/>
      <c r="H1792" s="368"/>
      <c r="I1792" s="368"/>
      <c r="J1792" s="371"/>
      <c r="K1792" s="368"/>
      <c r="L1792" s="368"/>
      <c r="M1792" s="359"/>
      <c r="N1792" s="397"/>
      <c r="O1792" s="368"/>
      <c r="P1792" s="226">
        <v>44066</v>
      </c>
      <c r="Q1792" s="368"/>
    </row>
    <row r="1793" spans="1:20" ht="15" customHeight="1" thickBot="1" x14ac:dyDescent="0.35">
      <c r="A1793" s="369"/>
      <c r="B1793" s="369"/>
      <c r="C1793" s="42">
        <v>11000</v>
      </c>
      <c r="D1793" s="369"/>
      <c r="E1793" s="369"/>
      <c r="F1793" s="369"/>
      <c r="G1793" s="369"/>
      <c r="H1793" s="369"/>
      <c r="I1793" s="369"/>
      <c r="J1793" s="372"/>
      <c r="K1793" s="369"/>
      <c r="L1793" s="369"/>
      <c r="M1793" s="360"/>
      <c r="N1793" s="398"/>
      <c r="O1793" s="369"/>
      <c r="P1793" s="67"/>
      <c r="Q1793" s="369"/>
    </row>
    <row r="1794" spans="1:20" ht="15" hidden="1" customHeight="1" x14ac:dyDescent="0.3">
      <c r="A1794" s="367">
        <v>456</v>
      </c>
      <c r="B1794" s="367" t="s">
        <v>324</v>
      </c>
      <c r="C1794" s="40">
        <v>1282</v>
      </c>
      <c r="D1794" s="367">
        <v>1</v>
      </c>
      <c r="E1794" s="367" t="s">
        <v>245</v>
      </c>
      <c r="F1794" s="367">
        <v>1000</v>
      </c>
      <c r="G1794" s="367">
        <v>1000</v>
      </c>
      <c r="H1794" s="367" t="s">
        <v>44</v>
      </c>
      <c r="I1794" s="367">
        <v>300</v>
      </c>
      <c r="J1794" s="370" t="s">
        <v>45</v>
      </c>
      <c r="K1794" s="367">
        <v>90</v>
      </c>
      <c r="L1794" s="367">
        <v>20</v>
      </c>
      <c r="M1794" s="358" t="s">
        <v>14</v>
      </c>
      <c r="N1794" s="396" t="s">
        <v>234</v>
      </c>
      <c r="O1794" s="367" t="s">
        <v>27</v>
      </c>
      <c r="P1794" s="65"/>
      <c r="Q1794" s="367" t="s">
        <v>325</v>
      </c>
      <c r="T1794" s="200">
        <v>1</v>
      </c>
    </row>
    <row r="1795" spans="1:20" ht="15" customHeight="1" x14ac:dyDescent="0.3">
      <c r="A1795" s="368"/>
      <c r="B1795" s="368"/>
      <c r="C1795" s="41">
        <v>20485</v>
      </c>
      <c r="D1795" s="368"/>
      <c r="E1795" s="368"/>
      <c r="F1795" s="368"/>
      <c r="G1795" s="368"/>
      <c r="H1795" s="368"/>
      <c r="I1795" s="368"/>
      <c r="J1795" s="371"/>
      <c r="K1795" s="368"/>
      <c r="L1795" s="368"/>
      <c r="M1795" s="359"/>
      <c r="N1795" s="397"/>
      <c r="O1795" s="368"/>
      <c r="P1795" s="226">
        <v>44066</v>
      </c>
      <c r="Q1795" s="368"/>
    </row>
    <row r="1796" spans="1:20" ht="15" customHeight="1" thickBot="1" x14ac:dyDescent="0.35">
      <c r="A1796" s="369"/>
      <c r="B1796" s="369"/>
      <c r="C1796" s="42">
        <v>11725</v>
      </c>
      <c r="D1796" s="369"/>
      <c r="E1796" s="369"/>
      <c r="F1796" s="369"/>
      <c r="G1796" s="369"/>
      <c r="H1796" s="369"/>
      <c r="I1796" s="369"/>
      <c r="J1796" s="372"/>
      <c r="K1796" s="369"/>
      <c r="L1796" s="369"/>
      <c r="M1796" s="360"/>
      <c r="N1796" s="398"/>
      <c r="O1796" s="369"/>
      <c r="P1796" s="67"/>
      <c r="Q1796" s="369"/>
    </row>
    <row r="1797" spans="1:20" ht="15" hidden="1" customHeight="1" x14ac:dyDescent="0.3">
      <c r="A1797" s="367">
        <v>457</v>
      </c>
      <c r="B1797" s="367" t="s">
        <v>324</v>
      </c>
      <c r="C1797" s="40">
        <v>3057</v>
      </c>
      <c r="D1797" s="367">
        <v>1</v>
      </c>
      <c r="E1797" s="367" t="s">
        <v>245</v>
      </c>
      <c r="F1797" s="367">
        <v>1000</v>
      </c>
      <c r="G1797" s="367">
        <v>1000</v>
      </c>
      <c r="H1797" s="367" t="s">
        <v>44</v>
      </c>
      <c r="I1797" s="367">
        <v>300</v>
      </c>
      <c r="J1797" s="370" t="s">
        <v>45</v>
      </c>
      <c r="K1797" s="367">
        <v>90</v>
      </c>
      <c r="L1797" s="367">
        <v>20</v>
      </c>
      <c r="M1797" s="358" t="s">
        <v>14</v>
      </c>
      <c r="N1797" s="396" t="s">
        <v>234</v>
      </c>
      <c r="O1797" s="367" t="s">
        <v>27</v>
      </c>
      <c r="P1797" s="65"/>
      <c r="Q1797" s="367" t="s">
        <v>325</v>
      </c>
      <c r="T1797" s="200">
        <v>1</v>
      </c>
    </row>
    <row r="1798" spans="1:20" ht="15" customHeight="1" x14ac:dyDescent="0.3">
      <c r="A1798" s="368"/>
      <c r="B1798" s="368"/>
      <c r="C1798" s="41">
        <v>17950</v>
      </c>
      <c r="D1798" s="368"/>
      <c r="E1798" s="368"/>
      <c r="F1798" s="368"/>
      <c r="G1798" s="368"/>
      <c r="H1798" s="368"/>
      <c r="I1798" s="368"/>
      <c r="J1798" s="371"/>
      <c r="K1798" s="368"/>
      <c r="L1798" s="368"/>
      <c r="M1798" s="359"/>
      <c r="N1798" s="397"/>
      <c r="O1798" s="368"/>
      <c r="P1798" s="226">
        <v>44066</v>
      </c>
      <c r="Q1798" s="368"/>
    </row>
    <row r="1799" spans="1:20" ht="15" customHeight="1" thickBot="1" x14ac:dyDescent="0.35">
      <c r="A1799" s="369"/>
      <c r="B1799" s="369"/>
      <c r="C1799" s="42">
        <v>12825</v>
      </c>
      <c r="D1799" s="369"/>
      <c r="E1799" s="369"/>
      <c r="F1799" s="369"/>
      <c r="G1799" s="369"/>
      <c r="H1799" s="369"/>
      <c r="I1799" s="369"/>
      <c r="J1799" s="372"/>
      <c r="K1799" s="369"/>
      <c r="L1799" s="369"/>
      <c r="M1799" s="360"/>
      <c r="N1799" s="398"/>
      <c r="O1799" s="369"/>
      <c r="P1799" s="67"/>
      <c r="Q1799" s="369"/>
    </row>
    <row r="1800" spans="1:20" ht="15" hidden="1" customHeight="1" x14ac:dyDescent="0.3">
      <c r="A1800" s="367">
        <v>458</v>
      </c>
      <c r="B1800" s="367" t="s">
        <v>174</v>
      </c>
      <c r="C1800" s="40">
        <v>-2800</v>
      </c>
      <c r="D1800" s="370">
        <v>0</v>
      </c>
      <c r="E1800" s="367" t="s">
        <v>13</v>
      </c>
      <c r="F1800" s="367">
        <v>1000</v>
      </c>
      <c r="G1800" s="367">
        <v>1000</v>
      </c>
      <c r="H1800" s="370" t="s">
        <v>187</v>
      </c>
      <c r="I1800" s="367" t="s">
        <v>13</v>
      </c>
      <c r="J1800" s="367" t="s">
        <v>13</v>
      </c>
      <c r="K1800" s="367" t="s">
        <v>13</v>
      </c>
      <c r="L1800" s="367" t="s">
        <v>13</v>
      </c>
      <c r="M1800" s="358" t="s">
        <v>14</v>
      </c>
      <c r="N1800" s="396" t="s">
        <v>80</v>
      </c>
      <c r="O1800" s="367" t="s">
        <v>27</v>
      </c>
      <c r="P1800" s="65"/>
      <c r="Q1800" s="367" t="s">
        <v>188</v>
      </c>
      <c r="T1800" s="200">
        <v>1</v>
      </c>
    </row>
    <row r="1801" spans="1:20" ht="15" customHeight="1" x14ac:dyDescent="0.3">
      <c r="A1801" s="368"/>
      <c r="B1801" s="368"/>
      <c r="C1801" s="41">
        <v>12800</v>
      </c>
      <c r="D1801" s="371"/>
      <c r="E1801" s="368"/>
      <c r="F1801" s="368"/>
      <c r="G1801" s="368"/>
      <c r="H1801" s="371"/>
      <c r="I1801" s="368"/>
      <c r="J1801" s="368"/>
      <c r="K1801" s="368"/>
      <c r="L1801" s="368"/>
      <c r="M1801" s="359"/>
      <c r="N1801" s="397"/>
      <c r="O1801" s="368"/>
      <c r="P1801" s="226">
        <v>44066</v>
      </c>
      <c r="Q1801" s="368"/>
    </row>
    <row r="1802" spans="1:20" ht="15" customHeight="1" thickBot="1" x14ac:dyDescent="0.35">
      <c r="A1802" s="369"/>
      <c r="B1802" s="369"/>
      <c r="C1802" s="42">
        <v>11200</v>
      </c>
      <c r="D1802" s="372"/>
      <c r="E1802" s="369"/>
      <c r="F1802" s="369"/>
      <c r="G1802" s="369"/>
      <c r="H1802" s="372"/>
      <c r="I1802" s="369"/>
      <c r="J1802" s="369"/>
      <c r="K1802" s="369"/>
      <c r="L1802" s="369"/>
      <c r="M1802" s="360"/>
      <c r="N1802" s="398"/>
      <c r="O1802" s="369"/>
      <c r="P1802" s="67"/>
      <c r="Q1802" s="369"/>
    </row>
    <row r="1803" spans="1:20" ht="15" hidden="1" customHeight="1" x14ac:dyDescent="0.3">
      <c r="A1803" s="367">
        <v>459</v>
      </c>
      <c r="B1803" s="367" t="s">
        <v>174</v>
      </c>
      <c r="C1803" s="40">
        <v>-2800</v>
      </c>
      <c r="D1803" s="370">
        <v>0</v>
      </c>
      <c r="E1803" s="367" t="s">
        <v>13</v>
      </c>
      <c r="F1803" s="367">
        <v>1000</v>
      </c>
      <c r="G1803" s="367">
        <v>1000</v>
      </c>
      <c r="H1803" s="370" t="s">
        <v>187</v>
      </c>
      <c r="I1803" s="367" t="s">
        <v>13</v>
      </c>
      <c r="J1803" s="367" t="s">
        <v>13</v>
      </c>
      <c r="K1803" s="367" t="s">
        <v>13</v>
      </c>
      <c r="L1803" s="367" t="s">
        <v>13</v>
      </c>
      <c r="M1803" s="358" t="s">
        <v>14</v>
      </c>
      <c r="N1803" s="396" t="s">
        <v>80</v>
      </c>
      <c r="O1803" s="367" t="s">
        <v>27</v>
      </c>
      <c r="P1803" s="65"/>
      <c r="Q1803" s="367" t="s">
        <v>188</v>
      </c>
      <c r="T1803" s="200">
        <v>1</v>
      </c>
    </row>
    <row r="1804" spans="1:20" ht="15" customHeight="1" x14ac:dyDescent="0.3">
      <c r="A1804" s="368"/>
      <c r="B1804" s="368"/>
      <c r="C1804" s="41">
        <v>12800</v>
      </c>
      <c r="D1804" s="371"/>
      <c r="E1804" s="368"/>
      <c r="F1804" s="368"/>
      <c r="G1804" s="368"/>
      <c r="H1804" s="371"/>
      <c r="I1804" s="368"/>
      <c r="J1804" s="368"/>
      <c r="K1804" s="368"/>
      <c r="L1804" s="368"/>
      <c r="M1804" s="359"/>
      <c r="N1804" s="397"/>
      <c r="O1804" s="368"/>
      <c r="P1804" s="226">
        <v>44066</v>
      </c>
      <c r="Q1804" s="368"/>
    </row>
    <row r="1805" spans="1:20" ht="15" customHeight="1" thickBot="1" x14ac:dyDescent="0.35">
      <c r="A1805" s="369"/>
      <c r="B1805" s="369"/>
      <c r="C1805" s="42">
        <v>10800</v>
      </c>
      <c r="D1805" s="372"/>
      <c r="E1805" s="369"/>
      <c r="F1805" s="369"/>
      <c r="G1805" s="369"/>
      <c r="H1805" s="372"/>
      <c r="I1805" s="369"/>
      <c r="J1805" s="369"/>
      <c r="K1805" s="369"/>
      <c r="L1805" s="369"/>
      <c r="M1805" s="360"/>
      <c r="N1805" s="398"/>
      <c r="O1805" s="369"/>
      <c r="P1805" s="67"/>
      <c r="Q1805" s="369"/>
    </row>
    <row r="1806" spans="1:20" ht="15" hidden="1" customHeight="1" x14ac:dyDescent="0.3">
      <c r="A1806" s="367">
        <v>460</v>
      </c>
      <c r="B1806" s="367" t="s">
        <v>65</v>
      </c>
      <c r="C1806" s="40">
        <v>10600</v>
      </c>
      <c r="D1806" s="367">
        <v>1</v>
      </c>
      <c r="E1806" s="367" t="s">
        <v>24</v>
      </c>
      <c r="F1806" s="367">
        <v>1350</v>
      </c>
      <c r="G1806" s="367">
        <v>1000</v>
      </c>
      <c r="H1806" s="367" t="s">
        <v>19</v>
      </c>
      <c r="I1806" s="367">
        <v>150</v>
      </c>
      <c r="J1806" s="370" t="s">
        <v>45</v>
      </c>
      <c r="K1806" s="367">
        <v>40</v>
      </c>
      <c r="L1806" s="367">
        <v>18</v>
      </c>
      <c r="M1806" s="358" t="s">
        <v>14</v>
      </c>
      <c r="N1806" s="396" t="s">
        <v>352</v>
      </c>
      <c r="O1806" s="367" t="s">
        <v>27</v>
      </c>
      <c r="P1806" s="218"/>
      <c r="Q1806" s="367" t="s">
        <v>353</v>
      </c>
      <c r="T1806" s="200">
        <v>1</v>
      </c>
    </row>
    <row r="1807" spans="1:20" ht="15" customHeight="1" x14ac:dyDescent="0.3">
      <c r="A1807" s="368"/>
      <c r="B1807" s="368"/>
      <c r="C1807" s="41">
        <v>2731</v>
      </c>
      <c r="D1807" s="368"/>
      <c r="E1807" s="368"/>
      <c r="F1807" s="368"/>
      <c r="G1807" s="368"/>
      <c r="H1807" s="368"/>
      <c r="I1807" s="368"/>
      <c r="J1807" s="371"/>
      <c r="K1807" s="368"/>
      <c r="L1807" s="368"/>
      <c r="M1807" s="359"/>
      <c r="N1807" s="397"/>
      <c r="O1807" s="368"/>
      <c r="P1807" s="226">
        <v>44073</v>
      </c>
      <c r="Q1807" s="368"/>
      <c r="R1807" s="186">
        <v>44073</v>
      </c>
    </row>
    <row r="1808" spans="1:20" ht="15" customHeight="1" thickBot="1" x14ac:dyDescent="0.35">
      <c r="A1808" s="369"/>
      <c r="B1808" s="369"/>
      <c r="C1808" s="42">
        <v>12495</v>
      </c>
      <c r="D1808" s="369"/>
      <c r="E1808" s="369"/>
      <c r="F1808" s="369"/>
      <c r="G1808" s="369"/>
      <c r="H1808" s="369"/>
      <c r="I1808" s="369"/>
      <c r="J1808" s="372"/>
      <c r="K1808" s="369"/>
      <c r="L1808" s="369"/>
      <c r="M1808" s="360"/>
      <c r="N1808" s="398"/>
      <c r="O1808" s="369"/>
      <c r="P1808" s="220"/>
      <c r="Q1808" s="369"/>
    </row>
    <row r="1809" spans="1:20" ht="15" hidden="1" customHeight="1" x14ac:dyDescent="0.3">
      <c r="A1809" s="367">
        <v>461</v>
      </c>
      <c r="B1809" s="367" t="s">
        <v>324</v>
      </c>
      <c r="C1809" s="40">
        <v>-3998</v>
      </c>
      <c r="D1809" s="367">
        <v>1</v>
      </c>
      <c r="E1809" s="367" t="s">
        <v>245</v>
      </c>
      <c r="F1809" s="367">
        <v>1000</v>
      </c>
      <c r="G1809" s="367">
        <v>1000</v>
      </c>
      <c r="H1809" s="367" t="s">
        <v>44</v>
      </c>
      <c r="I1809" s="367">
        <v>300</v>
      </c>
      <c r="J1809" s="370" t="s">
        <v>45</v>
      </c>
      <c r="K1809" s="367">
        <v>90</v>
      </c>
      <c r="L1809" s="367">
        <v>20</v>
      </c>
      <c r="M1809" s="358" t="s">
        <v>14</v>
      </c>
      <c r="N1809" s="396" t="s">
        <v>80</v>
      </c>
      <c r="O1809" s="367" t="s">
        <v>27</v>
      </c>
      <c r="P1809" s="65"/>
      <c r="Q1809" s="367" t="s">
        <v>325</v>
      </c>
      <c r="T1809" s="200">
        <v>1</v>
      </c>
    </row>
    <row r="1810" spans="1:20" ht="15" customHeight="1" x14ac:dyDescent="0.3">
      <c r="A1810" s="368"/>
      <c r="B1810" s="368"/>
      <c r="C1810" s="41">
        <v>14450</v>
      </c>
      <c r="D1810" s="368"/>
      <c r="E1810" s="368"/>
      <c r="F1810" s="368"/>
      <c r="G1810" s="368"/>
      <c r="H1810" s="368"/>
      <c r="I1810" s="368"/>
      <c r="J1810" s="371"/>
      <c r="K1810" s="368"/>
      <c r="L1810" s="368"/>
      <c r="M1810" s="359"/>
      <c r="N1810" s="397"/>
      <c r="O1810" s="368"/>
      <c r="P1810" s="226">
        <v>44066</v>
      </c>
      <c r="Q1810" s="368"/>
    </row>
    <row r="1811" spans="1:20" ht="15" customHeight="1" thickBot="1" x14ac:dyDescent="0.35">
      <c r="A1811" s="369"/>
      <c r="B1811" s="369"/>
      <c r="C1811" s="42">
        <v>11000</v>
      </c>
      <c r="D1811" s="369"/>
      <c r="E1811" s="369"/>
      <c r="F1811" s="369"/>
      <c r="G1811" s="369"/>
      <c r="H1811" s="369"/>
      <c r="I1811" s="369"/>
      <c r="J1811" s="372"/>
      <c r="K1811" s="369"/>
      <c r="L1811" s="369"/>
      <c r="M1811" s="360"/>
      <c r="N1811" s="398"/>
      <c r="O1811" s="369"/>
      <c r="P1811" s="67"/>
      <c r="Q1811" s="369"/>
    </row>
    <row r="1812" spans="1:20" ht="15" hidden="1" customHeight="1" x14ac:dyDescent="0.3">
      <c r="A1812" s="367">
        <v>462</v>
      </c>
      <c r="B1812" s="367" t="s">
        <v>324</v>
      </c>
      <c r="C1812" s="40">
        <v>-3998</v>
      </c>
      <c r="D1812" s="367">
        <v>1</v>
      </c>
      <c r="E1812" s="367" t="s">
        <v>245</v>
      </c>
      <c r="F1812" s="367">
        <v>1000</v>
      </c>
      <c r="G1812" s="367">
        <v>1000</v>
      </c>
      <c r="H1812" s="367" t="s">
        <v>44</v>
      </c>
      <c r="I1812" s="367">
        <v>300</v>
      </c>
      <c r="J1812" s="370" t="s">
        <v>45</v>
      </c>
      <c r="K1812" s="367">
        <v>90</v>
      </c>
      <c r="L1812" s="367">
        <v>20</v>
      </c>
      <c r="M1812" s="358" t="s">
        <v>14</v>
      </c>
      <c r="N1812" s="396" t="s">
        <v>80</v>
      </c>
      <c r="O1812" s="367" t="s">
        <v>27</v>
      </c>
      <c r="P1812" s="65"/>
      <c r="Q1812" s="367" t="s">
        <v>325</v>
      </c>
      <c r="T1812" s="200">
        <v>1</v>
      </c>
    </row>
    <row r="1813" spans="1:20" ht="15" customHeight="1" x14ac:dyDescent="0.3">
      <c r="A1813" s="368"/>
      <c r="B1813" s="368"/>
      <c r="C1813" s="41">
        <v>14850</v>
      </c>
      <c r="D1813" s="368"/>
      <c r="E1813" s="368"/>
      <c r="F1813" s="368"/>
      <c r="G1813" s="368"/>
      <c r="H1813" s="368"/>
      <c r="I1813" s="368"/>
      <c r="J1813" s="371"/>
      <c r="K1813" s="368"/>
      <c r="L1813" s="368"/>
      <c r="M1813" s="359"/>
      <c r="N1813" s="397"/>
      <c r="O1813" s="368"/>
      <c r="P1813" s="226">
        <v>44066</v>
      </c>
      <c r="Q1813" s="368"/>
    </row>
    <row r="1814" spans="1:20" ht="15" customHeight="1" thickBot="1" x14ac:dyDescent="0.35">
      <c r="A1814" s="369"/>
      <c r="B1814" s="369"/>
      <c r="C1814" s="42">
        <v>11000</v>
      </c>
      <c r="D1814" s="369"/>
      <c r="E1814" s="369"/>
      <c r="F1814" s="369"/>
      <c r="G1814" s="369"/>
      <c r="H1814" s="369"/>
      <c r="I1814" s="369"/>
      <c r="J1814" s="372"/>
      <c r="K1814" s="369"/>
      <c r="L1814" s="369"/>
      <c r="M1814" s="360"/>
      <c r="N1814" s="398"/>
      <c r="O1814" s="369"/>
      <c r="P1814" s="67"/>
      <c r="Q1814" s="369"/>
    </row>
    <row r="1815" spans="1:20" ht="15" hidden="1" customHeight="1" x14ac:dyDescent="0.3">
      <c r="A1815" s="367">
        <v>463</v>
      </c>
      <c r="B1815" s="367" t="s">
        <v>174</v>
      </c>
      <c r="C1815" s="40">
        <v>-14200</v>
      </c>
      <c r="D1815" s="370">
        <v>0</v>
      </c>
      <c r="E1815" s="367" t="s">
        <v>13</v>
      </c>
      <c r="F1815" s="367">
        <v>1000</v>
      </c>
      <c r="G1815" s="367">
        <v>1000</v>
      </c>
      <c r="H1815" s="367" t="s">
        <v>19</v>
      </c>
      <c r="I1815" s="367" t="s">
        <v>13</v>
      </c>
      <c r="J1815" s="367" t="s">
        <v>13</v>
      </c>
      <c r="K1815" s="367" t="s">
        <v>13</v>
      </c>
      <c r="L1815" s="367">
        <v>102.5</v>
      </c>
      <c r="M1815" s="358" t="s">
        <v>14</v>
      </c>
      <c r="N1815" s="396" t="s">
        <v>346</v>
      </c>
      <c r="O1815" s="367" t="s">
        <v>27</v>
      </c>
      <c r="P1815" s="65"/>
      <c r="Q1815" s="367" t="s">
        <v>184</v>
      </c>
    </row>
    <row r="1816" spans="1:20" ht="15" customHeight="1" x14ac:dyDescent="0.3">
      <c r="A1816" s="368"/>
      <c r="B1816" s="368"/>
      <c r="C1816" s="41">
        <v>-3745</v>
      </c>
      <c r="D1816" s="371"/>
      <c r="E1816" s="368"/>
      <c r="F1816" s="368"/>
      <c r="G1816" s="368"/>
      <c r="H1816" s="368"/>
      <c r="I1816" s="368"/>
      <c r="J1816" s="368"/>
      <c r="K1816" s="368"/>
      <c r="L1816" s="368"/>
      <c r="M1816" s="359"/>
      <c r="N1816" s="397"/>
      <c r="O1816" s="368"/>
      <c r="P1816" s="226">
        <v>44066</v>
      </c>
      <c r="Q1816" s="368"/>
      <c r="T1816" s="200">
        <v>1</v>
      </c>
    </row>
    <row r="1817" spans="1:20" ht="15" customHeight="1" thickBot="1" x14ac:dyDescent="0.35">
      <c r="A1817" s="369"/>
      <c r="B1817" s="369"/>
      <c r="C1817" s="42">
        <v>12770</v>
      </c>
      <c r="D1817" s="372"/>
      <c r="E1817" s="369"/>
      <c r="F1817" s="369"/>
      <c r="G1817" s="369"/>
      <c r="H1817" s="369"/>
      <c r="I1817" s="369"/>
      <c r="J1817" s="369"/>
      <c r="K1817" s="369"/>
      <c r="L1817" s="369"/>
      <c r="M1817" s="360"/>
      <c r="N1817" s="398"/>
      <c r="O1817" s="369"/>
      <c r="P1817" s="67"/>
      <c r="Q1817" s="369"/>
    </row>
    <row r="1818" spans="1:20" ht="15" hidden="1" customHeight="1" x14ac:dyDescent="0.3">
      <c r="A1818" s="367">
        <v>464</v>
      </c>
      <c r="B1818" s="367" t="s">
        <v>174</v>
      </c>
      <c r="C1818" s="40">
        <v>-14200</v>
      </c>
      <c r="D1818" s="370">
        <v>0</v>
      </c>
      <c r="E1818" s="367" t="s">
        <v>13</v>
      </c>
      <c r="F1818" s="367">
        <v>1000</v>
      </c>
      <c r="G1818" s="367">
        <v>1000</v>
      </c>
      <c r="H1818" s="367" t="s">
        <v>19</v>
      </c>
      <c r="I1818" s="367" t="s">
        <v>13</v>
      </c>
      <c r="J1818" s="367" t="s">
        <v>13</v>
      </c>
      <c r="K1818" s="367" t="s">
        <v>13</v>
      </c>
      <c r="L1818" s="367">
        <v>102.5</v>
      </c>
      <c r="M1818" s="358" t="s">
        <v>14</v>
      </c>
      <c r="N1818" s="396" t="s">
        <v>346</v>
      </c>
      <c r="O1818" s="367" t="s">
        <v>27</v>
      </c>
      <c r="P1818" s="65"/>
      <c r="Q1818" s="367" t="s">
        <v>184</v>
      </c>
      <c r="T1818" s="200">
        <v>1</v>
      </c>
    </row>
    <row r="1819" spans="1:20" ht="15" customHeight="1" x14ac:dyDescent="0.3">
      <c r="A1819" s="368"/>
      <c r="B1819" s="368"/>
      <c r="C1819" s="41">
        <v>-3745</v>
      </c>
      <c r="D1819" s="371"/>
      <c r="E1819" s="368"/>
      <c r="F1819" s="368"/>
      <c r="G1819" s="368"/>
      <c r="H1819" s="368"/>
      <c r="I1819" s="368"/>
      <c r="J1819" s="368"/>
      <c r="K1819" s="368"/>
      <c r="L1819" s="368"/>
      <c r="M1819" s="359"/>
      <c r="N1819" s="397"/>
      <c r="O1819" s="368"/>
      <c r="P1819" s="226">
        <v>44066</v>
      </c>
      <c r="Q1819" s="368"/>
    </row>
    <row r="1820" spans="1:20" ht="15" customHeight="1" thickBot="1" x14ac:dyDescent="0.35">
      <c r="A1820" s="369"/>
      <c r="B1820" s="369"/>
      <c r="C1820" s="42">
        <v>12300</v>
      </c>
      <c r="D1820" s="372"/>
      <c r="E1820" s="369"/>
      <c r="F1820" s="369"/>
      <c r="G1820" s="369"/>
      <c r="H1820" s="369"/>
      <c r="I1820" s="369"/>
      <c r="J1820" s="369"/>
      <c r="K1820" s="369"/>
      <c r="L1820" s="369"/>
      <c r="M1820" s="360"/>
      <c r="N1820" s="398"/>
      <c r="O1820" s="369"/>
      <c r="P1820" s="67"/>
      <c r="Q1820" s="369"/>
    </row>
    <row r="1821" spans="1:20" ht="15" hidden="1" customHeight="1" x14ac:dyDescent="0.3">
      <c r="A1821" s="367">
        <v>465</v>
      </c>
      <c r="B1821" s="367" t="s">
        <v>174</v>
      </c>
      <c r="C1821" s="40">
        <v>-17050</v>
      </c>
      <c r="D1821" s="370">
        <v>0</v>
      </c>
      <c r="E1821" s="367" t="s">
        <v>13</v>
      </c>
      <c r="F1821" s="367">
        <v>500</v>
      </c>
      <c r="G1821" s="367">
        <v>500</v>
      </c>
      <c r="H1821" s="367" t="s">
        <v>25</v>
      </c>
      <c r="I1821" s="367" t="s">
        <v>13</v>
      </c>
      <c r="J1821" s="367" t="s">
        <v>13</v>
      </c>
      <c r="K1821" s="367" t="s">
        <v>13</v>
      </c>
      <c r="L1821" s="367">
        <v>0</v>
      </c>
      <c r="M1821" s="358" t="s">
        <v>14</v>
      </c>
      <c r="N1821" s="396" t="s">
        <v>351</v>
      </c>
      <c r="O1821" s="367" t="s">
        <v>27</v>
      </c>
      <c r="P1821" s="65"/>
      <c r="Q1821" s="367" t="s">
        <v>184</v>
      </c>
      <c r="T1821" s="200">
        <v>1</v>
      </c>
    </row>
    <row r="1822" spans="1:20" ht="15" customHeight="1" x14ac:dyDescent="0.3">
      <c r="A1822" s="368"/>
      <c r="B1822" s="368"/>
      <c r="C1822" s="41">
        <v>-3250</v>
      </c>
      <c r="D1822" s="371"/>
      <c r="E1822" s="368"/>
      <c r="F1822" s="368"/>
      <c r="G1822" s="368"/>
      <c r="H1822" s="368"/>
      <c r="I1822" s="368"/>
      <c r="J1822" s="368"/>
      <c r="K1822" s="368"/>
      <c r="L1822" s="368"/>
      <c r="M1822" s="359"/>
      <c r="N1822" s="397"/>
      <c r="O1822" s="368"/>
      <c r="P1822" s="226">
        <v>44066</v>
      </c>
      <c r="Q1822" s="368"/>
    </row>
    <row r="1823" spans="1:20" ht="15" customHeight="1" thickBot="1" x14ac:dyDescent="0.35">
      <c r="A1823" s="369"/>
      <c r="B1823" s="369"/>
      <c r="C1823" s="42">
        <v>12200</v>
      </c>
      <c r="D1823" s="372"/>
      <c r="E1823" s="369"/>
      <c r="F1823" s="369"/>
      <c r="G1823" s="369"/>
      <c r="H1823" s="369"/>
      <c r="I1823" s="369"/>
      <c r="J1823" s="369"/>
      <c r="K1823" s="369"/>
      <c r="L1823" s="369"/>
      <c r="M1823" s="360"/>
      <c r="N1823" s="398"/>
      <c r="O1823" s="369"/>
      <c r="P1823" s="67"/>
      <c r="Q1823" s="369"/>
    </row>
    <row r="1824" spans="1:20" ht="15" hidden="1" customHeight="1" x14ac:dyDescent="0.3">
      <c r="A1824" s="367">
        <v>466</v>
      </c>
      <c r="B1824" s="367" t="s">
        <v>324</v>
      </c>
      <c r="C1824" s="40">
        <v>-8784</v>
      </c>
      <c r="D1824" s="367">
        <v>1</v>
      </c>
      <c r="E1824" s="367" t="s">
        <v>245</v>
      </c>
      <c r="F1824" s="367">
        <v>2000</v>
      </c>
      <c r="G1824" s="367">
        <v>2000</v>
      </c>
      <c r="H1824" s="367" t="s">
        <v>44</v>
      </c>
      <c r="I1824" s="367">
        <v>300</v>
      </c>
      <c r="J1824" s="370" t="s">
        <v>45</v>
      </c>
      <c r="K1824" s="367">
        <v>90</v>
      </c>
      <c r="L1824" s="367">
        <v>20</v>
      </c>
      <c r="M1824" s="358" t="s">
        <v>14</v>
      </c>
      <c r="N1824" s="396" t="s">
        <v>81</v>
      </c>
      <c r="O1824" s="367" t="s">
        <v>27</v>
      </c>
      <c r="P1824" s="128"/>
      <c r="Q1824" s="367" t="s">
        <v>325</v>
      </c>
      <c r="R1824" s="350">
        <v>44047</v>
      </c>
      <c r="T1824" s="200">
        <v>1</v>
      </c>
    </row>
    <row r="1825" spans="1:20" ht="15" customHeight="1" x14ac:dyDescent="0.3">
      <c r="A1825" s="368"/>
      <c r="B1825" s="368"/>
      <c r="C1825" s="41">
        <v>-8470</v>
      </c>
      <c r="D1825" s="368"/>
      <c r="E1825" s="368"/>
      <c r="F1825" s="368"/>
      <c r="G1825" s="368"/>
      <c r="H1825" s="368"/>
      <c r="I1825" s="368"/>
      <c r="J1825" s="371"/>
      <c r="K1825" s="368"/>
      <c r="L1825" s="368"/>
      <c r="M1825" s="359"/>
      <c r="N1825" s="397"/>
      <c r="O1825" s="368"/>
      <c r="P1825" s="226">
        <v>44066</v>
      </c>
      <c r="Q1825" s="368"/>
      <c r="R1825" s="351"/>
    </row>
    <row r="1826" spans="1:20" ht="15" customHeight="1" thickBot="1" x14ac:dyDescent="0.35">
      <c r="A1826" s="369"/>
      <c r="B1826" s="369"/>
      <c r="C1826" s="42">
        <v>12540</v>
      </c>
      <c r="D1826" s="369"/>
      <c r="E1826" s="369"/>
      <c r="F1826" s="369"/>
      <c r="G1826" s="369"/>
      <c r="H1826" s="369"/>
      <c r="I1826" s="369"/>
      <c r="J1826" s="372"/>
      <c r="K1826" s="369"/>
      <c r="L1826" s="369"/>
      <c r="M1826" s="360"/>
      <c r="N1826" s="398"/>
      <c r="O1826" s="369"/>
      <c r="P1826" s="130"/>
      <c r="Q1826" s="369"/>
      <c r="R1826" s="351"/>
    </row>
    <row r="1827" spans="1:20" ht="15" hidden="1" customHeight="1" x14ac:dyDescent="0.3">
      <c r="A1827" s="367">
        <v>467</v>
      </c>
      <c r="B1827" s="367" t="s">
        <v>324</v>
      </c>
      <c r="C1827" s="40">
        <v>-8784</v>
      </c>
      <c r="D1827" s="367">
        <v>1</v>
      </c>
      <c r="E1827" s="367" t="s">
        <v>245</v>
      </c>
      <c r="F1827" s="367">
        <v>2000</v>
      </c>
      <c r="G1827" s="367">
        <v>2000</v>
      </c>
      <c r="H1827" s="367" t="s">
        <v>44</v>
      </c>
      <c r="I1827" s="367">
        <v>300</v>
      </c>
      <c r="J1827" s="370" t="s">
        <v>45</v>
      </c>
      <c r="K1827" s="367">
        <v>90</v>
      </c>
      <c r="L1827" s="367">
        <v>20</v>
      </c>
      <c r="M1827" s="358" t="s">
        <v>14</v>
      </c>
      <c r="N1827" s="396" t="s">
        <v>81</v>
      </c>
      <c r="O1827" s="367" t="s">
        <v>27</v>
      </c>
      <c r="P1827" s="128"/>
      <c r="Q1827" s="367" t="s">
        <v>325</v>
      </c>
      <c r="R1827" s="350">
        <v>44047</v>
      </c>
      <c r="T1827" s="200">
        <v>1</v>
      </c>
    </row>
    <row r="1828" spans="1:20" ht="15" customHeight="1" x14ac:dyDescent="0.3">
      <c r="A1828" s="368"/>
      <c r="B1828" s="368"/>
      <c r="C1828" s="41">
        <v>-8470</v>
      </c>
      <c r="D1828" s="368"/>
      <c r="E1828" s="368"/>
      <c r="F1828" s="368"/>
      <c r="G1828" s="368"/>
      <c r="H1828" s="368"/>
      <c r="I1828" s="368"/>
      <c r="J1828" s="371"/>
      <c r="K1828" s="368"/>
      <c r="L1828" s="368"/>
      <c r="M1828" s="359"/>
      <c r="N1828" s="397"/>
      <c r="O1828" s="368"/>
      <c r="P1828" s="226">
        <v>44066</v>
      </c>
      <c r="Q1828" s="368"/>
      <c r="R1828" s="351"/>
    </row>
    <row r="1829" spans="1:20" ht="15" customHeight="1" thickBot="1" x14ac:dyDescent="0.35">
      <c r="A1829" s="369"/>
      <c r="B1829" s="369"/>
      <c r="C1829" s="42">
        <v>13010</v>
      </c>
      <c r="D1829" s="369"/>
      <c r="E1829" s="369"/>
      <c r="F1829" s="369"/>
      <c r="G1829" s="369"/>
      <c r="H1829" s="369"/>
      <c r="I1829" s="369"/>
      <c r="J1829" s="372"/>
      <c r="K1829" s="369"/>
      <c r="L1829" s="369"/>
      <c r="M1829" s="360"/>
      <c r="N1829" s="398"/>
      <c r="O1829" s="369"/>
      <c r="P1829" s="130"/>
      <c r="Q1829" s="369"/>
      <c r="R1829" s="351"/>
    </row>
    <row r="1830" spans="1:20" ht="15" hidden="1" customHeight="1" x14ac:dyDescent="0.3">
      <c r="A1830" s="370">
        <v>468</v>
      </c>
      <c r="B1830" s="370" t="s">
        <v>337</v>
      </c>
      <c r="C1830" s="37">
        <v>-12065</v>
      </c>
      <c r="D1830" s="370">
        <v>1</v>
      </c>
      <c r="E1830" s="370" t="s">
        <v>66</v>
      </c>
      <c r="F1830" s="370">
        <v>600</v>
      </c>
      <c r="G1830" s="370">
        <v>600</v>
      </c>
      <c r="H1830" s="370" t="s">
        <v>44</v>
      </c>
      <c r="I1830" s="370">
        <v>300</v>
      </c>
      <c r="J1830" s="370" t="s">
        <v>45</v>
      </c>
      <c r="K1830" s="370">
        <v>40</v>
      </c>
      <c r="L1830" s="367">
        <v>105.5</v>
      </c>
      <c r="M1830" s="358" t="s">
        <v>14</v>
      </c>
      <c r="N1830" s="399" t="s">
        <v>354</v>
      </c>
      <c r="O1830" s="367" t="s">
        <v>27</v>
      </c>
      <c r="P1830" s="237"/>
      <c r="Q1830" s="370" t="s">
        <v>355</v>
      </c>
    </row>
    <row r="1831" spans="1:20" ht="15" customHeight="1" x14ac:dyDescent="0.3">
      <c r="A1831" s="371"/>
      <c r="B1831" s="371"/>
      <c r="C1831" s="38">
        <v>-9364</v>
      </c>
      <c r="D1831" s="371"/>
      <c r="E1831" s="371"/>
      <c r="F1831" s="371"/>
      <c r="G1831" s="371"/>
      <c r="H1831" s="371"/>
      <c r="I1831" s="371"/>
      <c r="J1831" s="371"/>
      <c r="K1831" s="371"/>
      <c r="L1831" s="368"/>
      <c r="M1831" s="359"/>
      <c r="N1831" s="400"/>
      <c r="O1831" s="368"/>
      <c r="P1831" s="226">
        <v>44076</v>
      </c>
      <c r="Q1831" s="371"/>
      <c r="R1831" s="186">
        <v>44076</v>
      </c>
      <c r="T1831" s="200">
        <v>1</v>
      </c>
    </row>
    <row r="1832" spans="1:20" ht="15" customHeight="1" thickBot="1" x14ac:dyDescent="0.35">
      <c r="A1832" s="372"/>
      <c r="B1832" s="372"/>
      <c r="C1832" s="39">
        <v>13075</v>
      </c>
      <c r="D1832" s="372"/>
      <c r="E1832" s="372"/>
      <c r="F1832" s="372"/>
      <c r="G1832" s="372"/>
      <c r="H1832" s="372"/>
      <c r="I1832" s="372"/>
      <c r="J1832" s="372"/>
      <c r="K1832" s="372"/>
      <c r="L1832" s="369"/>
      <c r="M1832" s="360"/>
      <c r="N1832" s="401"/>
      <c r="O1832" s="369"/>
      <c r="P1832" s="239"/>
      <c r="Q1832" s="372"/>
    </row>
    <row r="1833" spans="1:20" ht="15" hidden="1" customHeight="1" x14ac:dyDescent="0.3">
      <c r="A1833" s="370">
        <v>469</v>
      </c>
      <c r="B1833" s="370" t="s">
        <v>340</v>
      </c>
      <c r="C1833" s="37">
        <v>-12287</v>
      </c>
      <c r="D1833" s="370">
        <v>1</v>
      </c>
      <c r="E1833" s="370" t="s">
        <v>66</v>
      </c>
      <c r="F1833" s="370">
        <v>600</v>
      </c>
      <c r="G1833" s="370">
        <v>600</v>
      </c>
      <c r="H1833" s="370" t="s">
        <v>50</v>
      </c>
      <c r="I1833" s="370">
        <v>300</v>
      </c>
      <c r="J1833" s="370" t="s">
        <v>45</v>
      </c>
      <c r="K1833" s="370">
        <v>40</v>
      </c>
      <c r="L1833" s="367">
        <v>0</v>
      </c>
      <c r="M1833" s="358" t="s">
        <v>14</v>
      </c>
      <c r="N1833" s="399" t="s">
        <v>354</v>
      </c>
      <c r="O1833" s="367" t="s">
        <v>27</v>
      </c>
      <c r="P1833" s="237"/>
      <c r="Q1833" s="370" t="s">
        <v>356</v>
      </c>
    </row>
    <row r="1834" spans="1:20" ht="15" customHeight="1" x14ac:dyDescent="0.3">
      <c r="A1834" s="371"/>
      <c r="B1834" s="371"/>
      <c r="C1834" s="38">
        <v>-9519</v>
      </c>
      <c r="D1834" s="371"/>
      <c r="E1834" s="371"/>
      <c r="F1834" s="371"/>
      <c r="G1834" s="371"/>
      <c r="H1834" s="371"/>
      <c r="I1834" s="371"/>
      <c r="J1834" s="371"/>
      <c r="K1834" s="371"/>
      <c r="L1834" s="368"/>
      <c r="M1834" s="359"/>
      <c r="N1834" s="400"/>
      <c r="O1834" s="368"/>
      <c r="P1834" s="226">
        <v>44076</v>
      </c>
      <c r="Q1834" s="371"/>
      <c r="R1834" s="186">
        <v>44076</v>
      </c>
    </row>
    <row r="1835" spans="1:20" ht="15" customHeight="1" thickBot="1" x14ac:dyDescent="0.35">
      <c r="A1835" s="372"/>
      <c r="B1835" s="372"/>
      <c r="C1835" s="39">
        <v>13008</v>
      </c>
      <c r="D1835" s="372"/>
      <c r="E1835" s="372"/>
      <c r="F1835" s="372"/>
      <c r="G1835" s="372"/>
      <c r="H1835" s="372"/>
      <c r="I1835" s="372"/>
      <c r="J1835" s="372"/>
      <c r="K1835" s="372"/>
      <c r="L1835" s="369"/>
      <c r="M1835" s="360"/>
      <c r="N1835" s="401"/>
      <c r="O1835" s="369"/>
      <c r="P1835" s="239"/>
      <c r="Q1835" s="372"/>
      <c r="T1835" s="200">
        <v>1</v>
      </c>
    </row>
    <row r="1836" spans="1:20" ht="15" hidden="1" customHeight="1" x14ac:dyDescent="0.3">
      <c r="A1836" s="370">
        <v>470</v>
      </c>
      <c r="B1836" s="370" t="s">
        <v>340</v>
      </c>
      <c r="C1836" s="37">
        <v>-12287</v>
      </c>
      <c r="D1836" s="370">
        <v>1</v>
      </c>
      <c r="E1836" s="370" t="s">
        <v>204</v>
      </c>
      <c r="F1836" s="370">
        <v>600</v>
      </c>
      <c r="G1836" s="370">
        <v>600</v>
      </c>
      <c r="H1836" s="370" t="s">
        <v>50</v>
      </c>
      <c r="I1836" s="370">
        <v>350</v>
      </c>
      <c r="J1836" s="370" t="s">
        <v>45</v>
      </c>
      <c r="K1836" s="370">
        <v>100</v>
      </c>
      <c r="L1836" s="367">
        <v>-79.5</v>
      </c>
      <c r="M1836" s="358" t="s">
        <v>14</v>
      </c>
      <c r="N1836" s="399" t="s">
        <v>354</v>
      </c>
      <c r="O1836" s="367" t="s">
        <v>27</v>
      </c>
      <c r="P1836" s="65"/>
      <c r="Q1836" s="370" t="s">
        <v>357</v>
      </c>
    </row>
    <row r="1837" spans="1:20" ht="15" customHeight="1" x14ac:dyDescent="0.3">
      <c r="A1837" s="371"/>
      <c r="B1837" s="371"/>
      <c r="C1837" s="38">
        <v>-9519</v>
      </c>
      <c r="D1837" s="371"/>
      <c r="E1837" s="371"/>
      <c r="F1837" s="371"/>
      <c r="G1837" s="371"/>
      <c r="H1837" s="371"/>
      <c r="I1837" s="371"/>
      <c r="J1837" s="371"/>
      <c r="K1837" s="371"/>
      <c r="L1837" s="368"/>
      <c r="M1837" s="359"/>
      <c r="N1837" s="400"/>
      <c r="O1837" s="368"/>
      <c r="P1837" s="226">
        <v>44066</v>
      </c>
      <c r="Q1837" s="371"/>
    </row>
    <row r="1838" spans="1:20" ht="15" customHeight="1" thickBot="1" x14ac:dyDescent="0.35">
      <c r="A1838" s="372"/>
      <c r="B1838" s="372"/>
      <c r="C1838" s="39">
        <v>12890</v>
      </c>
      <c r="D1838" s="372"/>
      <c r="E1838" s="372"/>
      <c r="F1838" s="372"/>
      <c r="G1838" s="372"/>
      <c r="H1838" s="372"/>
      <c r="I1838" s="372"/>
      <c r="J1838" s="372"/>
      <c r="K1838" s="372"/>
      <c r="L1838" s="369"/>
      <c r="M1838" s="360"/>
      <c r="N1838" s="401"/>
      <c r="O1838" s="369"/>
      <c r="P1838" s="67"/>
      <c r="Q1838" s="372"/>
      <c r="T1838" s="200">
        <v>1</v>
      </c>
    </row>
    <row r="1839" spans="1:20" ht="15" hidden="1" customHeight="1" x14ac:dyDescent="0.3">
      <c r="A1839" s="370">
        <v>471</v>
      </c>
      <c r="B1839" s="370" t="s">
        <v>340</v>
      </c>
      <c r="C1839" s="37">
        <v>-12287</v>
      </c>
      <c r="D1839" s="370">
        <v>1</v>
      </c>
      <c r="E1839" s="370" t="s">
        <v>66</v>
      </c>
      <c r="F1839" s="370">
        <v>600</v>
      </c>
      <c r="G1839" s="370">
        <v>600</v>
      </c>
      <c r="H1839" s="370" t="s">
        <v>50</v>
      </c>
      <c r="I1839" s="370">
        <v>350</v>
      </c>
      <c r="J1839" s="370" t="s">
        <v>45</v>
      </c>
      <c r="K1839" s="370">
        <v>40</v>
      </c>
      <c r="L1839" s="367">
        <v>0</v>
      </c>
      <c r="M1839" s="358" t="s">
        <v>14</v>
      </c>
      <c r="N1839" s="399" t="s">
        <v>354</v>
      </c>
      <c r="O1839" s="367" t="s">
        <v>27</v>
      </c>
      <c r="P1839" s="237"/>
      <c r="Q1839" s="370" t="s">
        <v>356</v>
      </c>
    </row>
    <row r="1840" spans="1:20" ht="15" customHeight="1" x14ac:dyDescent="0.3">
      <c r="A1840" s="371"/>
      <c r="B1840" s="371"/>
      <c r="C1840" s="38">
        <v>-9519</v>
      </c>
      <c r="D1840" s="371"/>
      <c r="E1840" s="371"/>
      <c r="F1840" s="371"/>
      <c r="G1840" s="371"/>
      <c r="H1840" s="371"/>
      <c r="I1840" s="371"/>
      <c r="J1840" s="371"/>
      <c r="K1840" s="371"/>
      <c r="L1840" s="368"/>
      <c r="M1840" s="359"/>
      <c r="N1840" s="400"/>
      <c r="O1840" s="368"/>
      <c r="P1840" s="226">
        <v>44076</v>
      </c>
      <c r="Q1840" s="371"/>
      <c r="R1840" s="186">
        <v>44076</v>
      </c>
      <c r="T1840" s="200">
        <v>1</v>
      </c>
    </row>
    <row r="1841" spans="1:20" ht="15" customHeight="1" thickBot="1" x14ac:dyDescent="0.35">
      <c r="A1841" s="372"/>
      <c r="B1841" s="372"/>
      <c r="C1841" s="39">
        <v>13126</v>
      </c>
      <c r="D1841" s="372"/>
      <c r="E1841" s="372"/>
      <c r="F1841" s="372"/>
      <c r="G1841" s="372"/>
      <c r="H1841" s="372"/>
      <c r="I1841" s="372"/>
      <c r="J1841" s="372"/>
      <c r="K1841" s="372"/>
      <c r="L1841" s="369"/>
      <c r="M1841" s="360"/>
      <c r="N1841" s="401"/>
      <c r="O1841" s="369"/>
      <c r="P1841" s="239"/>
      <c r="Q1841" s="372"/>
    </row>
    <row r="1842" spans="1:20" ht="15" hidden="1" customHeight="1" x14ac:dyDescent="0.3">
      <c r="A1842" s="370">
        <v>472</v>
      </c>
      <c r="B1842" s="370" t="s">
        <v>64</v>
      </c>
      <c r="C1842" s="37">
        <v>-14887</v>
      </c>
      <c r="D1842" s="370">
        <v>1</v>
      </c>
      <c r="E1842" s="370" t="s">
        <v>201</v>
      </c>
      <c r="F1842" s="370">
        <v>600</v>
      </c>
      <c r="G1842" s="370">
        <v>600</v>
      </c>
      <c r="H1842" s="370" t="s">
        <v>12</v>
      </c>
      <c r="I1842" s="370">
        <v>300</v>
      </c>
      <c r="J1842" s="370" t="s">
        <v>45</v>
      </c>
      <c r="K1842" s="370">
        <v>90</v>
      </c>
      <c r="L1842" s="367">
        <v>24</v>
      </c>
      <c r="M1842" s="358" t="s">
        <v>14</v>
      </c>
      <c r="N1842" s="399" t="s">
        <v>338</v>
      </c>
      <c r="O1842" s="367" t="s">
        <v>27</v>
      </c>
      <c r="P1842" s="65"/>
      <c r="Q1842" s="367" t="s">
        <v>358</v>
      </c>
      <c r="T1842" s="200">
        <v>1</v>
      </c>
    </row>
    <row r="1843" spans="1:20" ht="15" customHeight="1" x14ac:dyDescent="0.3">
      <c r="A1843" s="371"/>
      <c r="B1843" s="371"/>
      <c r="C1843" s="38">
        <v>-11340</v>
      </c>
      <c r="D1843" s="371"/>
      <c r="E1843" s="371"/>
      <c r="F1843" s="371"/>
      <c r="G1843" s="371"/>
      <c r="H1843" s="371"/>
      <c r="I1843" s="371"/>
      <c r="J1843" s="371"/>
      <c r="K1843" s="371"/>
      <c r="L1843" s="368"/>
      <c r="M1843" s="359"/>
      <c r="N1843" s="400"/>
      <c r="O1843" s="368"/>
      <c r="P1843" s="226">
        <v>44066</v>
      </c>
      <c r="Q1843" s="368"/>
    </row>
    <row r="1844" spans="1:20" ht="15" customHeight="1" thickBot="1" x14ac:dyDescent="0.35">
      <c r="A1844" s="372"/>
      <c r="B1844" s="372"/>
      <c r="C1844" s="39">
        <v>10634</v>
      </c>
      <c r="D1844" s="372"/>
      <c r="E1844" s="372"/>
      <c r="F1844" s="372"/>
      <c r="G1844" s="372"/>
      <c r="H1844" s="372"/>
      <c r="I1844" s="372"/>
      <c r="J1844" s="372"/>
      <c r="K1844" s="372"/>
      <c r="L1844" s="369"/>
      <c r="M1844" s="360"/>
      <c r="N1844" s="401"/>
      <c r="O1844" s="369"/>
      <c r="P1844" s="67"/>
      <c r="Q1844" s="369"/>
    </row>
    <row r="1845" spans="1:20" ht="15" hidden="1" customHeight="1" x14ac:dyDescent="0.3">
      <c r="A1845" s="370">
        <v>473</v>
      </c>
      <c r="B1845" s="370" t="s">
        <v>64</v>
      </c>
      <c r="C1845" s="37">
        <v>-12545</v>
      </c>
      <c r="D1845" s="370">
        <v>1</v>
      </c>
      <c r="E1845" s="370" t="s">
        <v>66</v>
      </c>
      <c r="F1845" s="370">
        <v>600</v>
      </c>
      <c r="G1845" s="370">
        <v>600</v>
      </c>
      <c r="H1845" s="370" t="s">
        <v>44</v>
      </c>
      <c r="I1845" s="370">
        <v>300</v>
      </c>
      <c r="J1845" s="370" t="s">
        <v>45</v>
      </c>
      <c r="K1845" s="370">
        <v>40</v>
      </c>
      <c r="L1845" s="367">
        <v>48</v>
      </c>
      <c r="M1845" s="358" t="s">
        <v>14</v>
      </c>
      <c r="N1845" s="399" t="s">
        <v>338</v>
      </c>
      <c r="O1845" s="367" t="s">
        <v>27</v>
      </c>
      <c r="P1845" s="237"/>
      <c r="Q1845" s="367" t="s">
        <v>359</v>
      </c>
    </row>
    <row r="1846" spans="1:20" ht="15" customHeight="1" x14ac:dyDescent="0.3">
      <c r="A1846" s="371"/>
      <c r="B1846" s="371"/>
      <c r="C1846" s="38">
        <v>-9699</v>
      </c>
      <c r="D1846" s="371"/>
      <c r="E1846" s="371"/>
      <c r="F1846" s="371"/>
      <c r="G1846" s="371"/>
      <c r="H1846" s="371"/>
      <c r="I1846" s="371"/>
      <c r="J1846" s="371"/>
      <c r="K1846" s="371"/>
      <c r="L1846" s="368"/>
      <c r="M1846" s="359"/>
      <c r="N1846" s="400"/>
      <c r="O1846" s="368"/>
      <c r="P1846" s="226">
        <v>44076</v>
      </c>
      <c r="Q1846" s="368"/>
      <c r="R1846" s="186">
        <v>44076</v>
      </c>
      <c r="T1846" s="200">
        <v>1</v>
      </c>
    </row>
    <row r="1847" spans="1:20" ht="15" customHeight="1" thickBot="1" x14ac:dyDescent="0.35">
      <c r="A1847" s="372"/>
      <c r="B1847" s="372"/>
      <c r="C1847" s="39">
        <v>12815</v>
      </c>
      <c r="D1847" s="372"/>
      <c r="E1847" s="372"/>
      <c r="F1847" s="372"/>
      <c r="G1847" s="372"/>
      <c r="H1847" s="372"/>
      <c r="I1847" s="372"/>
      <c r="J1847" s="372"/>
      <c r="K1847" s="372"/>
      <c r="L1847" s="369"/>
      <c r="M1847" s="360"/>
      <c r="N1847" s="401"/>
      <c r="O1847" s="369"/>
      <c r="P1847" s="239"/>
      <c r="Q1847" s="369"/>
    </row>
    <row r="1848" spans="1:20" ht="15" customHeight="1" thickBot="1" x14ac:dyDescent="0.35">
      <c r="A1848" s="352" t="s">
        <v>82</v>
      </c>
      <c r="B1848" s="353"/>
      <c r="C1848" s="353"/>
      <c r="D1848" s="353"/>
      <c r="E1848" s="353"/>
      <c r="F1848" s="353"/>
      <c r="G1848" s="353"/>
      <c r="H1848" s="353"/>
      <c r="I1848" s="353"/>
      <c r="J1848" s="353"/>
      <c r="K1848" s="353"/>
      <c r="L1848" s="353"/>
      <c r="M1848" s="353"/>
      <c r="N1848" s="353"/>
      <c r="O1848" s="353"/>
      <c r="P1848" s="353"/>
      <c r="Q1848" s="354"/>
    </row>
    <row r="1849" spans="1:20" ht="15" hidden="1" customHeight="1" x14ac:dyDescent="0.3">
      <c r="A1849" s="367">
        <v>474</v>
      </c>
      <c r="B1849" s="367" t="s">
        <v>233</v>
      </c>
      <c r="C1849" s="40">
        <v>-4790</v>
      </c>
      <c r="D1849" s="367">
        <v>1</v>
      </c>
      <c r="E1849" s="367" t="s">
        <v>94</v>
      </c>
      <c r="F1849" s="367">
        <v>1450</v>
      </c>
      <c r="G1849" s="367">
        <v>1020</v>
      </c>
      <c r="H1849" s="367" t="s">
        <v>25</v>
      </c>
      <c r="I1849" s="367">
        <v>100</v>
      </c>
      <c r="J1849" s="370" t="s">
        <v>45</v>
      </c>
      <c r="K1849" s="367">
        <v>30</v>
      </c>
      <c r="L1849" s="367">
        <v>-23</v>
      </c>
      <c r="M1849" s="358" t="s">
        <v>14</v>
      </c>
      <c r="N1849" s="396" t="s">
        <v>360</v>
      </c>
      <c r="O1849" s="367" t="s">
        <v>27</v>
      </c>
      <c r="P1849" s="65"/>
      <c r="Q1849" s="367" t="s">
        <v>243</v>
      </c>
      <c r="T1849" s="200">
        <v>1</v>
      </c>
    </row>
    <row r="1850" spans="1:20" ht="15" customHeight="1" x14ac:dyDescent="0.3">
      <c r="A1850" s="368"/>
      <c r="B1850" s="368"/>
      <c r="C1850" s="41">
        <v>18700</v>
      </c>
      <c r="D1850" s="368"/>
      <c r="E1850" s="368"/>
      <c r="F1850" s="368"/>
      <c r="G1850" s="368"/>
      <c r="H1850" s="368"/>
      <c r="I1850" s="368"/>
      <c r="J1850" s="371"/>
      <c r="K1850" s="368"/>
      <c r="L1850" s="368"/>
      <c r="M1850" s="359"/>
      <c r="N1850" s="397"/>
      <c r="O1850" s="368"/>
      <c r="P1850" s="66"/>
      <c r="Q1850" s="368"/>
    </row>
    <row r="1851" spans="1:20" ht="15" customHeight="1" thickBot="1" x14ac:dyDescent="0.35">
      <c r="A1851" s="369"/>
      <c r="B1851" s="369"/>
      <c r="C1851" s="42">
        <v>14082</v>
      </c>
      <c r="D1851" s="369"/>
      <c r="E1851" s="369"/>
      <c r="F1851" s="369"/>
      <c r="G1851" s="369"/>
      <c r="H1851" s="369"/>
      <c r="I1851" s="369"/>
      <c r="J1851" s="372"/>
      <c r="K1851" s="369"/>
      <c r="L1851" s="369"/>
      <c r="M1851" s="360"/>
      <c r="N1851" s="398"/>
      <c r="O1851" s="369"/>
      <c r="P1851" s="227">
        <v>44066</v>
      </c>
      <c r="Q1851" s="369"/>
    </row>
    <row r="1852" spans="1:20" ht="15" hidden="1" customHeight="1" x14ac:dyDescent="0.3">
      <c r="A1852" s="367">
        <v>475</v>
      </c>
      <c r="B1852" s="367" t="s">
        <v>233</v>
      </c>
      <c r="C1852" s="40">
        <v>-4790</v>
      </c>
      <c r="D1852" s="367">
        <v>1</v>
      </c>
      <c r="E1852" s="367" t="s">
        <v>94</v>
      </c>
      <c r="F1852" s="367">
        <v>1450</v>
      </c>
      <c r="G1852" s="367">
        <v>1020</v>
      </c>
      <c r="H1852" s="367" t="s">
        <v>25</v>
      </c>
      <c r="I1852" s="367">
        <v>100</v>
      </c>
      <c r="J1852" s="370" t="s">
        <v>45</v>
      </c>
      <c r="K1852" s="367">
        <v>30</v>
      </c>
      <c r="L1852" s="367">
        <v>-23</v>
      </c>
      <c r="M1852" s="358" t="s">
        <v>14</v>
      </c>
      <c r="N1852" s="396" t="s">
        <v>360</v>
      </c>
      <c r="O1852" s="367" t="s">
        <v>27</v>
      </c>
      <c r="P1852" s="65"/>
      <c r="Q1852" s="367" t="s">
        <v>243</v>
      </c>
      <c r="T1852" s="200">
        <v>1</v>
      </c>
    </row>
    <row r="1853" spans="1:20" ht="15" customHeight="1" x14ac:dyDescent="0.3">
      <c r="A1853" s="368"/>
      <c r="B1853" s="368"/>
      <c r="C1853" s="41">
        <v>18300</v>
      </c>
      <c r="D1853" s="368"/>
      <c r="E1853" s="368"/>
      <c r="F1853" s="368"/>
      <c r="G1853" s="368"/>
      <c r="H1853" s="368"/>
      <c r="I1853" s="368"/>
      <c r="J1853" s="371"/>
      <c r="K1853" s="368"/>
      <c r="L1853" s="368"/>
      <c r="M1853" s="359"/>
      <c r="N1853" s="397"/>
      <c r="O1853" s="368"/>
      <c r="P1853" s="226">
        <v>44066</v>
      </c>
      <c r="Q1853" s="368"/>
    </row>
    <row r="1854" spans="1:20" ht="15" customHeight="1" thickBot="1" x14ac:dyDescent="0.35">
      <c r="A1854" s="369"/>
      <c r="B1854" s="369"/>
      <c r="C1854" s="42">
        <v>14082</v>
      </c>
      <c r="D1854" s="369"/>
      <c r="E1854" s="369"/>
      <c r="F1854" s="369"/>
      <c r="G1854" s="369"/>
      <c r="H1854" s="369"/>
      <c r="I1854" s="369"/>
      <c r="J1854" s="372"/>
      <c r="K1854" s="369"/>
      <c r="L1854" s="369"/>
      <c r="M1854" s="360"/>
      <c r="N1854" s="398"/>
      <c r="O1854" s="369"/>
      <c r="P1854" s="67"/>
      <c r="Q1854" s="369"/>
    </row>
    <row r="1855" spans="1:20" ht="15" hidden="1" customHeight="1" x14ac:dyDescent="0.3">
      <c r="A1855" s="370">
        <v>476</v>
      </c>
      <c r="B1855" s="370" t="s">
        <v>179</v>
      </c>
      <c r="C1855" s="37">
        <v>-4790</v>
      </c>
      <c r="D1855" s="370">
        <v>1</v>
      </c>
      <c r="E1855" s="370" t="s">
        <v>66</v>
      </c>
      <c r="F1855" s="367">
        <v>1450</v>
      </c>
      <c r="G1855" s="367">
        <v>1020</v>
      </c>
      <c r="H1855" s="370" t="s">
        <v>25</v>
      </c>
      <c r="I1855" s="370">
        <v>60</v>
      </c>
      <c r="J1855" s="370" t="s">
        <v>361</v>
      </c>
      <c r="K1855" s="370">
        <v>30</v>
      </c>
      <c r="L1855" s="367">
        <v>34.5</v>
      </c>
      <c r="M1855" s="358" t="s">
        <v>14</v>
      </c>
      <c r="N1855" s="399" t="s">
        <v>360</v>
      </c>
      <c r="O1855" s="367" t="s">
        <v>27</v>
      </c>
      <c r="P1855" s="65"/>
      <c r="Q1855" s="367" t="s">
        <v>362</v>
      </c>
    </row>
    <row r="1856" spans="1:20" ht="15" customHeight="1" x14ac:dyDescent="0.3">
      <c r="A1856" s="371"/>
      <c r="B1856" s="371"/>
      <c r="C1856" s="38">
        <v>17900</v>
      </c>
      <c r="D1856" s="371"/>
      <c r="E1856" s="371"/>
      <c r="F1856" s="368"/>
      <c r="G1856" s="368"/>
      <c r="H1856" s="371"/>
      <c r="I1856" s="371"/>
      <c r="J1856" s="371"/>
      <c r="K1856" s="371"/>
      <c r="L1856" s="368"/>
      <c r="M1856" s="359"/>
      <c r="N1856" s="400"/>
      <c r="O1856" s="368"/>
      <c r="P1856" s="226">
        <v>44066</v>
      </c>
      <c r="Q1856" s="368"/>
    </row>
    <row r="1857" spans="1:20" ht="15" customHeight="1" thickBot="1" x14ac:dyDescent="0.35">
      <c r="A1857" s="372"/>
      <c r="B1857" s="372"/>
      <c r="C1857" s="39">
        <v>14082</v>
      </c>
      <c r="D1857" s="372"/>
      <c r="E1857" s="372"/>
      <c r="F1857" s="369"/>
      <c r="G1857" s="369"/>
      <c r="H1857" s="372"/>
      <c r="I1857" s="372"/>
      <c r="J1857" s="372"/>
      <c r="K1857" s="372"/>
      <c r="L1857" s="369"/>
      <c r="M1857" s="360"/>
      <c r="N1857" s="401"/>
      <c r="O1857" s="369"/>
      <c r="P1857" s="67"/>
      <c r="Q1857" s="369"/>
      <c r="T1857" s="200">
        <v>1</v>
      </c>
    </row>
    <row r="1858" spans="1:20" ht="15" hidden="1" customHeight="1" x14ac:dyDescent="0.3">
      <c r="A1858" s="367">
        <v>477</v>
      </c>
      <c r="B1858" s="367" t="s">
        <v>174</v>
      </c>
      <c r="C1858" s="40">
        <v>-4790</v>
      </c>
      <c r="D1858" s="370">
        <v>0</v>
      </c>
      <c r="E1858" s="367" t="s">
        <v>13</v>
      </c>
      <c r="F1858" s="367">
        <v>1450</v>
      </c>
      <c r="G1858" s="367">
        <v>1020</v>
      </c>
      <c r="H1858" s="367" t="s">
        <v>25</v>
      </c>
      <c r="I1858" s="367" t="s">
        <v>13</v>
      </c>
      <c r="J1858" s="367" t="s">
        <v>13</v>
      </c>
      <c r="K1858" s="367" t="s">
        <v>13</v>
      </c>
      <c r="L1858" s="367" t="s">
        <v>13</v>
      </c>
      <c r="M1858" s="358" t="s">
        <v>14</v>
      </c>
      <c r="N1858" s="396" t="s">
        <v>360</v>
      </c>
      <c r="O1858" s="367" t="s">
        <v>27</v>
      </c>
      <c r="P1858" s="65"/>
      <c r="Q1858" s="367" t="s">
        <v>176</v>
      </c>
    </row>
    <row r="1859" spans="1:20" ht="15" customHeight="1" x14ac:dyDescent="0.3">
      <c r="A1859" s="368"/>
      <c r="B1859" s="368"/>
      <c r="C1859" s="41">
        <v>17500</v>
      </c>
      <c r="D1859" s="371"/>
      <c r="E1859" s="368"/>
      <c r="F1859" s="368"/>
      <c r="G1859" s="368"/>
      <c r="H1859" s="368"/>
      <c r="I1859" s="368"/>
      <c r="J1859" s="368"/>
      <c r="K1859" s="368"/>
      <c r="L1859" s="368"/>
      <c r="M1859" s="359"/>
      <c r="N1859" s="397"/>
      <c r="O1859" s="368"/>
      <c r="P1859" s="226">
        <v>44066</v>
      </c>
      <c r="Q1859" s="368"/>
    </row>
    <row r="1860" spans="1:20" ht="15" customHeight="1" thickBot="1" x14ac:dyDescent="0.35">
      <c r="A1860" s="369"/>
      <c r="B1860" s="369"/>
      <c r="C1860" s="42">
        <v>14082</v>
      </c>
      <c r="D1860" s="372"/>
      <c r="E1860" s="369"/>
      <c r="F1860" s="369"/>
      <c r="G1860" s="369"/>
      <c r="H1860" s="369"/>
      <c r="I1860" s="369"/>
      <c r="J1860" s="369"/>
      <c r="K1860" s="369"/>
      <c r="L1860" s="369"/>
      <c r="M1860" s="360"/>
      <c r="N1860" s="398"/>
      <c r="O1860" s="369"/>
      <c r="P1860" s="67"/>
      <c r="Q1860" s="369"/>
      <c r="T1860" s="200">
        <v>1</v>
      </c>
    </row>
    <row r="1861" spans="1:20" ht="15" hidden="1" customHeight="1" x14ac:dyDescent="0.3">
      <c r="A1861" s="367">
        <v>478</v>
      </c>
      <c r="B1861" s="367" t="s">
        <v>179</v>
      </c>
      <c r="C1861" s="40">
        <v>-4790</v>
      </c>
      <c r="D1861" s="367">
        <v>1</v>
      </c>
      <c r="E1861" s="370" t="s">
        <v>66</v>
      </c>
      <c r="F1861" s="367">
        <v>1450</v>
      </c>
      <c r="G1861" s="367">
        <v>1020</v>
      </c>
      <c r="H1861" s="367" t="s">
        <v>25</v>
      </c>
      <c r="I1861" s="370">
        <v>60</v>
      </c>
      <c r="J1861" s="370" t="s">
        <v>363</v>
      </c>
      <c r="K1861" s="370">
        <v>30</v>
      </c>
      <c r="L1861" s="367">
        <v>34.5</v>
      </c>
      <c r="M1861" s="358" t="s">
        <v>14</v>
      </c>
      <c r="N1861" s="396" t="s">
        <v>360</v>
      </c>
      <c r="O1861" s="367" t="s">
        <v>27</v>
      </c>
      <c r="P1861" s="65"/>
      <c r="Q1861" s="367" t="s">
        <v>362</v>
      </c>
    </row>
    <row r="1862" spans="1:20" ht="15" customHeight="1" x14ac:dyDescent="0.3">
      <c r="A1862" s="368"/>
      <c r="B1862" s="368"/>
      <c r="C1862" s="41">
        <v>13900</v>
      </c>
      <c r="D1862" s="368"/>
      <c r="E1862" s="371"/>
      <c r="F1862" s="368"/>
      <c r="G1862" s="368"/>
      <c r="H1862" s="368"/>
      <c r="I1862" s="371"/>
      <c r="J1862" s="371"/>
      <c r="K1862" s="371"/>
      <c r="L1862" s="368"/>
      <c r="M1862" s="359"/>
      <c r="N1862" s="397"/>
      <c r="O1862" s="368"/>
      <c r="P1862" s="226">
        <v>44066</v>
      </c>
      <c r="Q1862" s="368"/>
      <c r="T1862" s="200">
        <v>1</v>
      </c>
    </row>
    <row r="1863" spans="1:20" ht="15" customHeight="1" thickBot="1" x14ac:dyDescent="0.35">
      <c r="A1863" s="369"/>
      <c r="B1863" s="369"/>
      <c r="C1863" s="42">
        <v>14082</v>
      </c>
      <c r="D1863" s="369"/>
      <c r="E1863" s="372"/>
      <c r="F1863" s="369"/>
      <c r="G1863" s="369"/>
      <c r="H1863" s="369"/>
      <c r="I1863" s="372"/>
      <c r="J1863" s="372"/>
      <c r="K1863" s="372"/>
      <c r="L1863" s="369"/>
      <c r="M1863" s="360"/>
      <c r="N1863" s="398"/>
      <c r="O1863" s="369"/>
      <c r="P1863" s="67"/>
      <c r="Q1863" s="369"/>
    </row>
    <row r="1864" spans="1:20" ht="15" hidden="1" customHeight="1" x14ac:dyDescent="0.3">
      <c r="A1864" s="367">
        <v>479</v>
      </c>
      <c r="B1864" s="367" t="s">
        <v>230</v>
      </c>
      <c r="C1864" s="40">
        <v>-4790</v>
      </c>
      <c r="D1864" s="367">
        <v>1</v>
      </c>
      <c r="E1864" s="367" t="s">
        <v>161</v>
      </c>
      <c r="F1864" s="367">
        <v>1450</v>
      </c>
      <c r="G1864" s="367">
        <v>1020</v>
      </c>
      <c r="H1864" s="367" t="s">
        <v>25</v>
      </c>
      <c r="I1864" s="367">
        <v>150</v>
      </c>
      <c r="J1864" s="370" t="s">
        <v>45</v>
      </c>
      <c r="K1864" s="367">
        <v>40</v>
      </c>
      <c r="L1864" s="367">
        <v>17.5</v>
      </c>
      <c r="M1864" s="358" t="s">
        <v>14</v>
      </c>
      <c r="N1864" s="396" t="s">
        <v>360</v>
      </c>
      <c r="O1864" s="367" t="s">
        <v>27</v>
      </c>
      <c r="P1864" s="322"/>
      <c r="Q1864" s="367" t="s">
        <v>364</v>
      </c>
    </row>
    <row r="1865" spans="1:20" ht="15" customHeight="1" x14ac:dyDescent="0.3">
      <c r="A1865" s="368"/>
      <c r="B1865" s="368"/>
      <c r="C1865" s="40">
        <v>13500</v>
      </c>
      <c r="D1865" s="368"/>
      <c r="E1865" s="368"/>
      <c r="F1865" s="368"/>
      <c r="G1865" s="368"/>
      <c r="H1865" s="368"/>
      <c r="I1865" s="368"/>
      <c r="J1865" s="371"/>
      <c r="K1865" s="368"/>
      <c r="L1865" s="368"/>
      <c r="M1865" s="359"/>
      <c r="N1865" s="397"/>
      <c r="O1865" s="368"/>
      <c r="P1865" s="226">
        <v>44097</v>
      </c>
      <c r="Q1865" s="368"/>
      <c r="T1865" s="200">
        <v>1</v>
      </c>
    </row>
    <row r="1866" spans="1:20" ht="15" customHeight="1" thickBot="1" x14ac:dyDescent="0.35">
      <c r="A1866" s="369"/>
      <c r="B1866" s="369"/>
      <c r="C1866" s="42">
        <v>14082</v>
      </c>
      <c r="D1866" s="369"/>
      <c r="E1866" s="369"/>
      <c r="F1866" s="369"/>
      <c r="G1866" s="369"/>
      <c r="H1866" s="369"/>
      <c r="I1866" s="369"/>
      <c r="J1866" s="372"/>
      <c r="K1866" s="369"/>
      <c r="L1866" s="369"/>
      <c r="M1866" s="360"/>
      <c r="N1866" s="398"/>
      <c r="O1866" s="369"/>
      <c r="P1866" s="323"/>
      <c r="Q1866" s="369"/>
    </row>
    <row r="1867" spans="1:20" ht="15" hidden="1" customHeight="1" x14ac:dyDescent="0.3">
      <c r="A1867" s="367">
        <v>480</v>
      </c>
      <c r="B1867" s="367" t="s">
        <v>174</v>
      </c>
      <c r="C1867" s="40">
        <v>-10490</v>
      </c>
      <c r="D1867" s="370">
        <v>0</v>
      </c>
      <c r="E1867" s="367" t="s">
        <v>13</v>
      </c>
      <c r="F1867" s="367">
        <v>1450</v>
      </c>
      <c r="G1867" s="367">
        <v>1020</v>
      </c>
      <c r="H1867" s="367" t="s">
        <v>25</v>
      </c>
      <c r="I1867" s="367" t="s">
        <v>13</v>
      </c>
      <c r="J1867" s="367" t="s">
        <v>13</v>
      </c>
      <c r="K1867" s="367" t="s">
        <v>13</v>
      </c>
      <c r="L1867" s="367" t="s">
        <v>13</v>
      </c>
      <c r="M1867" s="358" t="s">
        <v>14</v>
      </c>
      <c r="N1867" s="396" t="s">
        <v>360</v>
      </c>
      <c r="O1867" s="367" t="s">
        <v>27</v>
      </c>
      <c r="P1867" s="65"/>
      <c r="Q1867" s="367" t="s">
        <v>176</v>
      </c>
      <c r="T1867" s="200">
        <v>1</v>
      </c>
    </row>
    <row r="1868" spans="1:20" ht="15" customHeight="1" x14ac:dyDescent="0.3">
      <c r="A1868" s="368"/>
      <c r="B1868" s="368"/>
      <c r="C1868" s="41">
        <v>15000</v>
      </c>
      <c r="D1868" s="371"/>
      <c r="E1868" s="368"/>
      <c r="F1868" s="368"/>
      <c r="G1868" s="368"/>
      <c r="H1868" s="368"/>
      <c r="I1868" s="368"/>
      <c r="J1868" s="368"/>
      <c r="K1868" s="368"/>
      <c r="L1868" s="368"/>
      <c r="M1868" s="359"/>
      <c r="N1868" s="397"/>
      <c r="O1868" s="368"/>
      <c r="P1868" s="226">
        <v>44066</v>
      </c>
      <c r="Q1868" s="368"/>
    </row>
    <row r="1869" spans="1:20" ht="15" customHeight="1" thickBot="1" x14ac:dyDescent="0.35">
      <c r="A1869" s="369"/>
      <c r="B1869" s="369"/>
      <c r="C1869" s="42">
        <v>14082</v>
      </c>
      <c r="D1869" s="372"/>
      <c r="E1869" s="369"/>
      <c r="F1869" s="369"/>
      <c r="G1869" s="369"/>
      <c r="H1869" s="369"/>
      <c r="I1869" s="369"/>
      <c r="J1869" s="369"/>
      <c r="K1869" s="369"/>
      <c r="L1869" s="369"/>
      <c r="M1869" s="360"/>
      <c r="N1869" s="398"/>
      <c r="O1869" s="369"/>
      <c r="P1869" s="67"/>
      <c r="Q1869" s="369"/>
    </row>
    <row r="1870" spans="1:20" ht="15" hidden="1" customHeight="1" x14ac:dyDescent="0.3">
      <c r="A1870" s="367">
        <v>481</v>
      </c>
      <c r="B1870" s="367" t="s">
        <v>179</v>
      </c>
      <c r="C1870" s="40">
        <v>-10490</v>
      </c>
      <c r="D1870" s="367">
        <v>1</v>
      </c>
      <c r="E1870" s="367" t="s">
        <v>161</v>
      </c>
      <c r="F1870" s="367">
        <v>1450</v>
      </c>
      <c r="G1870" s="367">
        <v>1020</v>
      </c>
      <c r="H1870" s="367" t="s">
        <v>25</v>
      </c>
      <c r="I1870" s="367">
        <v>150</v>
      </c>
      <c r="J1870" s="370" t="s">
        <v>45</v>
      </c>
      <c r="K1870" s="367">
        <v>40</v>
      </c>
      <c r="L1870" s="367">
        <v>17.5</v>
      </c>
      <c r="M1870" s="358" t="s">
        <v>14</v>
      </c>
      <c r="N1870" s="396" t="s">
        <v>360</v>
      </c>
      <c r="O1870" s="367" t="s">
        <v>27</v>
      </c>
      <c r="P1870" s="65"/>
      <c r="Q1870" s="367" t="s">
        <v>364</v>
      </c>
    </row>
    <row r="1871" spans="1:20" ht="15" customHeight="1" x14ac:dyDescent="0.3">
      <c r="A1871" s="368"/>
      <c r="B1871" s="368"/>
      <c r="C1871" s="41">
        <v>15400</v>
      </c>
      <c r="D1871" s="368"/>
      <c r="E1871" s="368"/>
      <c r="F1871" s="368"/>
      <c r="G1871" s="368"/>
      <c r="H1871" s="368"/>
      <c r="I1871" s="368"/>
      <c r="J1871" s="371"/>
      <c r="K1871" s="368"/>
      <c r="L1871" s="368"/>
      <c r="M1871" s="359"/>
      <c r="N1871" s="397"/>
      <c r="O1871" s="368"/>
      <c r="P1871" s="226">
        <v>44066</v>
      </c>
      <c r="Q1871" s="368"/>
    </row>
    <row r="1872" spans="1:20" ht="15" customHeight="1" thickBot="1" x14ac:dyDescent="0.35">
      <c r="A1872" s="369"/>
      <c r="B1872" s="369"/>
      <c r="C1872" s="42">
        <v>14082</v>
      </c>
      <c r="D1872" s="369"/>
      <c r="E1872" s="369"/>
      <c r="F1872" s="369"/>
      <c r="G1872" s="369"/>
      <c r="H1872" s="369"/>
      <c r="I1872" s="369"/>
      <c r="J1872" s="372"/>
      <c r="K1872" s="369"/>
      <c r="L1872" s="369"/>
      <c r="M1872" s="360"/>
      <c r="N1872" s="398"/>
      <c r="O1872" s="369"/>
      <c r="P1872" s="67"/>
      <c r="Q1872" s="369"/>
      <c r="T1872" s="200">
        <v>1</v>
      </c>
    </row>
    <row r="1873" spans="1:20" ht="15" hidden="1" customHeight="1" x14ac:dyDescent="0.3">
      <c r="A1873" s="367">
        <v>482</v>
      </c>
      <c r="B1873" s="367" t="s">
        <v>174</v>
      </c>
      <c r="C1873" s="40">
        <v>-10490</v>
      </c>
      <c r="D1873" s="370">
        <v>0</v>
      </c>
      <c r="E1873" s="367" t="s">
        <v>13</v>
      </c>
      <c r="F1873" s="367">
        <v>1450</v>
      </c>
      <c r="G1873" s="367">
        <v>1020</v>
      </c>
      <c r="H1873" s="367" t="s">
        <v>25</v>
      </c>
      <c r="I1873" s="367" t="s">
        <v>13</v>
      </c>
      <c r="J1873" s="370" t="s">
        <v>13</v>
      </c>
      <c r="K1873" s="367" t="s">
        <v>13</v>
      </c>
      <c r="L1873" s="367" t="s">
        <v>13</v>
      </c>
      <c r="M1873" s="358" t="s">
        <v>14</v>
      </c>
      <c r="N1873" s="396" t="s">
        <v>360</v>
      </c>
      <c r="O1873" s="367" t="s">
        <v>27</v>
      </c>
      <c r="P1873" s="65"/>
      <c r="Q1873" s="367" t="s">
        <v>176</v>
      </c>
    </row>
    <row r="1874" spans="1:20" ht="15" customHeight="1" x14ac:dyDescent="0.3">
      <c r="A1874" s="368"/>
      <c r="B1874" s="368"/>
      <c r="C1874" s="41">
        <v>15800</v>
      </c>
      <c r="D1874" s="371"/>
      <c r="E1874" s="368"/>
      <c r="F1874" s="368"/>
      <c r="G1874" s="368"/>
      <c r="H1874" s="368"/>
      <c r="I1874" s="368"/>
      <c r="J1874" s="371"/>
      <c r="K1874" s="368"/>
      <c r="L1874" s="368"/>
      <c r="M1874" s="359"/>
      <c r="N1874" s="397"/>
      <c r="O1874" s="368"/>
      <c r="P1874" s="226">
        <v>44066</v>
      </c>
      <c r="Q1874" s="368"/>
    </row>
    <row r="1875" spans="1:20" ht="15" customHeight="1" thickBot="1" x14ac:dyDescent="0.35">
      <c r="A1875" s="369"/>
      <c r="B1875" s="369"/>
      <c r="C1875" s="42">
        <v>14082</v>
      </c>
      <c r="D1875" s="372"/>
      <c r="E1875" s="369"/>
      <c r="F1875" s="369"/>
      <c r="G1875" s="369"/>
      <c r="H1875" s="369"/>
      <c r="I1875" s="369"/>
      <c r="J1875" s="372"/>
      <c r="K1875" s="369"/>
      <c r="L1875" s="369"/>
      <c r="M1875" s="360"/>
      <c r="N1875" s="398"/>
      <c r="O1875" s="369"/>
      <c r="P1875" s="67"/>
      <c r="Q1875" s="369"/>
      <c r="T1875" s="200">
        <v>1</v>
      </c>
    </row>
    <row r="1876" spans="1:20" ht="15" hidden="1" customHeight="1" x14ac:dyDescent="0.3">
      <c r="A1876" s="367">
        <v>483</v>
      </c>
      <c r="B1876" s="367" t="s">
        <v>174</v>
      </c>
      <c r="C1876" s="40">
        <v>10490</v>
      </c>
      <c r="D1876" s="370">
        <v>0</v>
      </c>
      <c r="E1876" s="367" t="s">
        <v>13</v>
      </c>
      <c r="F1876" s="367">
        <v>1450</v>
      </c>
      <c r="G1876" s="367">
        <v>1200</v>
      </c>
      <c r="H1876" s="367" t="s">
        <v>25</v>
      </c>
      <c r="I1876" s="367" t="s">
        <v>13</v>
      </c>
      <c r="J1876" s="367" t="s">
        <v>13</v>
      </c>
      <c r="K1876" s="367" t="s">
        <v>13</v>
      </c>
      <c r="L1876" s="367" t="s">
        <v>13</v>
      </c>
      <c r="M1876" s="358" t="s">
        <v>14</v>
      </c>
      <c r="N1876" s="396" t="s">
        <v>365</v>
      </c>
      <c r="O1876" s="367" t="s">
        <v>27</v>
      </c>
      <c r="P1876" s="65"/>
      <c r="Q1876" s="367" t="s">
        <v>176</v>
      </c>
    </row>
    <row r="1877" spans="1:20" ht="15" customHeight="1" x14ac:dyDescent="0.3">
      <c r="A1877" s="368"/>
      <c r="B1877" s="368"/>
      <c r="C1877" s="41">
        <v>-15030</v>
      </c>
      <c r="D1877" s="371"/>
      <c r="E1877" s="368"/>
      <c r="F1877" s="368"/>
      <c r="G1877" s="368"/>
      <c r="H1877" s="368"/>
      <c r="I1877" s="368"/>
      <c r="J1877" s="368"/>
      <c r="K1877" s="368"/>
      <c r="L1877" s="368"/>
      <c r="M1877" s="359"/>
      <c r="N1877" s="397"/>
      <c r="O1877" s="368"/>
      <c r="P1877" s="226">
        <v>44066</v>
      </c>
      <c r="Q1877" s="368"/>
      <c r="T1877" s="200">
        <v>1</v>
      </c>
    </row>
    <row r="1878" spans="1:20" ht="15" customHeight="1" thickBot="1" x14ac:dyDescent="0.35">
      <c r="A1878" s="369"/>
      <c r="B1878" s="369"/>
      <c r="C1878" s="42">
        <v>14082</v>
      </c>
      <c r="D1878" s="372"/>
      <c r="E1878" s="369"/>
      <c r="F1878" s="369"/>
      <c r="G1878" s="369"/>
      <c r="H1878" s="369"/>
      <c r="I1878" s="369"/>
      <c r="J1878" s="369"/>
      <c r="K1878" s="369"/>
      <c r="L1878" s="369"/>
      <c r="M1878" s="360"/>
      <c r="N1878" s="398"/>
      <c r="O1878" s="369"/>
      <c r="P1878" s="67"/>
      <c r="Q1878" s="369"/>
    </row>
    <row r="1879" spans="1:20" ht="15" hidden="1" customHeight="1" x14ac:dyDescent="0.3">
      <c r="A1879" s="367">
        <v>484</v>
      </c>
      <c r="B1879" s="367" t="s">
        <v>179</v>
      </c>
      <c r="C1879" s="40">
        <v>10490</v>
      </c>
      <c r="D1879" s="367">
        <v>1</v>
      </c>
      <c r="E1879" s="367" t="s">
        <v>161</v>
      </c>
      <c r="F1879" s="367">
        <v>1450</v>
      </c>
      <c r="G1879" s="367">
        <v>1020</v>
      </c>
      <c r="H1879" s="367" t="s">
        <v>25</v>
      </c>
      <c r="I1879" s="367">
        <v>150</v>
      </c>
      <c r="J1879" s="370" t="s">
        <v>45</v>
      </c>
      <c r="K1879" s="367">
        <v>40</v>
      </c>
      <c r="L1879" s="367">
        <v>17.5</v>
      </c>
      <c r="M1879" s="358" t="s">
        <v>14</v>
      </c>
      <c r="N1879" s="396" t="s">
        <v>365</v>
      </c>
      <c r="O1879" s="367" t="s">
        <v>27</v>
      </c>
      <c r="P1879" s="65"/>
      <c r="Q1879" s="367" t="s">
        <v>364</v>
      </c>
    </row>
    <row r="1880" spans="1:20" ht="15" customHeight="1" x14ac:dyDescent="0.3">
      <c r="A1880" s="368"/>
      <c r="B1880" s="368"/>
      <c r="C1880" s="41">
        <v>-15430</v>
      </c>
      <c r="D1880" s="368"/>
      <c r="E1880" s="368"/>
      <c r="F1880" s="368"/>
      <c r="G1880" s="368"/>
      <c r="H1880" s="368"/>
      <c r="I1880" s="368"/>
      <c r="J1880" s="371"/>
      <c r="K1880" s="368"/>
      <c r="L1880" s="368"/>
      <c r="M1880" s="359"/>
      <c r="N1880" s="397"/>
      <c r="O1880" s="368"/>
      <c r="P1880" s="226">
        <v>44066</v>
      </c>
      <c r="Q1880" s="368"/>
      <c r="T1880" s="200">
        <v>1</v>
      </c>
    </row>
    <row r="1881" spans="1:20" ht="15" customHeight="1" thickBot="1" x14ac:dyDescent="0.35">
      <c r="A1881" s="369"/>
      <c r="B1881" s="369"/>
      <c r="C1881" s="42">
        <v>14082</v>
      </c>
      <c r="D1881" s="369"/>
      <c r="E1881" s="369"/>
      <c r="F1881" s="369"/>
      <c r="G1881" s="369"/>
      <c r="H1881" s="369"/>
      <c r="I1881" s="369"/>
      <c r="J1881" s="372"/>
      <c r="K1881" s="369"/>
      <c r="L1881" s="369"/>
      <c r="M1881" s="360"/>
      <c r="N1881" s="398"/>
      <c r="O1881" s="369"/>
      <c r="P1881" s="67"/>
      <c r="Q1881" s="369"/>
    </row>
    <row r="1882" spans="1:20" ht="15" hidden="1" customHeight="1" x14ac:dyDescent="0.3">
      <c r="A1882" s="370">
        <v>485</v>
      </c>
      <c r="B1882" s="370" t="s">
        <v>179</v>
      </c>
      <c r="C1882" s="37">
        <v>10490</v>
      </c>
      <c r="D1882" s="370">
        <v>1</v>
      </c>
      <c r="E1882" s="370" t="s">
        <v>161</v>
      </c>
      <c r="F1882" s="367">
        <v>1450</v>
      </c>
      <c r="G1882" s="367">
        <v>1020</v>
      </c>
      <c r="H1882" s="370" t="s">
        <v>25</v>
      </c>
      <c r="I1882" s="370">
        <v>60</v>
      </c>
      <c r="J1882" s="370" t="s">
        <v>366</v>
      </c>
      <c r="K1882" s="370">
        <v>30</v>
      </c>
      <c r="L1882" s="367">
        <v>27.5</v>
      </c>
      <c r="M1882" s="358" t="s">
        <v>14</v>
      </c>
      <c r="N1882" s="399" t="s">
        <v>365</v>
      </c>
      <c r="O1882" s="367" t="s">
        <v>27</v>
      </c>
      <c r="P1882" s="228">
        <v>44066</v>
      </c>
      <c r="Q1882" s="370" t="s">
        <v>301</v>
      </c>
      <c r="T1882" s="200">
        <v>1</v>
      </c>
    </row>
    <row r="1883" spans="1:20" ht="15" customHeight="1" x14ac:dyDescent="0.3">
      <c r="A1883" s="371"/>
      <c r="B1883" s="371"/>
      <c r="C1883" s="38">
        <v>-15830</v>
      </c>
      <c r="D1883" s="371"/>
      <c r="E1883" s="371"/>
      <c r="F1883" s="368"/>
      <c r="G1883" s="368"/>
      <c r="H1883" s="371"/>
      <c r="I1883" s="371"/>
      <c r="J1883" s="371"/>
      <c r="K1883" s="371"/>
      <c r="L1883" s="368"/>
      <c r="M1883" s="359"/>
      <c r="N1883" s="400"/>
      <c r="O1883" s="368"/>
      <c r="P1883" s="66"/>
      <c r="Q1883" s="371"/>
    </row>
    <row r="1884" spans="1:20" ht="15" customHeight="1" thickBot="1" x14ac:dyDescent="0.35">
      <c r="A1884" s="372"/>
      <c r="B1884" s="372"/>
      <c r="C1884" s="39">
        <v>14082</v>
      </c>
      <c r="D1884" s="372"/>
      <c r="E1884" s="372"/>
      <c r="F1884" s="369"/>
      <c r="G1884" s="369"/>
      <c r="H1884" s="372"/>
      <c r="I1884" s="372"/>
      <c r="J1884" s="372"/>
      <c r="K1884" s="372"/>
      <c r="L1884" s="369"/>
      <c r="M1884" s="360"/>
      <c r="N1884" s="401"/>
      <c r="O1884" s="369"/>
      <c r="P1884" s="67"/>
      <c r="Q1884" s="372"/>
    </row>
    <row r="1885" spans="1:20" ht="15" hidden="1" customHeight="1" x14ac:dyDescent="0.3">
      <c r="A1885" s="367">
        <v>486</v>
      </c>
      <c r="B1885" s="367" t="s">
        <v>191</v>
      </c>
      <c r="C1885" s="40">
        <v>4790</v>
      </c>
      <c r="D1885" s="367">
        <v>1</v>
      </c>
      <c r="E1885" s="367" t="s">
        <v>255</v>
      </c>
      <c r="F1885" s="367">
        <v>1450</v>
      </c>
      <c r="G1885" s="367">
        <v>1020</v>
      </c>
      <c r="H1885" s="367" t="s">
        <v>25</v>
      </c>
      <c r="I1885" s="367">
        <v>150</v>
      </c>
      <c r="J1885" s="370" t="s">
        <v>367</v>
      </c>
      <c r="K1885" s="367">
        <v>30</v>
      </c>
      <c r="L1885" s="367">
        <v>31</v>
      </c>
      <c r="M1885" s="358" t="s">
        <v>14</v>
      </c>
      <c r="N1885" s="396" t="s">
        <v>365</v>
      </c>
      <c r="O1885" s="367" t="s">
        <v>27</v>
      </c>
      <c r="P1885" s="65"/>
      <c r="Q1885" s="367" t="s">
        <v>368</v>
      </c>
      <c r="T1885" s="200">
        <v>1</v>
      </c>
    </row>
    <row r="1886" spans="1:20" ht="15" customHeight="1" x14ac:dyDescent="0.3">
      <c r="A1886" s="368"/>
      <c r="B1886" s="368"/>
      <c r="C1886" s="41">
        <v>-13900</v>
      </c>
      <c r="D1886" s="368"/>
      <c r="E1886" s="368"/>
      <c r="F1886" s="368"/>
      <c r="G1886" s="368"/>
      <c r="H1886" s="368"/>
      <c r="I1886" s="368"/>
      <c r="J1886" s="371"/>
      <c r="K1886" s="368"/>
      <c r="L1886" s="368"/>
      <c r="M1886" s="359"/>
      <c r="N1886" s="397"/>
      <c r="O1886" s="368"/>
      <c r="P1886" s="226">
        <v>44066</v>
      </c>
      <c r="Q1886" s="368"/>
    </row>
    <row r="1887" spans="1:20" ht="15" customHeight="1" thickBot="1" x14ac:dyDescent="0.35">
      <c r="A1887" s="369"/>
      <c r="B1887" s="369"/>
      <c r="C1887" s="42">
        <v>14082</v>
      </c>
      <c r="D1887" s="369"/>
      <c r="E1887" s="369"/>
      <c r="F1887" s="369"/>
      <c r="G1887" s="369"/>
      <c r="H1887" s="369"/>
      <c r="I1887" s="369"/>
      <c r="J1887" s="372"/>
      <c r="K1887" s="369"/>
      <c r="L1887" s="369"/>
      <c r="M1887" s="360"/>
      <c r="N1887" s="398"/>
      <c r="O1887" s="369"/>
      <c r="P1887" s="67"/>
      <c r="Q1887" s="369"/>
    </row>
    <row r="1888" spans="1:20" ht="15" hidden="1" customHeight="1" x14ac:dyDescent="0.3">
      <c r="A1888" s="367">
        <v>487</v>
      </c>
      <c r="B1888" s="367" t="s">
        <v>230</v>
      </c>
      <c r="C1888" s="40">
        <v>4790</v>
      </c>
      <c r="D1888" s="367">
        <v>1</v>
      </c>
      <c r="E1888" s="367" t="s">
        <v>161</v>
      </c>
      <c r="F1888" s="367">
        <v>1450</v>
      </c>
      <c r="G1888" s="367">
        <v>1020</v>
      </c>
      <c r="H1888" s="367" t="s">
        <v>25</v>
      </c>
      <c r="I1888" s="367">
        <v>150</v>
      </c>
      <c r="J1888" s="370" t="s">
        <v>45</v>
      </c>
      <c r="K1888" s="367">
        <v>40</v>
      </c>
      <c r="L1888" s="367">
        <v>17.5</v>
      </c>
      <c r="M1888" s="358" t="s">
        <v>14</v>
      </c>
      <c r="N1888" s="396" t="s">
        <v>365</v>
      </c>
      <c r="O1888" s="367" t="s">
        <v>27</v>
      </c>
      <c r="P1888" s="201"/>
      <c r="Q1888" s="367" t="s">
        <v>364</v>
      </c>
      <c r="R1888" s="186">
        <v>44066</v>
      </c>
    </row>
    <row r="1889" spans="1:20" ht="15" customHeight="1" x14ac:dyDescent="0.3">
      <c r="A1889" s="368"/>
      <c r="B1889" s="368"/>
      <c r="C1889" s="41">
        <v>-13500</v>
      </c>
      <c r="D1889" s="368"/>
      <c r="E1889" s="368"/>
      <c r="F1889" s="368"/>
      <c r="G1889" s="368"/>
      <c r="H1889" s="368"/>
      <c r="I1889" s="368"/>
      <c r="J1889" s="371"/>
      <c r="K1889" s="368"/>
      <c r="L1889" s="368"/>
      <c r="M1889" s="359"/>
      <c r="N1889" s="397"/>
      <c r="O1889" s="368"/>
      <c r="P1889" s="226">
        <v>44066</v>
      </c>
      <c r="Q1889" s="368"/>
      <c r="T1889" s="200">
        <v>1</v>
      </c>
    </row>
    <row r="1890" spans="1:20" ht="15" customHeight="1" thickBot="1" x14ac:dyDescent="0.35">
      <c r="A1890" s="369"/>
      <c r="B1890" s="369"/>
      <c r="C1890" s="42">
        <v>14082</v>
      </c>
      <c r="D1890" s="369"/>
      <c r="E1890" s="369"/>
      <c r="F1890" s="369"/>
      <c r="G1890" s="369"/>
      <c r="H1890" s="369"/>
      <c r="I1890" s="369"/>
      <c r="J1890" s="372"/>
      <c r="K1890" s="369"/>
      <c r="L1890" s="369"/>
      <c r="M1890" s="360"/>
      <c r="N1890" s="398"/>
      <c r="O1890" s="369"/>
      <c r="P1890" s="203"/>
      <c r="Q1890" s="369"/>
    </row>
    <row r="1891" spans="1:20" ht="15" hidden="1" customHeight="1" x14ac:dyDescent="0.3">
      <c r="A1891" s="367">
        <v>488</v>
      </c>
      <c r="B1891" s="367" t="s">
        <v>233</v>
      </c>
      <c r="C1891" s="40">
        <v>4790</v>
      </c>
      <c r="D1891" s="367">
        <v>1</v>
      </c>
      <c r="E1891" s="367" t="s">
        <v>50</v>
      </c>
      <c r="F1891" s="367">
        <v>1450</v>
      </c>
      <c r="G1891" s="367">
        <v>1020</v>
      </c>
      <c r="H1891" s="367" t="s">
        <v>25</v>
      </c>
      <c r="I1891" s="367">
        <v>100</v>
      </c>
      <c r="J1891" s="370" t="s">
        <v>45</v>
      </c>
      <c r="K1891" s="367">
        <v>30</v>
      </c>
      <c r="L1891" s="367">
        <v>-10.5</v>
      </c>
      <c r="M1891" s="358" t="s">
        <v>14</v>
      </c>
      <c r="N1891" s="396" t="s">
        <v>365</v>
      </c>
      <c r="O1891" s="367" t="s">
        <v>27</v>
      </c>
      <c r="P1891" s="128"/>
      <c r="Q1891" s="367" t="s">
        <v>243</v>
      </c>
      <c r="R1891" s="350">
        <v>44040</v>
      </c>
    </row>
    <row r="1892" spans="1:20" ht="15" customHeight="1" x14ac:dyDescent="0.3">
      <c r="A1892" s="368"/>
      <c r="B1892" s="368"/>
      <c r="C1892" s="41">
        <v>-18700</v>
      </c>
      <c r="D1892" s="368"/>
      <c r="E1892" s="368"/>
      <c r="F1892" s="368"/>
      <c r="G1892" s="368"/>
      <c r="H1892" s="368"/>
      <c r="I1892" s="368"/>
      <c r="J1892" s="371"/>
      <c r="K1892" s="368"/>
      <c r="L1892" s="368"/>
      <c r="M1892" s="359"/>
      <c r="N1892" s="397"/>
      <c r="O1892" s="368"/>
      <c r="P1892" s="226">
        <v>44066</v>
      </c>
      <c r="Q1892" s="368"/>
      <c r="R1892" s="351"/>
      <c r="T1892" s="200">
        <v>1</v>
      </c>
    </row>
    <row r="1893" spans="1:20" ht="15" customHeight="1" thickBot="1" x14ac:dyDescent="0.35">
      <c r="A1893" s="369"/>
      <c r="B1893" s="369"/>
      <c r="C1893" s="42">
        <v>14082</v>
      </c>
      <c r="D1893" s="369"/>
      <c r="E1893" s="369"/>
      <c r="F1893" s="369"/>
      <c r="G1893" s="369"/>
      <c r="H1893" s="369"/>
      <c r="I1893" s="369"/>
      <c r="J1893" s="372"/>
      <c r="K1893" s="369"/>
      <c r="L1893" s="369"/>
      <c r="M1893" s="360"/>
      <c r="N1893" s="398"/>
      <c r="O1893" s="369"/>
      <c r="P1893" s="130"/>
      <c r="Q1893" s="369"/>
      <c r="R1893" s="351"/>
    </row>
    <row r="1894" spans="1:20" ht="15" hidden="1" customHeight="1" x14ac:dyDescent="0.3">
      <c r="A1894" s="367">
        <v>489</v>
      </c>
      <c r="B1894" s="367" t="s">
        <v>233</v>
      </c>
      <c r="C1894" s="40">
        <v>4790</v>
      </c>
      <c r="D1894" s="367">
        <v>1</v>
      </c>
      <c r="E1894" s="367" t="s">
        <v>50</v>
      </c>
      <c r="F1894" s="367">
        <v>1450</v>
      </c>
      <c r="G1894" s="367">
        <v>1020</v>
      </c>
      <c r="H1894" s="367" t="s">
        <v>25</v>
      </c>
      <c r="I1894" s="367">
        <v>100</v>
      </c>
      <c r="J1894" s="370" t="s">
        <v>45</v>
      </c>
      <c r="K1894" s="367">
        <v>30</v>
      </c>
      <c r="L1894" s="367">
        <v>-10.5</v>
      </c>
      <c r="M1894" s="358" t="s">
        <v>14</v>
      </c>
      <c r="N1894" s="396" t="s">
        <v>365</v>
      </c>
      <c r="O1894" s="367" t="s">
        <v>27</v>
      </c>
      <c r="P1894" s="128"/>
      <c r="Q1894" s="367" t="s">
        <v>243</v>
      </c>
      <c r="R1894" s="350">
        <v>44040</v>
      </c>
    </row>
    <row r="1895" spans="1:20" ht="15" customHeight="1" x14ac:dyDescent="0.3">
      <c r="A1895" s="368"/>
      <c r="B1895" s="368"/>
      <c r="C1895" s="41">
        <v>-18300</v>
      </c>
      <c r="D1895" s="368"/>
      <c r="E1895" s="368"/>
      <c r="F1895" s="368"/>
      <c r="G1895" s="368"/>
      <c r="H1895" s="368"/>
      <c r="I1895" s="368"/>
      <c r="J1895" s="371"/>
      <c r="K1895" s="368"/>
      <c r="L1895" s="368"/>
      <c r="M1895" s="359"/>
      <c r="N1895" s="397"/>
      <c r="O1895" s="368"/>
      <c r="P1895" s="129"/>
      <c r="Q1895" s="368"/>
      <c r="R1895" s="351"/>
      <c r="T1895" s="200">
        <v>1</v>
      </c>
    </row>
    <row r="1896" spans="1:20" ht="15" customHeight="1" thickBot="1" x14ac:dyDescent="0.35">
      <c r="A1896" s="369"/>
      <c r="B1896" s="369"/>
      <c r="C1896" s="42">
        <v>14082</v>
      </c>
      <c r="D1896" s="369"/>
      <c r="E1896" s="369"/>
      <c r="F1896" s="369"/>
      <c r="G1896" s="369"/>
      <c r="H1896" s="369"/>
      <c r="I1896" s="369"/>
      <c r="J1896" s="372"/>
      <c r="K1896" s="369"/>
      <c r="L1896" s="369"/>
      <c r="M1896" s="360"/>
      <c r="N1896" s="398"/>
      <c r="O1896" s="369"/>
      <c r="P1896" s="227">
        <v>44066</v>
      </c>
      <c r="Q1896" s="369"/>
      <c r="R1896" s="351"/>
    </row>
    <row r="1897" spans="1:20" ht="15" hidden="1" customHeight="1" x14ac:dyDescent="0.3">
      <c r="A1897" s="367">
        <v>490</v>
      </c>
      <c r="B1897" s="367" t="s">
        <v>179</v>
      </c>
      <c r="C1897" s="40">
        <v>4790</v>
      </c>
      <c r="D1897" s="367">
        <v>1</v>
      </c>
      <c r="E1897" s="367" t="s">
        <v>66</v>
      </c>
      <c r="F1897" s="367">
        <v>1450</v>
      </c>
      <c r="G1897" s="367">
        <v>1020</v>
      </c>
      <c r="H1897" s="367" t="s">
        <v>25</v>
      </c>
      <c r="I1897" s="367">
        <v>60</v>
      </c>
      <c r="J1897" s="370">
        <f>-3.17 / 18.28</f>
        <v>-0.17341356673960612</v>
      </c>
      <c r="K1897" s="367">
        <v>30</v>
      </c>
      <c r="L1897" s="367">
        <v>34.5</v>
      </c>
      <c r="M1897" s="358" t="s">
        <v>14</v>
      </c>
      <c r="N1897" s="396" t="s">
        <v>365</v>
      </c>
      <c r="O1897" s="367" t="s">
        <v>27</v>
      </c>
      <c r="P1897" s="65"/>
      <c r="Q1897" s="367" t="s">
        <v>362</v>
      </c>
    </row>
    <row r="1898" spans="1:20" ht="15" customHeight="1" x14ac:dyDescent="0.3">
      <c r="A1898" s="368"/>
      <c r="B1898" s="368"/>
      <c r="C1898" s="41">
        <v>-17900</v>
      </c>
      <c r="D1898" s="368"/>
      <c r="E1898" s="368"/>
      <c r="F1898" s="368"/>
      <c r="G1898" s="368"/>
      <c r="H1898" s="368"/>
      <c r="I1898" s="368"/>
      <c r="J1898" s="371"/>
      <c r="K1898" s="368"/>
      <c r="L1898" s="368"/>
      <c r="M1898" s="359"/>
      <c r="N1898" s="397"/>
      <c r="O1898" s="368"/>
      <c r="P1898" s="226">
        <v>44066</v>
      </c>
      <c r="Q1898" s="368"/>
      <c r="T1898" s="200">
        <v>1</v>
      </c>
    </row>
    <row r="1899" spans="1:20" ht="15" customHeight="1" thickBot="1" x14ac:dyDescent="0.35">
      <c r="A1899" s="369"/>
      <c r="B1899" s="369"/>
      <c r="C1899" s="42">
        <v>14082</v>
      </c>
      <c r="D1899" s="369"/>
      <c r="E1899" s="369"/>
      <c r="F1899" s="369"/>
      <c r="G1899" s="369"/>
      <c r="H1899" s="369"/>
      <c r="I1899" s="369"/>
      <c r="J1899" s="372"/>
      <c r="K1899" s="369"/>
      <c r="L1899" s="369"/>
      <c r="M1899" s="360"/>
      <c r="N1899" s="398"/>
      <c r="O1899" s="369"/>
      <c r="P1899" s="67"/>
      <c r="Q1899" s="369"/>
    </row>
    <row r="1900" spans="1:20" ht="15" hidden="1" customHeight="1" x14ac:dyDescent="0.3">
      <c r="A1900" s="367">
        <v>491</v>
      </c>
      <c r="B1900" s="367" t="s">
        <v>174</v>
      </c>
      <c r="C1900" s="40">
        <v>4790</v>
      </c>
      <c r="D1900" s="370">
        <v>0</v>
      </c>
      <c r="E1900" s="367" t="s">
        <v>13</v>
      </c>
      <c r="F1900" s="367">
        <v>1450</v>
      </c>
      <c r="G1900" s="367">
        <v>1020</v>
      </c>
      <c r="H1900" s="367" t="s">
        <v>25</v>
      </c>
      <c r="I1900" s="367" t="s">
        <v>13</v>
      </c>
      <c r="J1900" s="370" t="s">
        <v>13</v>
      </c>
      <c r="K1900" s="367" t="s">
        <v>13</v>
      </c>
      <c r="L1900" s="367" t="s">
        <v>13</v>
      </c>
      <c r="M1900" s="358" t="s">
        <v>14</v>
      </c>
      <c r="N1900" s="396" t="s">
        <v>365</v>
      </c>
      <c r="O1900" s="367" t="s">
        <v>27</v>
      </c>
      <c r="P1900" s="65"/>
      <c r="Q1900" s="367" t="s">
        <v>176</v>
      </c>
      <c r="T1900" s="200">
        <v>1</v>
      </c>
    </row>
    <row r="1901" spans="1:20" ht="15" customHeight="1" x14ac:dyDescent="0.3">
      <c r="A1901" s="368"/>
      <c r="B1901" s="368"/>
      <c r="C1901" s="41">
        <v>-17500</v>
      </c>
      <c r="D1901" s="371"/>
      <c r="E1901" s="368"/>
      <c r="F1901" s="368"/>
      <c r="G1901" s="368"/>
      <c r="H1901" s="368"/>
      <c r="I1901" s="368"/>
      <c r="J1901" s="371"/>
      <c r="K1901" s="368"/>
      <c r="L1901" s="368"/>
      <c r="M1901" s="359"/>
      <c r="N1901" s="397"/>
      <c r="O1901" s="368"/>
      <c r="P1901" s="226">
        <v>44066</v>
      </c>
      <c r="Q1901" s="368"/>
    </row>
    <row r="1902" spans="1:20" ht="15" customHeight="1" thickBot="1" x14ac:dyDescent="0.35">
      <c r="A1902" s="369"/>
      <c r="B1902" s="369"/>
      <c r="C1902" s="42">
        <v>14082</v>
      </c>
      <c r="D1902" s="372"/>
      <c r="E1902" s="369"/>
      <c r="F1902" s="369"/>
      <c r="G1902" s="369"/>
      <c r="H1902" s="369"/>
      <c r="I1902" s="369"/>
      <c r="J1902" s="372"/>
      <c r="K1902" s="369"/>
      <c r="L1902" s="369"/>
      <c r="M1902" s="360"/>
      <c r="N1902" s="398"/>
      <c r="O1902" s="369"/>
      <c r="P1902" s="67"/>
      <c r="Q1902" s="369"/>
    </row>
    <row r="1903" spans="1:20" ht="15" hidden="1" customHeight="1" x14ac:dyDescent="0.3">
      <c r="A1903" s="367">
        <v>492</v>
      </c>
      <c r="B1903" s="367" t="s">
        <v>174</v>
      </c>
      <c r="C1903" s="40">
        <v>6525</v>
      </c>
      <c r="D1903" s="370">
        <v>0</v>
      </c>
      <c r="E1903" s="367" t="s">
        <v>13</v>
      </c>
      <c r="F1903" s="367">
        <v>1450</v>
      </c>
      <c r="G1903" s="367">
        <v>1020</v>
      </c>
      <c r="H1903" s="367" t="s">
        <v>25</v>
      </c>
      <c r="I1903" s="367" t="s">
        <v>13</v>
      </c>
      <c r="J1903" s="367" t="s">
        <v>13</v>
      </c>
      <c r="K1903" s="367" t="s">
        <v>13</v>
      </c>
      <c r="L1903" s="367" t="s">
        <v>13</v>
      </c>
      <c r="M1903" s="358" t="s">
        <v>14</v>
      </c>
      <c r="N1903" s="396" t="s">
        <v>369</v>
      </c>
      <c r="O1903" s="367" t="s">
        <v>27</v>
      </c>
      <c r="P1903" s="65"/>
      <c r="Q1903" s="367" t="s">
        <v>176</v>
      </c>
    </row>
    <row r="1904" spans="1:20" ht="15" customHeight="1" x14ac:dyDescent="0.3">
      <c r="A1904" s="368"/>
      <c r="B1904" s="368"/>
      <c r="C1904" s="41">
        <v>16886</v>
      </c>
      <c r="D1904" s="371"/>
      <c r="E1904" s="368"/>
      <c r="F1904" s="368"/>
      <c r="G1904" s="368"/>
      <c r="H1904" s="368"/>
      <c r="I1904" s="368"/>
      <c r="J1904" s="368"/>
      <c r="K1904" s="368"/>
      <c r="L1904" s="368"/>
      <c r="M1904" s="359"/>
      <c r="N1904" s="397"/>
      <c r="O1904" s="368"/>
      <c r="P1904" s="226">
        <v>44066</v>
      </c>
      <c r="Q1904" s="368"/>
      <c r="T1904" s="200">
        <v>1</v>
      </c>
    </row>
    <row r="1905" spans="1:20" ht="15" customHeight="1" thickBot="1" x14ac:dyDescent="0.35">
      <c r="A1905" s="369"/>
      <c r="B1905" s="369"/>
      <c r="C1905" s="42">
        <v>14082</v>
      </c>
      <c r="D1905" s="372"/>
      <c r="E1905" s="369"/>
      <c r="F1905" s="369"/>
      <c r="G1905" s="369"/>
      <c r="H1905" s="369"/>
      <c r="I1905" s="369"/>
      <c r="J1905" s="369"/>
      <c r="K1905" s="369"/>
      <c r="L1905" s="369"/>
      <c r="M1905" s="360"/>
      <c r="N1905" s="398"/>
      <c r="O1905" s="369"/>
      <c r="P1905" s="67"/>
      <c r="Q1905" s="369"/>
    </row>
    <row r="1906" spans="1:20" ht="15" hidden="1" customHeight="1" x14ac:dyDescent="0.3">
      <c r="A1906" s="367">
        <v>493</v>
      </c>
      <c r="B1906" s="367" t="s">
        <v>179</v>
      </c>
      <c r="C1906" s="40">
        <v>6852</v>
      </c>
      <c r="D1906" s="367">
        <v>1</v>
      </c>
      <c r="E1906" s="367" t="s">
        <v>161</v>
      </c>
      <c r="F1906" s="367">
        <v>1450</v>
      </c>
      <c r="G1906" s="367">
        <v>1020</v>
      </c>
      <c r="H1906" s="367" t="s">
        <v>25</v>
      </c>
      <c r="I1906" s="367">
        <v>150</v>
      </c>
      <c r="J1906" s="370" t="s">
        <v>45</v>
      </c>
      <c r="K1906" s="367">
        <v>40</v>
      </c>
      <c r="L1906" s="367">
        <v>17.5</v>
      </c>
      <c r="M1906" s="358" t="s">
        <v>14</v>
      </c>
      <c r="N1906" s="396" t="s">
        <v>369</v>
      </c>
      <c r="O1906" s="367" t="s">
        <v>27</v>
      </c>
      <c r="P1906" s="228">
        <v>44066</v>
      </c>
      <c r="Q1906" s="367" t="s">
        <v>260</v>
      </c>
    </row>
    <row r="1907" spans="1:20" ht="15" customHeight="1" x14ac:dyDescent="0.3">
      <c r="A1907" s="368"/>
      <c r="B1907" s="368"/>
      <c r="C1907" s="41">
        <v>17116</v>
      </c>
      <c r="D1907" s="368"/>
      <c r="E1907" s="368"/>
      <c r="F1907" s="368"/>
      <c r="G1907" s="368"/>
      <c r="H1907" s="368"/>
      <c r="I1907" s="368"/>
      <c r="J1907" s="371"/>
      <c r="K1907" s="368"/>
      <c r="L1907" s="368"/>
      <c r="M1907" s="359"/>
      <c r="N1907" s="397"/>
      <c r="O1907" s="368"/>
      <c r="P1907" s="66"/>
      <c r="Q1907" s="368"/>
      <c r="T1907" s="200">
        <v>1</v>
      </c>
    </row>
    <row r="1908" spans="1:20" ht="15" customHeight="1" thickBot="1" x14ac:dyDescent="0.35">
      <c r="A1908" s="369"/>
      <c r="B1908" s="369"/>
      <c r="C1908" s="42">
        <v>14082</v>
      </c>
      <c r="D1908" s="369"/>
      <c r="E1908" s="369"/>
      <c r="F1908" s="369"/>
      <c r="G1908" s="369"/>
      <c r="H1908" s="369"/>
      <c r="I1908" s="369"/>
      <c r="J1908" s="372"/>
      <c r="K1908" s="369"/>
      <c r="L1908" s="369"/>
      <c r="M1908" s="360"/>
      <c r="N1908" s="398"/>
      <c r="O1908" s="369"/>
      <c r="P1908" s="67"/>
      <c r="Q1908" s="369"/>
    </row>
    <row r="1909" spans="1:20" ht="15" hidden="1" customHeight="1" x14ac:dyDescent="0.3">
      <c r="A1909" s="367">
        <v>494</v>
      </c>
      <c r="B1909" s="367" t="s">
        <v>174</v>
      </c>
      <c r="C1909" s="40">
        <v>7180</v>
      </c>
      <c r="D1909" s="370">
        <v>0</v>
      </c>
      <c r="E1909" s="367" t="s">
        <v>13</v>
      </c>
      <c r="F1909" s="367">
        <v>1450</v>
      </c>
      <c r="G1909" s="367">
        <v>1020</v>
      </c>
      <c r="H1909" s="367" t="s">
        <v>25</v>
      </c>
      <c r="I1909" s="367" t="s">
        <v>13</v>
      </c>
      <c r="J1909" s="367" t="s">
        <v>13</v>
      </c>
      <c r="K1909" s="367" t="s">
        <v>13</v>
      </c>
      <c r="L1909" s="367" t="s">
        <v>13</v>
      </c>
      <c r="M1909" s="358" t="s">
        <v>14</v>
      </c>
      <c r="N1909" s="396" t="s">
        <v>369</v>
      </c>
      <c r="O1909" s="367" t="s">
        <v>27</v>
      </c>
      <c r="P1909" s="65"/>
      <c r="Q1909" s="367" t="s">
        <v>176</v>
      </c>
    </row>
    <row r="1910" spans="1:20" ht="15" customHeight="1" x14ac:dyDescent="0.3">
      <c r="A1910" s="368"/>
      <c r="B1910" s="368"/>
      <c r="C1910" s="41">
        <v>17345</v>
      </c>
      <c r="D1910" s="371"/>
      <c r="E1910" s="368"/>
      <c r="F1910" s="368"/>
      <c r="G1910" s="368"/>
      <c r="H1910" s="368"/>
      <c r="I1910" s="368"/>
      <c r="J1910" s="368"/>
      <c r="K1910" s="368"/>
      <c r="L1910" s="368"/>
      <c r="M1910" s="359"/>
      <c r="N1910" s="397"/>
      <c r="O1910" s="368"/>
      <c r="P1910" s="226">
        <v>44066</v>
      </c>
      <c r="Q1910" s="368"/>
      <c r="T1910" s="200">
        <v>1</v>
      </c>
    </row>
    <row r="1911" spans="1:20" ht="15" customHeight="1" thickBot="1" x14ac:dyDescent="0.35">
      <c r="A1911" s="369"/>
      <c r="B1911" s="369"/>
      <c r="C1911" s="42">
        <v>14082</v>
      </c>
      <c r="D1911" s="372"/>
      <c r="E1911" s="369"/>
      <c r="F1911" s="369"/>
      <c r="G1911" s="369"/>
      <c r="H1911" s="369"/>
      <c r="I1911" s="369"/>
      <c r="J1911" s="369"/>
      <c r="K1911" s="369"/>
      <c r="L1911" s="369"/>
      <c r="M1911" s="360"/>
      <c r="N1911" s="398"/>
      <c r="O1911" s="369"/>
      <c r="P1911" s="67"/>
      <c r="Q1911" s="369"/>
    </row>
    <row r="1912" spans="1:20" ht="15" hidden="1" customHeight="1" x14ac:dyDescent="0.3">
      <c r="A1912" s="367">
        <v>495</v>
      </c>
      <c r="B1912" s="367" t="s">
        <v>233</v>
      </c>
      <c r="C1912" s="40">
        <v>12571</v>
      </c>
      <c r="D1912" s="367">
        <v>1</v>
      </c>
      <c r="E1912" s="367" t="s">
        <v>50</v>
      </c>
      <c r="F1912" s="367">
        <v>1450</v>
      </c>
      <c r="G1912" s="367">
        <v>1020</v>
      </c>
      <c r="H1912" s="367" t="s">
        <v>25</v>
      </c>
      <c r="I1912" s="367">
        <v>100</v>
      </c>
      <c r="J1912" s="370" t="s">
        <v>45</v>
      </c>
      <c r="K1912" s="367">
        <v>30</v>
      </c>
      <c r="L1912" s="367">
        <v>-10.5</v>
      </c>
      <c r="M1912" s="358" t="s">
        <v>14</v>
      </c>
      <c r="N1912" s="396" t="s">
        <v>369</v>
      </c>
      <c r="O1912" s="367" t="s">
        <v>27</v>
      </c>
      <c r="P1912" s="228">
        <v>44066</v>
      </c>
      <c r="Q1912" s="367" t="s">
        <v>243</v>
      </c>
      <c r="T1912" s="200">
        <v>1</v>
      </c>
    </row>
    <row r="1913" spans="1:20" ht="15" customHeight="1" x14ac:dyDescent="0.3">
      <c r="A1913" s="368"/>
      <c r="B1913" s="368"/>
      <c r="C1913" s="41">
        <v>14650</v>
      </c>
      <c r="D1913" s="368"/>
      <c r="E1913" s="368"/>
      <c r="F1913" s="368"/>
      <c r="G1913" s="368"/>
      <c r="H1913" s="368"/>
      <c r="I1913" s="368"/>
      <c r="J1913" s="371"/>
      <c r="K1913" s="368"/>
      <c r="L1913" s="368"/>
      <c r="M1913" s="359"/>
      <c r="N1913" s="397"/>
      <c r="O1913" s="368"/>
      <c r="P1913" s="66"/>
      <c r="Q1913" s="368"/>
    </row>
    <row r="1914" spans="1:20" ht="15" customHeight="1" thickBot="1" x14ac:dyDescent="0.35">
      <c r="A1914" s="369"/>
      <c r="B1914" s="369"/>
      <c r="C1914" s="42">
        <v>14082</v>
      </c>
      <c r="D1914" s="369"/>
      <c r="E1914" s="369"/>
      <c r="F1914" s="369"/>
      <c r="G1914" s="369"/>
      <c r="H1914" s="369"/>
      <c r="I1914" s="369"/>
      <c r="J1914" s="372"/>
      <c r="K1914" s="369"/>
      <c r="L1914" s="369"/>
      <c r="M1914" s="360"/>
      <c r="N1914" s="398"/>
      <c r="O1914" s="369"/>
      <c r="P1914" s="67"/>
      <c r="Q1914" s="369"/>
    </row>
    <row r="1915" spans="1:20" ht="15" hidden="1" customHeight="1" x14ac:dyDescent="0.3">
      <c r="A1915" s="367">
        <v>496</v>
      </c>
      <c r="B1915" s="367" t="s">
        <v>233</v>
      </c>
      <c r="C1915" s="40">
        <v>12243</v>
      </c>
      <c r="D1915" s="367">
        <v>1</v>
      </c>
      <c r="E1915" s="367" t="s">
        <v>50</v>
      </c>
      <c r="F1915" s="367">
        <v>1450</v>
      </c>
      <c r="G1915" s="367">
        <v>1020</v>
      </c>
      <c r="H1915" s="367" t="s">
        <v>25</v>
      </c>
      <c r="I1915" s="367">
        <v>100</v>
      </c>
      <c r="J1915" s="370" t="s">
        <v>45</v>
      </c>
      <c r="K1915" s="367">
        <v>30</v>
      </c>
      <c r="L1915" s="367">
        <v>-10.5</v>
      </c>
      <c r="M1915" s="358" t="s">
        <v>14</v>
      </c>
      <c r="N1915" s="396" t="s">
        <v>369</v>
      </c>
      <c r="O1915" s="367" t="s">
        <v>27</v>
      </c>
      <c r="P1915" s="228">
        <v>44066</v>
      </c>
      <c r="Q1915" s="367" t="s">
        <v>243</v>
      </c>
    </row>
    <row r="1916" spans="1:20" ht="15" customHeight="1" x14ac:dyDescent="0.3">
      <c r="A1916" s="368"/>
      <c r="B1916" s="368"/>
      <c r="C1916" s="41">
        <v>14420</v>
      </c>
      <c r="D1916" s="368"/>
      <c r="E1916" s="368"/>
      <c r="F1916" s="368"/>
      <c r="G1916" s="368"/>
      <c r="H1916" s="368"/>
      <c r="I1916" s="368"/>
      <c r="J1916" s="371"/>
      <c r="K1916" s="368"/>
      <c r="L1916" s="368"/>
      <c r="M1916" s="359"/>
      <c r="N1916" s="397"/>
      <c r="O1916" s="368"/>
      <c r="P1916" s="66"/>
      <c r="Q1916" s="368"/>
      <c r="T1916" s="200">
        <v>1</v>
      </c>
    </row>
    <row r="1917" spans="1:20" ht="15" customHeight="1" thickBot="1" x14ac:dyDescent="0.35">
      <c r="A1917" s="369"/>
      <c r="B1917" s="369"/>
      <c r="C1917" s="42">
        <v>14082</v>
      </c>
      <c r="D1917" s="369"/>
      <c r="E1917" s="369"/>
      <c r="F1917" s="369"/>
      <c r="G1917" s="369"/>
      <c r="H1917" s="369"/>
      <c r="I1917" s="369"/>
      <c r="J1917" s="372"/>
      <c r="K1917" s="369"/>
      <c r="L1917" s="369"/>
      <c r="M1917" s="360"/>
      <c r="N1917" s="398"/>
      <c r="O1917" s="369"/>
      <c r="P1917" s="67"/>
      <c r="Q1917" s="369"/>
    </row>
    <row r="1918" spans="1:20" ht="15" hidden="1" customHeight="1" x14ac:dyDescent="0.3">
      <c r="A1918" s="370">
        <v>497</v>
      </c>
      <c r="B1918" s="370" t="s">
        <v>370</v>
      </c>
      <c r="C1918" s="37">
        <v>11915</v>
      </c>
      <c r="D1918" s="370">
        <v>1</v>
      </c>
      <c r="E1918" s="370" t="s">
        <v>239</v>
      </c>
      <c r="F1918" s="367">
        <v>1450</v>
      </c>
      <c r="G1918" s="367">
        <v>1020</v>
      </c>
      <c r="H1918" s="370" t="s">
        <v>25</v>
      </c>
      <c r="I1918" s="370">
        <v>120</v>
      </c>
      <c r="J1918" s="370" t="s">
        <v>45</v>
      </c>
      <c r="K1918" s="370">
        <v>30</v>
      </c>
      <c r="L1918" s="367">
        <v>24.5</v>
      </c>
      <c r="M1918" s="358" t="s">
        <v>14</v>
      </c>
      <c r="N1918" s="399" t="s">
        <v>369</v>
      </c>
      <c r="O1918" s="367" t="s">
        <v>27</v>
      </c>
      <c r="P1918" s="232">
        <v>44066</v>
      </c>
      <c r="Q1918" s="40"/>
    </row>
    <row r="1919" spans="1:20" ht="15" customHeight="1" x14ac:dyDescent="0.3">
      <c r="A1919" s="371"/>
      <c r="B1919" s="371"/>
      <c r="C1919" s="38">
        <v>14191</v>
      </c>
      <c r="D1919" s="371"/>
      <c r="E1919" s="371"/>
      <c r="F1919" s="368"/>
      <c r="G1919" s="368"/>
      <c r="H1919" s="371"/>
      <c r="I1919" s="371"/>
      <c r="J1919" s="371"/>
      <c r="K1919" s="371"/>
      <c r="L1919" s="368"/>
      <c r="M1919" s="359"/>
      <c r="N1919" s="400"/>
      <c r="O1919" s="368"/>
      <c r="P1919" s="40"/>
      <c r="Q1919" s="40" t="s">
        <v>371</v>
      </c>
      <c r="T1919" s="200">
        <v>1</v>
      </c>
    </row>
    <row r="1920" spans="1:20" ht="15" customHeight="1" thickBot="1" x14ac:dyDescent="0.35">
      <c r="A1920" s="372"/>
      <c r="B1920" s="372"/>
      <c r="C1920" s="39">
        <v>14082</v>
      </c>
      <c r="D1920" s="372"/>
      <c r="E1920" s="372"/>
      <c r="F1920" s="369"/>
      <c r="G1920" s="369"/>
      <c r="H1920" s="372"/>
      <c r="I1920" s="372"/>
      <c r="J1920" s="372"/>
      <c r="K1920" s="372"/>
      <c r="L1920" s="369"/>
      <c r="M1920" s="360"/>
      <c r="N1920" s="401"/>
      <c r="O1920" s="369"/>
      <c r="P1920" s="42"/>
      <c r="Q1920" s="42"/>
    </row>
    <row r="1921" spans="1:20" ht="15" hidden="1" customHeight="1" x14ac:dyDescent="0.3">
      <c r="A1921" s="370">
        <v>498</v>
      </c>
      <c r="B1921" s="370" t="s">
        <v>179</v>
      </c>
      <c r="C1921" s="37">
        <v>11588</v>
      </c>
      <c r="D1921" s="370">
        <v>2</v>
      </c>
      <c r="E1921" s="370" t="s">
        <v>66</v>
      </c>
      <c r="F1921" s="367">
        <v>1450</v>
      </c>
      <c r="G1921" s="367">
        <v>1020</v>
      </c>
      <c r="H1921" s="370" t="s">
        <v>25</v>
      </c>
      <c r="I1921" s="370">
        <v>60</v>
      </c>
      <c r="J1921" s="370">
        <f>-2.35 / 20.16</f>
        <v>-0.11656746031746032</v>
      </c>
      <c r="K1921" s="367">
        <v>30</v>
      </c>
      <c r="L1921" s="367" t="s">
        <v>13</v>
      </c>
      <c r="M1921" s="358" t="s">
        <v>14</v>
      </c>
      <c r="N1921" s="399" t="s">
        <v>369</v>
      </c>
      <c r="O1921" s="367" t="s">
        <v>27</v>
      </c>
      <c r="P1921" s="65"/>
      <c r="Q1921" s="367" t="s">
        <v>372</v>
      </c>
      <c r="T1921" s="200">
        <v>1</v>
      </c>
    </row>
    <row r="1922" spans="1:20" ht="15" customHeight="1" thickBot="1" x14ac:dyDescent="0.35">
      <c r="A1922" s="371"/>
      <c r="B1922" s="372"/>
      <c r="C1922" s="38">
        <v>13961</v>
      </c>
      <c r="D1922" s="371"/>
      <c r="E1922" s="372"/>
      <c r="F1922" s="368"/>
      <c r="G1922" s="368"/>
      <c r="H1922" s="371"/>
      <c r="I1922" s="372"/>
      <c r="J1922" s="372"/>
      <c r="K1922" s="369"/>
      <c r="L1922" s="368"/>
      <c r="M1922" s="359"/>
      <c r="N1922" s="400"/>
      <c r="O1922" s="368"/>
      <c r="P1922" s="226">
        <v>44066</v>
      </c>
      <c r="Q1922" s="368"/>
    </row>
    <row r="1923" spans="1:20" ht="15" customHeight="1" thickBot="1" x14ac:dyDescent="0.35">
      <c r="A1923" s="372"/>
      <c r="B1923" s="39" t="s">
        <v>167</v>
      </c>
      <c r="C1923" s="39">
        <v>14082</v>
      </c>
      <c r="D1923" s="372"/>
      <c r="E1923" s="39" t="s">
        <v>239</v>
      </c>
      <c r="F1923" s="369"/>
      <c r="G1923" s="369"/>
      <c r="H1923" s="372"/>
      <c r="I1923" s="39">
        <v>120</v>
      </c>
      <c r="J1923" s="39" t="s">
        <v>45</v>
      </c>
      <c r="K1923" s="42">
        <v>30</v>
      </c>
      <c r="L1923" s="369"/>
      <c r="M1923" s="360"/>
      <c r="N1923" s="401"/>
      <c r="O1923" s="369"/>
      <c r="P1923" s="67"/>
      <c r="Q1923" s="369"/>
    </row>
    <row r="1924" spans="1:20" ht="15" hidden="1" customHeight="1" x14ac:dyDescent="0.3">
      <c r="A1924" s="367">
        <v>499</v>
      </c>
      <c r="B1924" s="367" t="s">
        <v>191</v>
      </c>
      <c r="C1924" s="40">
        <v>8639</v>
      </c>
      <c r="D1924" s="367">
        <v>1</v>
      </c>
      <c r="E1924" s="367" t="s">
        <v>255</v>
      </c>
      <c r="F1924" s="367">
        <v>1450</v>
      </c>
      <c r="G1924" s="367">
        <v>1020</v>
      </c>
      <c r="H1924" s="367" t="s">
        <v>25</v>
      </c>
      <c r="I1924" s="367">
        <v>150</v>
      </c>
      <c r="J1924" s="370" t="s">
        <v>45</v>
      </c>
      <c r="K1924" s="367">
        <v>30</v>
      </c>
      <c r="L1924" s="367">
        <v>31</v>
      </c>
      <c r="M1924" s="358" t="s">
        <v>14</v>
      </c>
      <c r="N1924" s="396" t="s">
        <v>369</v>
      </c>
      <c r="O1924" s="367" t="s">
        <v>27</v>
      </c>
      <c r="P1924" s="228">
        <v>44066</v>
      </c>
      <c r="Q1924" s="367" t="s">
        <v>368</v>
      </c>
    </row>
    <row r="1925" spans="1:20" ht="15" customHeight="1" x14ac:dyDescent="0.3">
      <c r="A1925" s="368"/>
      <c r="B1925" s="368"/>
      <c r="C1925" s="41">
        <v>11896</v>
      </c>
      <c r="D1925" s="368"/>
      <c r="E1925" s="368"/>
      <c r="F1925" s="368"/>
      <c r="G1925" s="368"/>
      <c r="H1925" s="368"/>
      <c r="I1925" s="368"/>
      <c r="J1925" s="371"/>
      <c r="K1925" s="368"/>
      <c r="L1925" s="368"/>
      <c r="M1925" s="359"/>
      <c r="N1925" s="397"/>
      <c r="O1925" s="368"/>
      <c r="P1925" s="66"/>
      <c r="Q1925" s="368"/>
      <c r="T1925" s="200">
        <v>1</v>
      </c>
    </row>
    <row r="1926" spans="1:20" ht="15" customHeight="1" thickBot="1" x14ac:dyDescent="0.35">
      <c r="A1926" s="369"/>
      <c r="B1926" s="369"/>
      <c r="C1926" s="42">
        <v>14082</v>
      </c>
      <c r="D1926" s="369"/>
      <c r="E1926" s="369"/>
      <c r="F1926" s="369"/>
      <c r="G1926" s="369"/>
      <c r="H1926" s="369"/>
      <c r="I1926" s="369"/>
      <c r="J1926" s="372"/>
      <c r="K1926" s="369"/>
      <c r="L1926" s="369"/>
      <c r="M1926" s="360"/>
      <c r="N1926" s="398"/>
      <c r="O1926" s="369"/>
      <c r="P1926" s="67"/>
      <c r="Q1926" s="369"/>
    </row>
    <row r="1927" spans="1:20" ht="15" hidden="1" customHeight="1" x14ac:dyDescent="0.3">
      <c r="A1927" s="367">
        <v>500</v>
      </c>
      <c r="B1927" s="367" t="s">
        <v>230</v>
      </c>
      <c r="C1927" s="40">
        <v>8311</v>
      </c>
      <c r="D1927" s="367">
        <v>1</v>
      </c>
      <c r="E1927" s="367" t="s">
        <v>161</v>
      </c>
      <c r="F1927" s="367">
        <v>1450</v>
      </c>
      <c r="G1927" s="367">
        <v>1020</v>
      </c>
      <c r="H1927" s="367" t="s">
        <v>25</v>
      </c>
      <c r="I1927" s="367">
        <v>150</v>
      </c>
      <c r="J1927" s="370" t="s">
        <v>45</v>
      </c>
      <c r="K1927" s="367">
        <v>40</v>
      </c>
      <c r="L1927" s="367">
        <v>17.5</v>
      </c>
      <c r="M1927" s="358" t="s">
        <v>14</v>
      </c>
      <c r="N1927" s="396" t="s">
        <v>369</v>
      </c>
      <c r="O1927" s="367" t="s">
        <v>27</v>
      </c>
      <c r="P1927" s="128"/>
      <c r="Q1927" s="367" t="s">
        <v>364</v>
      </c>
      <c r="R1927" s="350">
        <v>44040</v>
      </c>
    </row>
    <row r="1928" spans="1:20" ht="15" customHeight="1" x14ac:dyDescent="0.3">
      <c r="A1928" s="368"/>
      <c r="B1928" s="368"/>
      <c r="C1928" s="41">
        <v>11667</v>
      </c>
      <c r="D1928" s="368"/>
      <c r="E1928" s="368"/>
      <c r="F1928" s="368"/>
      <c r="G1928" s="368"/>
      <c r="H1928" s="368"/>
      <c r="I1928" s="368"/>
      <c r="J1928" s="371"/>
      <c r="K1928" s="368"/>
      <c r="L1928" s="368"/>
      <c r="M1928" s="359"/>
      <c r="N1928" s="397"/>
      <c r="O1928" s="368"/>
      <c r="P1928" s="226">
        <v>44066</v>
      </c>
      <c r="Q1928" s="368"/>
      <c r="R1928" s="351"/>
      <c r="T1928" s="200">
        <v>1</v>
      </c>
    </row>
    <row r="1929" spans="1:20" ht="15" customHeight="1" thickBot="1" x14ac:dyDescent="0.35">
      <c r="A1929" s="369"/>
      <c r="B1929" s="369"/>
      <c r="C1929" s="42">
        <v>14082</v>
      </c>
      <c r="D1929" s="369"/>
      <c r="E1929" s="369"/>
      <c r="F1929" s="369"/>
      <c r="G1929" s="369"/>
      <c r="H1929" s="369"/>
      <c r="I1929" s="369"/>
      <c r="J1929" s="372"/>
      <c r="K1929" s="369"/>
      <c r="L1929" s="369"/>
      <c r="M1929" s="360"/>
      <c r="N1929" s="398"/>
      <c r="O1929" s="369"/>
      <c r="P1929" s="130"/>
      <c r="Q1929" s="369"/>
      <c r="R1929" s="351"/>
    </row>
    <row r="1930" spans="1:20" ht="15" hidden="1" customHeight="1" x14ac:dyDescent="0.3">
      <c r="A1930" s="367">
        <v>501</v>
      </c>
      <c r="B1930" s="367" t="s">
        <v>233</v>
      </c>
      <c r="C1930" s="40">
        <v>-12583</v>
      </c>
      <c r="D1930" s="367">
        <v>1</v>
      </c>
      <c r="E1930" s="367" t="s">
        <v>50</v>
      </c>
      <c r="F1930" s="367">
        <v>1450</v>
      </c>
      <c r="G1930" s="367">
        <v>1020</v>
      </c>
      <c r="H1930" s="367" t="s">
        <v>25</v>
      </c>
      <c r="I1930" s="367">
        <v>100</v>
      </c>
      <c r="J1930" s="370" t="s">
        <v>45</v>
      </c>
      <c r="K1930" s="367">
        <v>30</v>
      </c>
      <c r="L1930" s="367">
        <v>-10.5</v>
      </c>
      <c r="M1930" s="358" t="s">
        <v>14</v>
      </c>
      <c r="N1930" s="396" t="s">
        <v>373</v>
      </c>
      <c r="O1930" s="367" t="s">
        <v>27</v>
      </c>
      <c r="P1930" s="65"/>
      <c r="Q1930" s="367" t="s">
        <v>243</v>
      </c>
      <c r="T1930" s="200">
        <v>1</v>
      </c>
    </row>
    <row r="1931" spans="1:20" ht="15" customHeight="1" x14ac:dyDescent="0.3">
      <c r="A1931" s="368"/>
      <c r="B1931" s="368"/>
      <c r="C1931" s="41">
        <v>-14658</v>
      </c>
      <c r="D1931" s="368"/>
      <c r="E1931" s="368"/>
      <c r="F1931" s="368"/>
      <c r="G1931" s="368"/>
      <c r="H1931" s="368"/>
      <c r="I1931" s="368"/>
      <c r="J1931" s="371"/>
      <c r="K1931" s="368"/>
      <c r="L1931" s="368"/>
      <c r="M1931" s="359"/>
      <c r="N1931" s="397"/>
      <c r="O1931" s="368"/>
      <c r="P1931" s="226">
        <v>44066</v>
      </c>
      <c r="Q1931" s="368"/>
    </row>
    <row r="1932" spans="1:20" ht="15" customHeight="1" thickBot="1" x14ac:dyDescent="0.35">
      <c r="A1932" s="369"/>
      <c r="B1932" s="369"/>
      <c r="C1932" s="42">
        <v>14082</v>
      </c>
      <c r="D1932" s="369"/>
      <c r="E1932" s="369"/>
      <c r="F1932" s="369"/>
      <c r="G1932" s="369"/>
      <c r="H1932" s="369"/>
      <c r="I1932" s="369"/>
      <c r="J1932" s="372"/>
      <c r="K1932" s="369"/>
      <c r="L1932" s="369"/>
      <c r="M1932" s="360"/>
      <c r="N1932" s="398"/>
      <c r="O1932" s="369"/>
      <c r="P1932" s="67"/>
      <c r="Q1932" s="369"/>
    </row>
    <row r="1933" spans="1:20" ht="15" hidden="1" customHeight="1" x14ac:dyDescent="0.3">
      <c r="A1933" s="367">
        <v>502</v>
      </c>
      <c r="B1933" s="367" t="s">
        <v>233</v>
      </c>
      <c r="C1933" s="40">
        <v>-12256</v>
      </c>
      <c r="D1933" s="367">
        <v>1</v>
      </c>
      <c r="E1933" s="367" t="s">
        <v>50</v>
      </c>
      <c r="F1933" s="367">
        <v>1450</v>
      </c>
      <c r="G1933" s="367">
        <v>1020</v>
      </c>
      <c r="H1933" s="367" t="s">
        <v>25</v>
      </c>
      <c r="I1933" s="367">
        <v>100</v>
      </c>
      <c r="J1933" s="370" t="s">
        <v>45</v>
      </c>
      <c r="K1933" s="367">
        <v>30</v>
      </c>
      <c r="L1933" s="367">
        <v>-10.5</v>
      </c>
      <c r="M1933" s="358" t="s">
        <v>14</v>
      </c>
      <c r="N1933" s="396" t="s">
        <v>373</v>
      </c>
      <c r="O1933" s="367" t="s">
        <v>27</v>
      </c>
      <c r="P1933" s="65"/>
      <c r="Q1933" s="367" t="s">
        <v>243</v>
      </c>
    </row>
    <row r="1934" spans="1:20" ht="15" customHeight="1" x14ac:dyDescent="0.3">
      <c r="A1934" s="368"/>
      <c r="B1934" s="368"/>
      <c r="C1934" s="41">
        <v>-14429</v>
      </c>
      <c r="D1934" s="368"/>
      <c r="E1934" s="368"/>
      <c r="F1934" s="368"/>
      <c r="G1934" s="368"/>
      <c r="H1934" s="368"/>
      <c r="I1934" s="368"/>
      <c r="J1934" s="371"/>
      <c r="K1934" s="368"/>
      <c r="L1934" s="368"/>
      <c r="M1934" s="359"/>
      <c r="N1934" s="397"/>
      <c r="O1934" s="368"/>
      <c r="P1934" s="226">
        <v>44066</v>
      </c>
      <c r="Q1934" s="368"/>
      <c r="T1934" s="200">
        <v>1</v>
      </c>
    </row>
    <row r="1935" spans="1:20" ht="15" customHeight="1" thickBot="1" x14ac:dyDescent="0.35">
      <c r="A1935" s="369"/>
      <c r="B1935" s="369"/>
      <c r="C1935" s="42">
        <v>14082</v>
      </c>
      <c r="D1935" s="369"/>
      <c r="E1935" s="369"/>
      <c r="F1935" s="369"/>
      <c r="G1935" s="369"/>
      <c r="H1935" s="369"/>
      <c r="I1935" s="369"/>
      <c r="J1935" s="372"/>
      <c r="K1935" s="369"/>
      <c r="L1935" s="369"/>
      <c r="M1935" s="360"/>
      <c r="N1935" s="398"/>
      <c r="O1935" s="369"/>
      <c r="P1935" s="67"/>
      <c r="Q1935" s="369"/>
    </row>
    <row r="1936" spans="1:20" ht="15" hidden="1" customHeight="1" x14ac:dyDescent="0.3">
      <c r="A1936" s="367">
        <v>503</v>
      </c>
      <c r="B1936" s="367" t="s">
        <v>179</v>
      </c>
      <c r="C1936" s="40">
        <v>-11928</v>
      </c>
      <c r="D1936" s="367">
        <v>1</v>
      </c>
      <c r="E1936" s="367" t="s">
        <v>66</v>
      </c>
      <c r="F1936" s="367">
        <v>1450</v>
      </c>
      <c r="G1936" s="367">
        <v>1020</v>
      </c>
      <c r="H1936" s="367" t="s">
        <v>25</v>
      </c>
      <c r="I1936" s="367">
        <v>60</v>
      </c>
      <c r="J1936" s="370">
        <f>-2.7/21.32</f>
        <v>-0.12664165103189495</v>
      </c>
      <c r="K1936" s="367">
        <v>30</v>
      </c>
      <c r="L1936" s="367">
        <v>34.5</v>
      </c>
      <c r="M1936" s="358" t="s">
        <v>14</v>
      </c>
      <c r="N1936" s="396" t="s">
        <v>373</v>
      </c>
      <c r="O1936" s="367" t="s">
        <v>27</v>
      </c>
      <c r="P1936" s="65"/>
      <c r="Q1936" s="367" t="s">
        <v>362</v>
      </c>
      <c r="T1936" s="200">
        <v>1</v>
      </c>
    </row>
    <row r="1937" spans="1:20" ht="15" customHeight="1" x14ac:dyDescent="0.3">
      <c r="A1937" s="368"/>
      <c r="B1937" s="368"/>
      <c r="C1937" s="41">
        <v>-14199</v>
      </c>
      <c r="D1937" s="368"/>
      <c r="E1937" s="368"/>
      <c r="F1937" s="368"/>
      <c r="G1937" s="368"/>
      <c r="H1937" s="368"/>
      <c r="I1937" s="368"/>
      <c r="J1937" s="371"/>
      <c r="K1937" s="368"/>
      <c r="L1937" s="368"/>
      <c r="M1937" s="359"/>
      <c r="N1937" s="397"/>
      <c r="O1937" s="368"/>
      <c r="P1937" s="66"/>
      <c r="Q1937" s="368"/>
    </row>
    <row r="1938" spans="1:20" ht="15" customHeight="1" thickBot="1" x14ac:dyDescent="0.35">
      <c r="A1938" s="369"/>
      <c r="B1938" s="369"/>
      <c r="C1938" s="42">
        <v>14082</v>
      </c>
      <c r="D1938" s="369"/>
      <c r="E1938" s="369"/>
      <c r="F1938" s="369"/>
      <c r="G1938" s="369"/>
      <c r="H1938" s="369"/>
      <c r="I1938" s="369"/>
      <c r="J1938" s="372"/>
      <c r="K1938" s="369"/>
      <c r="L1938" s="369"/>
      <c r="M1938" s="360"/>
      <c r="N1938" s="398"/>
      <c r="O1938" s="369"/>
      <c r="P1938" s="227">
        <v>44066</v>
      </c>
      <c r="Q1938" s="369"/>
    </row>
    <row r="1939" spans="1:20" ht="15" hidden="1" customHeight="1" x14ac:dyDescent="0.3">
      <c r="A1939" s="367">
        <v>504</v>
      </c>
      <c r="B1939" s="367" t="s">
        <v>174</v>
      </c>
      <c r="C1939" s="40">
        <v>-11600</v>
      </c>
      <c r="D1939" s="370">
        <v>0</v>
      </c>
      <c r="E1939" s="367" t="s">
        <v>13</v>
      </c>
      <c r="F1939" s="367">
        <v>1450</v>
      </c>
      <c r="G1939" s="367">
        <v>1020</v>
      </c>
      <c r="H1939" s="367" t="s">
        <v>25</v>
      </c>
      <c r="I1939" s="367" t="s">
        <v>13</v>
      </c>
      <c r="J1939" s="367" t="s">
        <v>13</v>
      </c>
      <c r="K1939" s="367" t="s">
        <v>13</v>
      </c>
      <c r="L1939" s="367" t="s">
        <v>13</v>
      </c>
      <c r="M1939" s="358" t="s">
        <v>14</v>
      </c>
      <c r="N1939" s="396" t="s">
        <v>373</v>
      </c>
      <c r="O1939" s="367" t="s">
        <v>27</v>
      </c>
      <c r="P1939" s="65"/>
      <c r="Q1939" s="367" t="s">
        <v>176</v>
      </c>
      <c r="T1939" s="200">
        <v>1</v>
      </c>
    </row>
    <row r="1940" spans="1:20" ht="15" customHeight="1" x14ac:dyDescent="0.3">
      <c r="A1940" s="368"/>
      <c r="B1940" s="368"/>
      <c r="C1940" s="41">
        <v>-13970</v>
      </c>
      <c r="D1940" s="371"/>
      <c r="E1940" s="368"/>
      <c r="F1940" s="368"/>
      <c r="G1940" s="368"/>
      <c r="H1940" s="368"/>
      <c r="I1940" s="368"/>
      <c r="J1940" s="368"/>
      <c r="K1940" s="368"/>
      <c r="L1940" s="368"/>
      <c r="M1940" s="359"/>
      <c r="N1940" s="397"/>
      <c r="O1940" s="368"/>
      <c r="P1940" s="226">
        <v>44066</v>
      </c>
      <c r="Q1940" s="368"/>
    </row>
    <row r="1941" spans="1:20" ht="15" customHeight="1" thickBot="1" x14ac:dyDescent="0.35">
      <c r="A1941" s="369"/>
      <c r="B1941" s="369"/>
      <c r="C1941" s="42">
        <v>14082</v>
      </c>
      <c r="D1941" s="372"/>
      <c r="E1941" s="369"/>
      <c r="F1941" s="369"/>
      <c r="G1941" s="369"/>
      <c r="H1941" s="369"/>
      <c r="I1941" s="369"/>
      <c r="J1941" s="369"/>
      <c r="K1941" s="369"/>
      <c r="L1941" s="369"/>
      <c r="M1941" s="360"/>
      <c r="N1941" s="398"/>
      <c r="O1941" s="369"/>
      <c r="P1941" s="67"/>
      <c r="Q1941" s="369"/>
    </row>
    <row r="1942" spans="1:20" ht="15" hidden="1" customHeight="1" x14ac:dyDescent="0.3">
      <c r="A1942" s="367">
        <v>505</v>
      </c>
      <c r="B1942" s="367" t="s">
        <v>191</v>
      </c>
      <c r="C1942" s="40">
        <v>-8639</v>
      </c>
      <c r="D1942" s="367">
        <v>1</v>
      </c>
      <c r="E1942" s="367" t="s">
        <v>255</v>
      </c>
      <c r="F1942" s="367">
        <v>1450</v>
      </c>
      <c r="G1942" s="367">
        <v>1020</v>
      </c>
      <c r="H1942" s="367" t="s">
        <v>25</v>
      </c>
      <c r="I1942" s="367">
        <v>150</v>
      </c>
      <c r="J1942" s="370" t="s">
        <v>45</v>
      </c>
      <c r="K1942" s="367">
        <v>30</v>
      </c>
      <c r="L1942" s="367">
        <v>31</v>
      </c>
      <c r="M1942" s="358" t="s">
        <v>14</v>
      </c>
      <c r="N1942" s="396" t="s">
        <v>373</v>
      </c>
      <c r="O1942" s="367" t="s">
        <v>27</v>
      </c>
      <c r="P1942" s="322"/>
      <c r="Q1942" s="367" t="s">
        <v>368</v>
      </c>
    </row>
    <row r="1943" spans="1:20" ht="15" customHeight="1" x14ac:dyDescent="0.3">
      <c r="A1943" s="368"/>
      <c r="B1943" s="368"/>
      <c r="C1943" s="41">
        <v>-11896</v>
      </c>
      <c r="D1943" s="368"/>
      <c r="E1943" s="368"/>
      <c r="F1943" s="368"/>
      <c r="G1943" s="368"/>
      <c r="H1943" s="368"/>
      <c r="I1943" s="368"/>
      <c r="J1943" s="371"/>
      <c r="K1943" s="368"/>
      <c r="L1943" s="368"/>
      <c r="M1943" s="359"/>
      <c r="N1943" s="397"/>
      <c r="O1943" s="368"/>
      <c r="P1943" s="226">
        <v>44097</v>
      </c>
      <c r="Q1943" s="368"/>
    </row>
    <row r="1944" spans="1:20" ht="15" customHeight="1" thickBot="1" x14ac:dyDescent="0.35">
      <c r="A1944" s="369"/>
      <c r="B1944" s="369"/>
      <c r="C1944" s="42">
        <v>14082</v>
      </c>
      <c r="D1944" s="369"/>
      <c r="E1944" s="369"/>
      <c r="F1944" s="369"/>
      <c r="G1944" s="369"/>
      <c r="H1944" s="369"/>
      <c r="I1944" s="369"/>
      <c r="J1944" s="372"/>
      <c r="K1944" s="369"/>
      <c r="L1944" s="369"/>
      <c r="M1944" s="360"/>
      <c r="N1944" s="398"/>
      <c r="O1944" s="369"/>
      <c r="P1944" s="323"/>
      <c r="Q1944" s="369"/>
      <c r="T1944" s="200">
        <v>1</v>
      </c>
    </row>
    <row r="1945" spans="1:20" ht="15" hidden="1" customHeight="1" x14ac:dyDescent="0.3">
      <c r="A1945" s="367">
        <v>506</v>
      </c>
      <c r="B1945" s="367" t="s">
        <v>230</v>
      </c>
      <c r="C1945" s="40">
        <v>-8311</v>
      </c>
      <c r="D1945" s="367">
        <v>1</v>
      </c>
      <c r="E1945" s="367" t="s">
        <v>161</v>
      </c>
      <c r="F1945" s="367">
        <v>1450</v>
      </c>
      <c r="G1945" s="367">
        <v>1020</v>
      </c>
      <c r="H1945" s="367" t="s">
        <v>25</v>
      </c>
      <c r="I1945" s="367">
        <v>150</v>
      </c>
      <c r="J1945" s="370" t="s">
        <v>45</v>
      </c>
      <c r="K1945" s="367">
        <v>40</v>
      </c>
      <c r="L1945" s="367">
        <v>17.5</v>
      </c>
      <c r="M1945" s="358" t="s">
        <v>14</v>
      </c>
      <c r="N1945" s="396" t="s">
        <v>373</v>
      </c>
      <c r="O1945" s="367" t="s">
        <v>27</v>
      </c>
      <c r="P1945" s="322"/>
      <c r="Q1945" s="367" t="s">
        <v>364</v>
      </c>
    </row>
    <row r="1946" spans="1:20" ht="15" customHeight="1" x14ac:dyDescent="0.3">
      <c r="A1946" s="368"/>
      <c r="B1946" s="368"/>
      <c r="C1946" s="41">
        <v>-11667</v>
      </c>
      <c r="D1946" s="368"/>
      <c r="E1946" s="368"/>
      <c r="F1946" s="368"/>
      <c r="G1946" s="368"/>
      <c r="H1946" s="368"/>
      <c r="I1946" s="368"/>
      <c r="J1946" s="371"/>
      <c r="K1946" s="368"/>
      <c r="L1946" s="368"/>
      <c r="M1946" s="359"/>
      <c r="N1946" s="397"/>
      <c r="O1946" s="368"/>
      <c r="P1946" s="226">
        <v>44097</v>
      </c>
      <c r="Q1946" s="368"/>
      <c r="T1946" s="200">
        <v>1</v>
      </c>
    </row>
    <row r="1947" spans="1:20" ht="15" customHeight="1" thickBot="1" x14ac:dyDescent="0.35">
      <c r="A1947" s="369"/>
      <c r="B1947" s="369"/>
      <c r="C1947" s="42">
        <v>14082</v>
      </c>
      <c r="D1947" s="369"/>
      <c r="E1947" s="369"/>
      <c r="F1947" s="369"/>
      <c r="G1947" s="369"/>
      <c r="H1947" s="369"/>
      <c r="I1947" s="369"/>
      <c r="J1947" s="372"/>
      <c r="K1947" s="369"/>
      <c r="L1947" s="369"/>
      <c r="M1947" s="360"/>
      <c r="N1947" s="398"/>
      <c r="O1947" s="369"/>
      <c r="P1947" s="323"/>
      <c r="Q1947" s="369"/>
    </row>
    <row r="1948" spans="1:20" ht="15" hidden="1" customHeight="1" x14ac:dyDescent="0.3">
      <c r="A1948" s="367">
        <v>507</v>
      </c>
      <c r="B1948" s="367" t="s">
        <v>174</v>
      </c>
      <c r="C1948" s="40">
        <v>-6524</v>
      </c>
      <c r="D1948" s="370">
        <v>0</v>
      </c>
      <c r="E1948" s="367" t="s">
        <v>13</v>
      </c>
      <c r="F1948" s="367">
        <v>1450</v>
      </c>
      <c r="G1948" s="367">
        <v>1020</v>
      </c>
      <c r="H1948" s="367" t="s">
        <v>25</v>
      </c>
      <c r="I1948" s="367" t="s">
        <v>13</v>
      </c>
      <c r="J1948" s="367" t="s">
        <v>13</v>
      </c>
      <c r="K1948" s="367" t="s">
        <v>13</v>
      </c>
      <c r="L1948" s="367" t="s">
        <v>13</v>
      </c>
      <c r="M1948" s="358" t="s">
        <v>14</v>
      </c>
      <c r="N1948" s="396" t="s">
        <v>373</v>
      </c>
      <c r="O1948" s="367" t="s">
        <v>27</v>
      </c>
      <c r="P1948" s="65"/>
      <c r="Q1948" s="367" t="s">
        <v>176</v>
      </c>
    </row>
    <row r="1949" spans="1:20" ht="15" customHeight="1" x14ac:dyDescent="0.3">
      <c r="A1949" s="368"/>
      <c r="B1949" s="368"/>
      <c r="C1949" s="41">
        <v>-16886</v>
      </c>
      <c r="D1949" s="371"/>
      <c r="E1949" s="368"/>
      <c r="F1949" s="368"/>
      <c r="G1949" s="368"/>
      <c r="H1949" s="368"/>
      <c r="I1949" s="368"/>
      <c r="J1949" s="368"/>
      <c r="K1949" s="368"/>
      <c r="L1949" s="368"/>
      <c r="M1949" s="359"/>
      <c r="N1949" s="397"/>
      <c r="O1949" s="368"/>
      <c r="P1949" s="226">
        <v>44066</v>
      </c>
      <c r="Q1949" s="368"/>
      <c r="T1949" s="200">
        <v>1</v>
      </c>
    </row>
    <row r="1950" spans="1:20" ht="15" customHeight="1" thickBot="1" x14ac:dyDescent="0.35">
      <c r="A1950" s="369"/>
      <c r="B1950" s="369"/>
      <c r="C1950" s="42">
        <v>14082</v>
      </c>
      <c r="D1950" s="372"/>
      <c r="E1950" s="369"/>
      <c r="F1950" s="369"/>
      <c r="G1950" s="369"/>
      <c r="H1950" s="369"/>
      <c r="I1950" s="369"/>
      <c r="J1950" s="369"/>
      <c r="K1950" s="369"/>
      <c r="L1950" s="369"/>
      <c r="M1950" s="360"/>
      <c r="N1950" s="398"/>
      <c r="O1950" s="369"/>
      <c r="P1950" s="67"/>
      <c r="Q1950" s="369"/>
    </row>
    <row r="1951" spans="1:20" ht="15" hidden="1" customHeight="1" x14ac:dyDescent="0.3">
      <c r="A1951" s="367">
        <v>508</v>
      </c>
      <c r="B1951" s="367" t="s">
        <v>179</v>
      </c>
      <c r="C1951" s="40">
        <v>-6852</v>
      </c>
      <c r="D1951" s="367">
        <v>1</v>
      </c>
      <c r="E1951" s="367" t="s">
        <v>161</v>
      </c>
      <c r="F1951" s="367">
        <v>1450</v>
      </c>
      <c r="G1951" s="367">
        <v>1020</v>
      </c>
      <c r="H1951" s="367" t="s">
        <v>25</v>
      </c>
      <c r="I1951" s="367">
        <v>150</v>
      </c>
      <c r="J1951" s="370" t="s">
        <v>45</v>
      </c>
      <c r="K1951" s="367">
        <v>40</v>
      </c>
      <c r="L1951" s="367">
        <v>17.5</v>
      </c>
      <c r="M1951" s="358" t="s">
        <v>14</v>
      </c>
      <c r="N1951" s="396" t="s">
        <v>373</v>
      </c>
      <c r="O1951" s="367" t="s">
        <v>27</v>
      </c>
      <c r="P1951" s="65"/>
      <c r="Q1951" s="367" t="s">
        <v>260</v>
      </c>
    </row>
    <row r="1952" spans="1:20" ht="15" customHeight="1" x14ac:dyDescent="0.3">
      <c r="A1952" s="368"/>
      <c r="B1952" s="368"/>
      <c r="C1952" s="41">
        <v>-17116</v>
      </c>
      <c r="D1952" s="368"/>
      <c r="E1952" s="368"/>
      <c r="F1952" s="368"/>
      <c r="G1952" s="368"/>
      <c r="H1952" s="368"/>
      <c r="I1952" s="368"/>
      <c r="J1952" s="371"/>
      <c r="K1952" s="368"/>
      <c r="L1952" s="368"/>
      <c r="M1952" s="359"/>
      <c r="N1952" s="397"/>
      <c r="O1952" s="368"/>
      <c r="P1952" s="226">
        <v>44066</v>
      </c>
      <c r="Q1952" s="368"/>
      <c r="T1952" s="200">
        <v>1</v>
      </c>
    </row>
    <row r="1953" spans="1:20" ht="15" customHeight="1" thickBot="1" x14ac:dyDescent="0.35">
      <c r="A1953" s="369"/>
      <c r="B1953" s="369"/>
      <c r="C1953" s="42">
        <v>14082</v>
      </c>
      <c r="D1953" s="369"/>
      <c r="E1953" s="369"/>
      <c r="F1953" s="369"/>
      <c r="G1953" s="369"/>
      <c r="H1953" s="369"/>
      <c r="I1953" s="369"/>
      <c r="J1953" s="372"/>
      <c r="K1953" s="369"/>
      <c r="L1953" s="369"/>
      <c r="M1953" s="360"/>
      <c r="N1953" s="398"/>
      <c r="O1953" s="369"/>
      <c r="P1953" s="67"/>
      <c r="Q1953" s="369"/>
    </row>
    <row r="1954" spans="1:20" ht="15" hidden="1" customHeight="1" x14ac:dyDescent="0.3">
      <c r="A1954" s="367">
        <v>509</v>
      </c>
      <c r="B1954" s="367" t="s">
        <v>270</v>
      </c>
      <c r="C1954" s="40">
        <v>-7180</v>
      </c>
      <c r="D1954" s="367">
        <v>1</v>
      </c>
      <c r="E1954" s="367" t="s">
        <v>271</v>
      </c>
      <c r="F1954" s="367">
        <v>1450</v>
      </c>
      <c r="G1954" s="367">
        <v>1020</v>
      </c>
      <c r="H1954" s="367" t="s">
        <v>25</v>
      </c>
      <c r="I1954" s="367">
        <v>30</v>
      </c>
      <c r="J1954" s="370">
        <f>-0.01/0.05</f>
        <v>-0.19999999999999998</v>
      </c>
      <c r="K1954" s="367">
        <v>0</v>
      </c>
      <c r="L1954" s="367">
        <v>54.5</v>
      </c>
      <c r="M1954" s="358" t="s">
        <v>14</v>
      </c>
      <c r="N1954" s="396" t="s">
        <v>373</v>
      </c>
      <c r="O1954" s="367" t="s">
        <v>27</v>
      </c>
      <c r="P1954" s="65"/>
      <c r="Q1954" s="367" t="s">
        <v>374</v>
      </c>
    </row>
    <row r="1955" spans="1:20" ht="15" customHeight="1" x14ac:dyDescent="0.3">
      <c r="A1955" s="368"/>
      <c r="B1955" s="368"/>
      <c r="C1955" s="41">
        <v>-17345</v>
      </c>
      <c r="D1955" s="368"/>
      <c r="E1955" s="368"/>
      <c r="F1955" s="368"/>
      <c r="G1955" s="368"/>
      <c r="H1955" s="368"/>
      <c r="I1955" s="368"/>
      <c r="J1955" s="371"/>
      <c r="K1955" s="368"/>
      <c r="L1955" s="368"/>
      <c r="M1955" s="359"/>
      <c r="N1955" s="397"/>
      <c r="O1955" s="368"/>
      <c r="P1955" s="66"/>
      <c r="Q1955" s="368"/>
      <c r="T1955" s="200">
        <v>1</v>
      </c>
    </row>
    <row r="1956" spans="1:20" ht="15" customHeight="1" thickBot="1" x14ac:dyDescent="0.35">
      <c r="A1956" s="369"/>
      <c r="B1956" s="369"/>
      <c r="C1956" s="42">
        <v>14082</v>
      </c>
      <c r="D1956" s="369"/>
      <c r="E1956" s="369"/>
      <c r="F1956" s="369"/>
      <c r="G1956" s="369"/>
      <c r="H1956" s="369"/>
      <c r="I1956" s="369"/>
      <c r="J1956" s="372"/>
      <c r="K1956" s="369"/>
      <c r="L1956" s="369"/>
      <c r="M1956" s="360"/>
      <c r="N1956" s="398"/>
      <c r="O1956" s="369"/>
      <c r="P1956" s="227">
        <v>44066</v>
      </c>
      <c r="Q1956" s="369"/>
    </row>
    <row r="1957" spans="1:20" ht="15" hidden="1" customHeight="1" x14ac:dyDescent="0.3">
      <c r="A1957" s="367">
        <v>510</v>
      </c>
      <c r="B1957" s="367" t="s">
        <v>174</v>
      </c>
      <c r="C1957" s="40">
        <v>-14190</v>
      </c>
      <c r="D1957" s="370">
        <v>0</v>
      </c>
      <c r="E1957" s="367" t="s">
        <v>13</v>
      </c>
      <c r="F1957" s="367">
        <v>1450</v>
      </c>
      <c r="G1957" s="367">
        <v>1200</v>
      </c>
      <c r="H1957" s="367" t="s">
        <v>50</v>
      </c>
      <c r="I1957" s="367" t="s">
        <v>13</v>
      </c>
      <c r="J1957" s="367" t="s">
        <v>13</v>
      </c>
      <c r="K1957" s="367" t="s">
        <v>13</v>
      </c>
      <c r="L1957" s="367" t="s">
        <v>13</v>
      </c>
      <c r="M1957" s="358" t="s">
        <v>14</v>
      </c>
      <c r="N1957" s="396" t="s">
        <v>375</v>
      </c>
      <c r="O1957" s="367" t="s">
        <v>27</v>
      </c>
      <c r="P1957" s="65"/>
      <c r="Q1957" s="367" t="s">
        <v>176</v>
      </c>
    </row>
    <row r="1958" spans="1:20" ht="15" customHeight="1" x14ac:dyDescent="0.3">
      <c r="A1958" s="368"/>
      <c r="B1958" s="368"/>
      <c r="C1958" s="41">
        <v>13450</v>
      </c>
      <c r="D1958" s="371"/>
      <c r="E1958" s="368"/>
      <c r="F1958" s="368"/>
      <c r="G1958" s="368"/>
      <c r="H1958" s="368"/>
      <c r="I1958" s="368"/>
      <c r="J1958" s="368"/>
      <c r="K1958" s="368"/>
      <c r="L1958" s="368"/>
      <c r="M1958" s="359"/>
      <c r="N1958" s="397"/>
      <c r="O1958" s="368"/>
      <c r="P1958" s="66"/>
      <c r="Q1958" s="368"/>
      <c r="T1958" s="200">
        <v>1</v>
      </c>
    </row>
    <row r="1959" spans="1:20" ht="15" customHeight="1" thickBot="1" x14ac:dyDescent="0.35">
      <c r="A1959" s="369"/>
      <c r="B1959" s="369"/>
      <c r="C1959" s="42">
        <v>13952</v>
      </c>
      <c r="D1959" s="372"/>
      <c r="E1959" s="369"/>
      <c r="F1959" s="369"/>
      <c r="G1959" s="369"/>
      <c r="H1959" s="369"/>
      <c r="I1959" s="369"/>
      <c r="J1959" s="369"/>
      <c r="K1959" s="369"/>
      <c r="L1959" s="369"/>
      <c r="M1959" s="360"/>
      <c r="N1959" s="398"/>
      <c r="O1959" s="369"/>
      <c r="P1959" s="227">
        <v>44066</v>
      </c>
      <c r="Q1959" s="369"/>
    </row>
    <row r="1960" spans="1:20" ht="15" hidden="1" customHeight="1" x14ac:dyDescent="0.3">
      <c r="A1960" s="367">
        <v>511</v>
      </c>
      <c r="B1960" s="367" t="s">
        <v>174</v>
      </c>
      <c r="C1960" s="40">
        <v>-14590</v>
      </c>
      <c r="D1960" s="370">
        <v>0</v>
      </c>
      <c r="E1960" s="367" t="s">
        <v>13</v>
      </c>
      <c r="F1960" s="367">
        <v>1450</v>
      </c>
      <c r="G1960" s="367">
        <v>1200</v>
      </c>
      <c r="H1960" s="367" t="s">
        <v>50</v>
      </c>
      <c r="I1960" s="367" t="s">
        <v>13</v>
      </c>
      <c r="J1960" s="367" t="s">
        <v>13</v>
      </c>
      <c r="K1960" s="367" t="s">
        <v>13</v>
      </c>
      <c r="L1960" s="367" t="s">
        <v>13</v>
      </c>
      <c r="M1960" s="358" t="s">
        <v>14</v>
      </c>
      <c r="N1960" s="396" t="s">
        <v>375</v>
      </c>
      <c r="O1960" s="367" t="s">
        <v>27</v>
      </c>
      <c r="P1960" s="65"/>
      <c r="Q1960" s="367" t="s">
        <v>176</v>
      </c>
      <c r="T1960" s="200">
        <v>1</v>
      </c>
    </row>
    <row r="1961" spans="1:20" ht="15" customHeight="1" x14ac:dyDescent="0.3">
      <c r="A1961" s="368"/>
      <c r="B1961" s="368"/>
      <c r="C1961" s="41">
        <v>13450</v>
      </c>
      <c r="D1961" s="371"/>
      <c r="E1961" s="368"/>
      <c r="F1961" s="368"/>
      <c r="G1961" s="368"/>
      <c r="H1961" s="368"/>
      <c r="I1961" s="368"/>
      <c r="J1961" s="368"/>
      <c r="K1961" s="368"/>
      <c r="L1961" s="368"/>
      <c r="M1961" s="359"/>
      <c r="N1961" s="397"/>
      <c r="O1961" s="368"/>
      <c r="P1961" s="66"/>
      <c r="Q1961" s="368"/>
    </row>
    <row r="1962" spans="1:20" ht="15" customHeight="1" thickBot="1" x14ac:dyDescent="0.35">
      <c r="A1962" s="369"/>
      <c r="B1962" s="369"/>
      <c r="C1962" s="42">
        <v>13952</v>
      </c>
      <c r="D1962" s="372"/>
      <c r="E1962" s="369"/>
      <c r="F1962" s="369"/>
      <c r="G1962" s="369"/>
      <c r="H1962" s="369"/>
      <c r="I1962" s="369"/>
      <c r="J1962" s="369"/>
      <c r="K1962" s="369"/>
      <c r="L1962" s="369"/>
      <c r="M1962" s="360"/>
      <c r="N1962" s="398"/>
      <c r="O1962" s="369"/>
      <c r="P1962" s="227">
        <v>44066</v>
      </c>
      <c r="Q1962" s="369"/>
    </row>
    <row r="1963" spans="1:20" ht="15" hidden="1" customHeight="1" x14ac:dyDescent="0.3">
      <c r="A1963" s="367">
        <v>512</v>
      </c>
      <c r="B1963" s="367" t="s">
        <v>174</v>
      </c>
      <c r="C1963" s="40">
        <v>-14990</v>
      </c>
      <c r="D1963" s="370">
        <v>0</v>
      </c>
      <c r="E1963" s="367" t="s">
        <v>13</v>
      </c>
      <c r="F1963" s="367">
        <v>1450</v>
      </c>
      <c r="G1963" s="367">
        <v>1200</v>
      </c>
      <c r="H1963" s="367" t="s">
        <v>50</v>
      </c>
      <c r="I1963" s="367" t="s">
        <v>13</v>
      </c>
      <c r="J1963" s="367" t="s">
        <v>13</v>
      </c>
      <c r="K1963" s="367" t="s">
        <v>13</v>
      </c>
      <c r="L1963" s="367" t="s">
        <v>13</v>
      </c>
      <c r="M1963" s="358" t="s">
        <v>14</v>
      </c>
      <c r="N1963" s="396" t="s">
        <v>375</v>
      </c>
      <c r="O1963" s="367" t="s">
        <v>27</v>
      </c>
      <c r="P1963" s="65"/>
      <c r="Q1963" s="367" t="s">
        <v>176</v>
      </c>
      <c r="T1963" s="200">
        <v>1</v>
      </c>
    </row>
    <row r="1964" spans="1:20" ht="15" customHeight="1" x14ac:dyDescent="0.3">
      <c r="A1964" s="368"/>
      <c r="B1964" s="368"/>
      <c r="C1964" s="41">
        <v>13450</v>
      </c>
      <c r="D1964" s="371"/>
      <c r="E1964" s="368"/>
      <c r="F1964" s="368"/>
      <c r="G1964" s="368"/>
      <c r="H1964" s="368"/>
      <c r="I1964" s="368"/>
      <c r="J1964" s="368"/>
      <c r="K1964" s="368"/>
      <c r="L1964" s="368"/>
      <c r="M1964" s="359"/>
      <c r="N1964" s="397"/>
      <c r="O1964" s="368"/>
      <c r="P1964" s="226">
        <v>44066</v>
      </c>
      <c r="Q1964" s="368"/>
    </row>
    <row r="1965" spans="1:20" ht="15" customHeight="1" thickBot="1" x14ac:dyDescent="0.35">
      <c r="A1965" s="369"/>
      <c r="B1965" s="369"/>
      <c r="C1965" s="42">
        <v>13952</v>
      </c>
      <c r="D1965" s="372"/>
      <c r="E1965" s="369"/>
      <c r="F1965" s="369"/>
      <c r="G1965" s="369"/>
      <c r="H1965" s="369"/>
      <c r="I1965" s="369"/>
      <c r="J1965" s="369"/>
      <c r="K1965" s="369"/>
      <c r="L1965" s="369"/>
      <c r="M1965" s="360"/>
      <c r="N1965" s="398"/>
      <c r="O1965" s="369"/>
      <c r="P1965" s="67"/>
      <c r="Q1965" s="369"/>
    </row>
    <row r="1966" spans="1:20" ht="15" hidden="1" customHeight="1" x14ac:dyDescent="0.3">
      <c r="A1966" s="367">
        <v>513</v>
      </c>
      <c r="B1966" s="367" t="s">
        <v>174</v>
      </c>
      <c r="C1966" s="40">
        <v>-16650</v>
      </c>
      <c r="D1966" s="370">
        <v>0</v>
      </c>
      <c r="E1966" s="367" t="s">
        <v>13</v>
      </c>
      <c r="F1966" s="367">
        <v>1450</v>
      </c>
      <c r="G1966" s="367">
        <v>1200</v>
      </c>
      <c r="H1966" s="367" t="s">
        <v>50</v>
      </c>
      <c r="I1966" s="367" t="s">
        <v>13</v>
      </c>
      <c r="J1966" s="367" t="s">
        <v>13</v>
      </c>
      <c r="K1966" s="367" t="s">
        <v>13</v>
      </c>
      <c r="L1966" s="367" t="s">
        <v>13</v>
      </c>
      <c r="M1966" s="358" t="s">
        <v>14</v>
      </c>
      <c r="N1966" s="396" t="s">
        <v>375</v>
      </c>
      <c r="O1966" s="367" t="s">
        <v>27</v>
      </c>
      <c r="P1966" s="65"/>
      <c r="Q1966" s="367" t="s">
        <v>176</v>
      </c>
    </row>
    <row r="1967" spans="1:20" ht="15" customHeight="1" x14ac:dyDescent="0.3">
      <c r="A1967" s="368"/>
      <c r="B1967" s="368"/>
      <c r="C1967" s="41">
        <v>11605</v>
      </c>
      <c r="D1967" s="371"/>
      <c r="E1967" s="368"/>
      <c r="F1967" s="368"/>
      <c r="G1967" s="368"/>
      <c r="H1967" s="368"/>
      <c r="I1967" s="368"/>
      <c r="J1967" s="368"/>
      <c r="K1967" s="368"/>
      <c r="L1967" s="368"/>
      <c r="M1967" s="359"/>
      <c r="N1967" s="397"/>
      <c r="O1967" s="368"/>
      <c r="P1967" s="226">
        <v>44066</v>
      </c>
      <c r="Q1967" s="368"/>
    </row>
    <row r="1968" spans="1:20" ht="15" customHeight="1" thickBot="1" x14ac:dyDescent="0.35">
      <c r="A1968" s="369"/>
      <c r="B1968" s="369"/>
      <c r="C1968" s="42">
        <v>13952</v>
      </c>
      <c r="D1968" s="372"/>
      <c r="E1968" s="369"/>
      <c r="F1968" s="369"/>
      <c r="G1968" s="369"/>
      <c r="H1968" s="369"/>
      <c r="I1968" s="369"/>
      <c r="J1968" s="369"/>
      <c r="K1968" s="369"/>
      <c r="L1968" s="369"/>
      <c r="M1968" s="360"/>
      <c r="N1968" s="398"/>
      <c r="O1968" s="369"/>
      <c r="P1968" s="67"/>
      <c r="Q1968" s="369"/>
      <c r="T1968" s="200">
        <v>1</v>
      </c>
    </row>
    <row r="1969" spans="1:20" ht="15" hidden="1" customHeight="1" x14ac:dyDescent="0.3">
      <c r="A1969" s="370">
        <v>514</v>
      </c>
      <c r="B1969" s="370" t="s">
        <v>179</v>
      </c>
      <c r="C1969" s="37">
        <v>-16650</v>
      </c>
      <c r="D1969" s="370">
        <v>1</v>
      </c>
      <c r="E1969" s="370" t="s">
        <v>66</v>
      </c>
      <c r="F1969" s="367">
        <v>1450</v>
      </c>
      <c r="G1969" s="367">
        <v>1200</v>
      </c>
      <c r="H1969" s="370" t="s">
        <v>25</v>
      </c>
      <c r="I1969" s="370">
        <v>60</v>
      </c>
      <c r="J1969" s="370" t="s">
        <v>376</v>
      </c>
      <c r="K1969" s="370">
        <v>30</v>
      </c>
      <c r="L1969" s="367">
        <v>34.5</v>
      </c>
      <c r="M1969" s="358" t="s">
        <v>14</v>
      </c>
      <c r="N1969" s="399" t="s">
        <v>375</v>
      </c>
      <c r="O1969" s="367" t="s">
        <v>27</v>
      </c>
      <c r="P1969" s="65"/>
      <c r="Q1969" s="367" t="s">
        <v>362</v>
      </c>
    </row>
    <row r="1970" spans="1:20" ht="15" customHeight="1" x14ac:dyDescent="0.3">
      <c r="A1970" s="371"/>
      <c r="B1970" s="371"/>
      <c r="C1970" s="38">
        <v>11205</v>
      </c>
      <c r="D1970" s="371"/>
      <c r="E1970" s="371"/>
      <c r="F1970" s="368"/>
      <c r="G1970" s="368"/>
      <c r="H1970" s="371"/>
      <c r="I1970" s="371"/>
      <c r="J1970" s="371"/>
      <c r="K1970" s="371"/>
      <c r="L1970" s="368"/>
      <c r="M1970" s="359"/>
      <c r="N1970" s="400"/>
      <c r="O1970" s="368"/>
      <c r="P1970" s="226">
        <v>44066</v>
      </c>
      <c r="Q1970" s="368"/>
    </row>
    <row r="1971" spans="1:20" ht="15" customHeight="1" thickBot="1" x14ac:dyDescent="0.35">
      <c r="A1971" s="372"/>
      <c r="B1971" s="372"/>
      <c r="C1971" s="39">
        <v>13952</v>
      </c>
      <c r="D1971" s="372"/>
      <c r="E1971" s="372"/>
      <c r="F1971" s="369"/>
      <c r="G1971" s="369"/>
      <c r="H1971" s="372"/>
      <c r="I1971" s="372"/>
      <c r="J1971" s="372"/>
      <c r="K1971" s="372"/>
      <c r="L1971" s="369"/>
      <c r="M1971" s="360"/>
      <c r="N1971" s="401"/>
      <c r="O1971" s="369"/>
      <c r="P1971" s="67"/>
      <c r="Q1971" s="369"/>
      <c r="T1971" s="200">
        <v>1</v>
      </c>
    </row>
    <row r="1972" spans="1:20" ht="15" hidden="1" customHeight="1" x14ac:dyDescent="0.3">
      <c r="A1972" s="367">
        <v>515</v>
      </c>
      <c r="B1972" s="367" t="s">
        <v>334</v>
      </c>
      <c r="C1972" s="40">
        <v>-16650</v>
      </c>
      <c r="D1972" s="367">
        <v>1</v>
      </c>
      <c r="E1972" s="367" t="s">
        <v>66</v>
      </c>
      <c r="F1972" s="367">
        <v>1450</v>
      </c>
      <c r="G1972" s="367">
        <v>1200</v>
      </c>
      <c r="H1972" s="367" t="s">
        <v>25</v>
      </c>
      <c r="I1972" s="367">
        <v>60</v>
      </c>
      <c r="J1972" s="370" t="s">
        <v>377</v>
      </c>
      <c r="K1972" s="367">
        <v>30</v>
      </c>
      <c r="L1972" s="367">
        <v>34.5</v>
      </c>
      <c r="M1972" s="358" t="s">
        <v>14</v>
      </c>
      <c r="N1972" s="396" t="s">
        <v>375</v>
      </c>
      <c r="O1972" s="367" t="s">
        <v>27</v>
      </c>
      <c r="P1972" s="65"/>
      <c r="Q1972" s="367" t="s">
        <v>362</v>
      </c>
    </row>
    <row r="1973" spans="1:20" ht="15" customHeight="1" x14ac:dyDescent="0.3">
      <c r="A1973" s="368"/>
      <c r="B1973" s="368"/>
      <c r="C1973" s="41">
        <v>10805</v>
      </c>
      <c r="D1973" s="368"/>
      <c r="E1973" s="368"/>
      <c r="F1973" s="368"/>
      <c r="G1973" s="368"/>
      <c r="H1973" s="368"/>
      <c r="I1973" s="368"/>
      <c r="J1973" s="371"/>
      <c r="K1973" s="368"/>
      <c r="L1973" s="368"/>
      <c r="M1973" s="359"/>
      <c r="N1973" s="397"/>
      <c r="O1973" s="368"/>
      <c r="P1973" s="226">
        <v>44066</v>
      </c>
      <c r="Q1973" s="368"/>
    </row>
    <row r="1974" spans="1:20" ht="15" customHeight="1" thickBot="1" x14ac:dyDescent="0.35">
      <c r="A1974" s="369"/>
      <c r="B1974" s="369"/>
      <c r="C1974" s="42">
        <v>13952</v>
      </c>
      <c r="D1974" s="369"/>
      <c r="E1974" s="369"/>
      <c r="F1974" s="369"/>
      <c r="G1974" s="369"/>
      <c r="H1974" s="369"/>
      <c r="I1974" s="369"/>
      <c r="J1974" s="372"/>
      <c r="K1974" s="369"/>
      <c r="L1974" s="369"/>
      <c r="M1974" s="360"/>
      <c r="N1974" s="398"/>
      <c r="O1974" s="369"/>
      <c r="P1974" s="67"/>
      <c r="Q1974" s="369"/>
      <c r="T1974" s="200">
        <v>1</v>
      </c>
    </row>
    <row r="1975" spans="1:20" ht="15" hidden="1" customHeight="1" x14ac:dyDescent="0.3">
      <c r="A1975" s="367">
        <v>516</v>
      </c>
      <c r="B1975" s="367" t="s">
        <v>160</v>
      </c>
      <c r="C1975" s="40">
        <v>-12250</v>
      </c>
      <c r="D1975" s="367">
        <v>1</v>
      </c>
      <c r="E1975" s="367" t="s">
        <v>63</v>
      </c>
      <c r="F1975" s="367">
        <v>1450</v>
      </c>
      <c r="G1975" s="367">
        <v>1200</v>
      </c>
      <c r="H1975" s="367" t="s">
        <v>61</v>
      </c>
      <c r="I1975" s="367">
        <v>100</v>
      </c>
      <c r="J1975" s="370" t="s">
        <v>45</v>
      </c>
      <c r="K1975" s="367">
        <v>30</v>
      </c>
      <c r="L1975" s="367">
        <v>39.5</v>
      </c>
      <c r="M1975" s="358" t="s">
        <v>14</v>
      </c>
      <c r="N1975" s="396" t="s">
        <v>375</v>
      </c>
      <c r="O1975" s="367" t="s">
        <v>27</v>
      </c>
      <c r="P1975" s="261"/>
      <c r="Q1975" s="367" t="s">
        <v>254</v>
      </c>
    </row>
    <row r="1976" spans="1:20" ht="15" customHeight="1" x14ac:dyDescent="0.3">
      <c r="A1976" s="368"/>
      <c r="B1976" s="368"/>
      <c r="C1976" s="41">
        <v>13700</v>
      </c>
      <c r="D1976" s="368"/>
      <c r="E1976" s="368"/>
      <c r="F1976" s="368"/>
      <c r="G1976" s="368"/>
      <c r="H1976" s="368"/>
      <c r="I1976" s="368"/>
      <c r="J1976" s="371"/>
      <c r="K1976" s="368"/>
      <c r="L1976" s="368"/>
      <c r="M1976" s="359"/>
      <c r="N1976" s="397"/>
      <c r="O1976" s="368"/>
      <c r="P1976" s="226">
        <v>44090</v>
      </c>
      <c r="Q1976" s="368"/>
      <c r="T1976" s="200">
        <v>1</v>
      </c>
    </row>
    <row r="1977" spans="1:20" ht="15" customHeight="1" thickBot="1" x14ac:dyDescent="0.35">
      <c r="A1977" s="369"/>
      <c r="B1977" s="369"/>
      <c r="C1977" s="42">
        <v>13952</v>
      </c>
      <c r="D1977" s="369"/>
      <c r="E1977" s="369"/>
      <c r="F1977" s="369"/>
      <c r="G1977" s="369"/>
      <c r="H1977" s="369"/>
      <c r="I1977" s="369"/>
      <c r="J1977" s="372"/>
      <c r="K1977" s="369"/>
      <c r="L1977" s="369"/>
      <c r="M1977" s="360"/>
      <c r="N1977" s="398"/>
      <c r="O1977" s="369"/>
      <c r="P1977" s="262"/>
      <c r="Q1977" s="369"/>
    </row>
    <row r="1978" spans="1:20" ht="15" hidden="1" customHeight="1" x14ac:dyDescent="0.3">
      <c r="A1978" s="367">
        <v>517</v>
      </c>
      <c r="B1978" s="367" t="s">
        <v>160</v>
      </c>
      <c r="C1978" s="40">
        <v>-12900</v>
      </c>
      <c r="D1978" s="367">
        <v>1</v>
      </c>
      <c r="E1978" s="367" t="s">
        <v>63</v>
      </c>
      <c r="F1978" s="367">
        <v>1450</v>
      </c>
      <c r="G1978" s="367">
        <v>1200</v>
      </c>
      <c r="H1978" s="367" t="s">
        <v>61</v>
      </c>
      <c r="I1978" s="367">
        <v>100</v>
      </c>
      <c r="J1978" s="370" t="s">
        <v>45</v>
      </c>
      <c r="K1978" s="367">
        <v>30</v>
      </c>
      <c r="L1978" s="367">
        <v>39.5</v>
      </c>
      <c r="M1978" s="358" t="s">
        <v>14</v>
      </c>
      <c r="N1978" s="396" t="s">
        <v>375</v>
      </c>
      <c r="O1978" s="367" t="s">
        <v>27</v>
      </c>
      <c r="P1978" s="184"/>
      <c r="Q1978" s="367" t="s">
        <v>254</v>
      </c>
      <c r="R1978" s="186">
        <v>44068</v>
      </c>
    </row>
    <row r="1979" spans="1:20" ht="15" customHeight="1" x14ac:dyDescent="0.3">
      <c r="A1979" s="368"/>
      <c r="B1979" s="368"/>
      <c r="C1979" s="41">
        <v>13700</v>
      </c>
      <c r="D1979" s="368"/>
      <c r="E1979" s="368"/>
      <c r="F1979" s="368"/>
      <c r="G1979" s="368"/>
      <c r="H1979" s="368"/>
      <c r="I1979" s="368"/>
      <c r="J1979" s="371"/>
      <c r="K1979" s="368"/>
      <c r="L1979" s="368"/>
      <c r="M1979" s="359"/>
      <c r="N1979" s="397"/>
      <c r="O1979" s="368"/>
      <c r="P1979" s="226">
        <v>44066</v>
      </c>
      <c r="Q1979" s="368"/>
      <c r="T1979" s="200">
        <v>1</v>
      </c>
    </row>
    <row r="1980" spans="1:20" ht="15" customHeight="1" thickBot="1" x14ac:dyDescent="0.35">
      <c r="A1980" s="369"/>
      <c r="B1980" s="369"/>
      <c r="C1980" s="42">
        <v>13952</v>
      </c>
      <c r="D1980" s="369"/>
      <c r="E1980" s="369"/>
      <c r="F1980" s="369"/>
      <c r="G1980" s="369"/>
      <c r="H1980" s="369"/>
      <c r="I1980" s="369"/>
      <c r="J1980" s="372"/>
      <c r="K1980" s="369"/>
      <c r="L1980" s="369"/>
      <c r="M1980" s="360"/>
      <c r="N1980" s="398"/>
      <c r="O1980" s="369"/>
      <c r="P1980" s="185"/>
      <c r="Q1980" s="369"/>
    </row>
    <row r="1981" spans="1:20" ht="15" hidden="1" customHeight="1" x14ac:dyDescent="0.3">
      <c r="A1981" s="367">
        <v>518</v>
      </c>
      <c r="B1981" s="367" t="s">
        <v>174</v>
      </c>
      <c r="C1981" s="40">
        <v>-16650</v>
      </c>
      <c r="D1981" s="370">
        <v>0</v>
      </c>
      <c r="E1981" s="367" t="s">
        <v>13</v>
      </c>
      <c r="F1981" s="367">
        <v>1450</v>
      </c>
      <c r="G1981" s="367">
        <v>1200</v>
      </c>
      <c r="H1981" s="367" t="s">
        <v>25</v>
      </c>
      <c r="I1981" s="367" t="s">
        <v>13</v>
      </c>
      <c r="J1981" s="367" t="s">
        <v>13</v>
      </c>
      <c r="K1981" s="367" t="s">
        <v>13</v>
      </c>
      <c r="L1981" s="367" t="s">
        <v>13</v>
      </c>
      <c r="M1981" s="358" t="s">
        <v>14</v>
      </c>
      <c r="N1981" s="396" t="s">
        <v>375</v>
      </c>
      <c r="O1981" s="367" t="s">
        <v>27</v>
      </c>
      <c r="P1981" s="65"/>
      <c r="Q1981" s="367" t="s">
        <v>176</v>
      </c>
    </row>
    <row r="1982" spans="1:20" ht="15" customHeight="1" x14ac:dyDescent="0.3">
      <c r="A1982" s="368"/>
      <c r="B1982" s="368"/>
      <c r="C1982" s="41">
        <v>905</v>
      </c>
      <c r="D1982" s="371"/>
      <c r="E1982" s="368"/>
      <c r="F1982" s="368"/>
      <c r="G1982" s="368"/>
      <c r="H1982" s="368"/>
      <c r="I1982" s="368"/>
      <c r="J1982" s="368"/>
      <c r="K1982" s="368"/>
      <c r="L1982" s="368"/>
      <c r="M1982" s="359"/>
      <c r="N1982" s="397"/>
      <c r="O1982" s="368"/>
      <c r="P1982" s="226">
        <v>44066</v>
      </c>
      <c r="Q1982" s="368"/>
      <c r="T1982" s="200">
        <v>1</v>
      </c>
    </row>
    <row r="1983" spans="1:20" ht="15" customHeight="1" thickBot="1" x14ac:dyDescent="0.35">
      <c r="A1983" s="369"/>
      <c r="B1983" s="369"/>
      <c r="C1983" s="42">
        <v>13952</v>
      </c>
      <c r="D1983" s="372"/>
      <c r="E1983" s="369"/>
      <c r="F1983" s="369"/>
      <c r="G1983" s="369"/>
      <c r="H1983" s="369"/>
      <c r="I1983" s="369"/>
      <c r="J1983" s="369"/>
      <c r="K1983" s="369"/>
      <c r="L1983" s="369"/>
      <c r="M1983" s="360"/>
      <c r="N1983" s="398"/>
      <c r="O1983" s="369"/>
      <c r="P1983" s="67"/>
      <c r="Q1983" s="369"/>
    </row>
    <row r="1984" spans="1:20" ht="15" hidden="1" customHeight="1" x14ac:dyDescent="0.3">
      <c r="A1984" s="367">
        <v>519</v>
      </c>
      <c r="B1984" s="367" t="s">
        <v>179</v>
      </c>
      <c r="C1984" s="40">
        <v>-17050</v>
      </c>
      <c r="D1984" s="367">
        <v>1</v>
      </c>
      <c r="E1984" s="367" t="s">
        <v>161</v>
      </c>
      <c r="F1984" s="367">
        <v>1450</v>
      </c>
      <c r="G1984" s="367">
        <v>1200</v>
      </c>
      <c r="H1984" s="367" t="s">
        <v>50</v>
      </c>
      <c r="I1984" s="367">
        <v>60</v>
      </c>
      <c r="J1984" s="370" t="s">
        <v>378</v>
      </c>
      <c r="K1984" s="367">
        <v>30</v>
      </c>
      <c r="L1984" s="367">
        <v>3</v>
      </c>
      <c r="M1984" s="358" t="s">
        <v>14</v>
      </c>
      <c r="N1984" s="396" t="s">
        <v>375</v>
      </c>
      <c r="O1984" s="367" t="s">
        <v>27</v>
      </c>
      <c r="P1984" s="65"/>
      <c r="Q1984" s="367" t="s">
        <v>258</v>
      </c>
      <c r="T1984" s="200">
        <v>1</v>
      </c>
    </row>
    <row r="1985" spans="1:20" ht="15" customHeight="1" x14ac:dyDescent="0.3">
      <c r="A1985" s="368"/>
      <c r="B1985" s="368"/>
      <c r="C1985" s="41">
        <v>8705</v>
      </c>
      <c r="D1985" s="368"/>
      <c r="E1985" s="368"/>
      <c r="F1985" s="368"/>
      <c r="G1985" s="368"/>
      <c r="H1985" s="368"/>
      <c r="I1985" s="368"/>
      <c r="J1985" s="371"/>
      <c r="K1985" s="368"/>
      <c r="L1985" s="368"/>
      <c r="M1985" s="359"/>
      <c r="N1985" s="397"/>
      <c r="O1985" s="368"/>
      <c r="P1985" s="226">
        <v>44066</v>
      </c>
      <c r="Q1985" s="368"/>
    </row>
    <row r="1986" spans="1:20" ht="15" customHeight="1" thickBot="1" x14ac:dyDescent="0.35">
      <c r="A1986" s="369"/>
      <c r="B1986" s="369"/>
      <c r="C1986" s="42">
        <v>13952</v>
      </c>
      <c r="D1986" s="369"/>
      <c r="E1986" s="369"/>
      <c r="F1986" s="369"/>
      <c r="G1986" s="369"/>
      <c r="H1986" s="369"/>
      <c r="I1986" s="369"/>
      <c r="J1986" s="372"/>
      <c r="K1986" s="369"/>
      <c r="L1986" s="369"/>
      <c r="M1986" s="360"/>
      <c r="N1986" s="398"/>
      <c r="O1986" s="369"/>
      <c r="P1986" s="67"/>
      <c r="Q1986" s="369"/>
    </row>
    <row r="1987" spans="1:20" ht="15" hidden="1" customHeight="1" x14ac:dyDescent="0.3">
      <c r="A1987" s="367">
        <v>520</v>
      </c>
      <c r="B1987" s="367" t="s">
        <v>179</v>
      </c>
      <c r="C1987" s="40">
        <v>-17050</v>
      </c>
      <c r="D1987" s="367">
        <v>1</v>
      </c>
      <c r="E1987" s="367" t="s">
        <v>161</v>
      </c>
      <c r="F1987" s="367">
        <v>1450</v>
      </c>
      <c r="G1987" s="367">
        <v>1200</v>
      </c>
      <c r="H1987" s="367" t="s">
        <v>50</v>
      </c>
      <c r="I1987" s="367">
        <v>60</v>
      </c>
      <c r="J1987" s="370" t="s">
        <v>379</v>
      </c>
      <c r="K1987" s="367">
        <v>30</v>
      </c>
      <c r="L1987" s="367">
        <v>3</v>
      </c>
      <c r="M1987" s="358" t="s">
        <v>14</v>
      </c>
      <c r="N1987" s="396" t="s">
        <v>375</v>
      </c>
      <c r="O1987" s="367" t="s">
        <v>27</v>
      </c>
      <c r="P1987" s="65"/>
      <c r="Q1987" s="367" t="s">
        <v>258</v>
      </c>
      <c r="T1987" s="200">
        <v>1</v>
      </c>
    </row>
    <row r="1988" spans="1:20" ht="15" customHeight="1" x14ac:dyDescent="0.3">
      <c r="A1988" s="368"/>
      <c r="B1988" s="368"/>
      <c r="C1988" s="41">
        <v>8455</v>
      </c>
      <c r="D1988" s="368"/>
      <c r="E1988" s="368"/>
      <c r="F1988" s="368"/>
      <c r="G1988" s="368"/>
      <c r="H1988" s="368"/>
      <c r="I1988" s="368"/>
      <c r="J1988" s="371"/>
      <c r="K1988" s="368"/>
      <c r="L1988" s="368"/>
      <c r="M1988" s="359"/>
      <c r="N1988" s="397"/>
      <c r="O1988" s="368"/>
      <c r="P1988" s="226">
        <v>44066</v>
      </c>
      <c r="Q1988" s="368"/>
    </row>
    <row r="1989" spans="1:20" ht="15" customHeight="1" thickBot="1" x14ac:dyDescent="0.35">
      <c r="A1989" s="369"/>
      <c r="B1989" s="369"/>
      <c r="C1989" s="42">
        <v>13952</v>
      </c>
      <c r="D1989" s="369"/>
      <c r="E1989" s="369"/>
      <c r="F1989" s="369"/>
      <c r="G1989" s="369"/>
      <c r="H1989" s="369"/>
      <c r="I1989" s="369"/>
      <c r="J1989" s="372"/>
      <c r="K1989" s="369"/>
      <c r="L1989" s="369"/>
      <c r="M1989" s="360"/>
      <c r="N1989" s="398"/>
      <c r="O1989" s="369"/>
      <c r="P1989" s="67"/>
      <c r="Q1989" s="369"/>
    </row>
    <row r="1990" spans="1:20" ht="15" hidden="1" customHeight="1" x14ac:dyDescent="0.3">
      <c r="A1990" s="367">
        <v>521</v>
      </c>
      <c r="B1990" s="367" t="s">
        <v>174</v>
      </c>
      <c r="C1990" s="40">
        <v>-19500</v>
      </c>
      <c r="D1990" s="370">
        <v>0</v>
      </c>
      <c r="E1990" s="367" t="s">
        <v>13</v>
      </c>
      <c r="F1990" s="367">
        <v>1450</v>
      </c>
      <c r="G1990" s="367">
        <v>1200</v>
      </c>
      <c r="H1990" s="367" t="s">
        <v>25</v>
      </c>
      <c r="I1990" s="367" t="s">
        <v>13</v>
      </c>
      <c r="J1990" s="367" t="s">
        <v>13</v>
      </c>
      <c r="K1990" s="367" t="s">
        <v>13</v>
      </c>
      <c r="L1990" s="367" t="s">
        <v>13</v>
      </c>
      <c r="M1990" s="358" t="s">
        <v>14</v>
      </c>
      <c r="N1990" s="396" t="s">
        <v>375</v>
      </c>
      <c r="O1990" s="367" t="s">
        <v>27</v>
      </c>
      <c r="P1990" s="201"/>
      <c r="Q1990" s="367" t="s">
        <v>176</v>
      </c>
      <c r="R1990" s="186">
        <v>44066</v>
      </c>
      <c r="T1990" s="200">
        <v>1</v>
      </c>
    </row>
    <row r="1991" spans="1:20" ht="15" customHeight="1" x14ac:dyDescent="0.3">
      <c r="A1991" s="368"/>
      <c r="B1991" s="368"/>
      <c r="C1991" s="41">
        <v>405</v>
      </c>
      <c r="D1991" s="371"/>
      <c r="E1991" s="368"/>
      <c r="F1991" s="368"/>
      <c r="G1991" s="368"/>
      <c r="H1991" s="368"/>
      <c r="I1991" s="368"/>
      <c r="J1991" s="368"/>
      <c r="K1991" s="368"/>
      <c r="L1991" s="368"/>
      <c r="M1991" s="359"/>
      <c r="N1991" s="397"/>
      <c r="O1991" s="368"/>
      <c r="P1991" s="226">
        <v>44066</v>
      </c>
      <c r="Q1991" s="368"/>
    </row>
    <row r="1992" spans="1:20" ht="15" customHeight="1" thickBot="1" x14ac:dyDescent="0.35">
      <c r="A1992" s="369"/>
      <c r="B1992" s="369"/>
      <c r="C1992" s="42">
        <v>13952</v>
      </c>
      <c r="D1992" s="372"/>
      <c r="E1992" s="369"/>
      <c r="F1992" s="369"/>
      <c r="G1992" s="369"/>
      <c r="H1992" s="369"/>
      <c r="I1992" s="369"/>
      <c r="J1992" s="369"/>
      <c r="K1992" s="369"/>
      <c r="L1992" s="369"/>
      <c r="M1992" s="360"/>
      <c r="N1992" s="398"/>
      <c r="O1992" s="369"/>
      <c r="P1992" s="203"/>
      <c r="Q1992" s="369"/>
    </row>
    <row r="1993" spans="1:20" ht="15" hidden="1" customHeight="1" x14ac:dyDescent="0.3">
      <c r="A1993" s="367">
        <v>522</v>
      </c>
      <c r="B1993" s="367" t="s">
        <v>174</v>
      </c>
      <c r="C1993" s="40">
        <v>-19500</v>
      </c>
      <c r="D1993" s="370">
        <v>0</v>
      </c>
      <c r="E1993" s="367" t="s">
        <v>13</v>
      </c>
      <c r="F1993" s="367">
        <v>1450</v>
      </c>
      <c r="G1993" s="367">
        <v>1200</v>
      </c>
      <c r="H1993" s="367" t="s">
        <v>25</v>
      </c>
      <c r="I1993" s="367" t="s">
        <v>13</v>
      </c>
      <c r="J1993" s="367" t="s">
        <v>13</v>
      </c>
      <c r="K1993" s="367" t="s">
        <v>13</v>
      </c>
      <c r="L1993" s="367" t="s">
        <v>13</v>
      </c>
      <c r="M1993" s="358" t="s">
        <v>14</v>
      </c>
      <c r="N1993" s="396" t="s">
        <v>375</v>
      </c>
      <c r="O1993" s="367" t="s">
        <v>27</v>
      </c>
      <c r="P1993" s="65"/>
      <c r="Q1993" s="367" t="s">
        <v>176</v>
      </c>
      <c r="T1993" s="200">
        <v>1</v>
      </c>
    </row>
    <row r="1994" spans="1:20" ht="15" customHeight="1" x14ac:dyDescent="0.3">
      <c r="A1994" s="368"/>
      <c r="B1994" s="368"/>
      <c r="C1994" s="41">
        <v>-395</v>
      </c>
      <c r="D1994" s="371"/>
      <c r="E1994" s="368"/>
      <c r="F1994" s="368"/>
      <c r="G1994" s="368"/>
      <c r="H1994" s="368"/>
      <c r="I1994" s="368"/>
      <c r="J1994" s="368"/>
      <c r="K1994" s="368"/>
      <c r="L1994" s="368"/>
      <c r="M1994" s="359"/>
      <c r="N1994" s="397"/>
      <c r="O1994" s="368"/>
      <c r="P1994" s="226">
        <v>44066</v>
      </c>
      <c r="Q1994" s="368"/>
    </row>
    <row r="1995" spans="1:20" ht="15" customHeight="1" thickBot="1" x14ac:dyDescent="0.35">
      <c r="A1995" s="369"/>
      <c r="B1995" s="369"/>
      <c r="C1995" s="42">
        <v>13952</v>
      </c>
      <c r="D1995" s="372"/>
      <c r="E1995" s="369"/>
      <c r="F1995" s="369"/>
      <c r="G1995" s="369"/>
      <c r="H1995" s="369"/>
      <c r="I1995" s="369"/>
      <c r="J1995" s="369"/>
      <c r="K1995" s="369"/>
      <c r="L1995" s="369"/>
      <c r="M1995" s="360"/>
      <c r="N1995" s="398"/>
      <c r="O1995" s="369"/>
      <c r="P1995" s="67"/>
      <c r="Q1995" s="369"/>
    </row>
    <row r="1996" spans="1:20" ht="15" hidden="1" customHeight="1" x14ac:dyDescent="0.3">
      <c r="A1996" s="367">
        <v>523</v>
      </c>
      <c r="B1996" s="367" t="s">
        <v>174</v>
      </c>
      <c r="C1996" s="40">
        <v>-16640</v>
      </c>
      <c r="D1996" s="370">
        <v>0</v>
      </c>
      <c r="E1996" s="367" t="s">
        <v>13</v>
      </c>
      <c r="F1996" s="367">
        <v>1450</v>
      </c>
      <c r="G1996" s="367">
        <v>1200</v>
      </c>
      <c r="H1996" s="367" t="s">
        <v>96</v>
      </c>
      <c r="I1996" s="367" t="s">
        <v>13</v>
      </c>
      <c r="J1996" s="367" t="s">
        <v>13</v>
      </c>
      <c r="K1996" s="367" t="s">
        <v>13</v>
      </c>
      <c r="L1996" s="367" t="s">
        <v>13</v>
      </c>
      <c r="M1996" s="358" t="s">
        <v>14</v>
      </c>
      <c r="N1996" s="396" t="s">
        <v>380</v>
      </c>
      <c r="O1996" s="367" t="s">
        <v>27</v>
      </c>
      <c r="P1996" s="65"/>
      <c r="Q1996" s="367" t="s">
        <v>244</v>
      </c>
    </row>
    <row r="1997" spans="1:20" ht="15" customHeight="1" x14ac:dyDescent="0.3">
      <c r="A1997" s="368"/>
      <c r="B1997" s="368"/>
      <c r="C1997" s="41">
        <v>-5165</v>
      </c>
      <c r="D1997" s="371"/>
      <c r="E1997" s="368"/>
      <c r="F1997" s="368"/>
      <c r="G1997" s="368"/>
      <c r="H1997" s="368"/>
      <c r="I1997" s="368"/>
      <c r="J1997" s="368"/>
      <c r="K1997" s="368"/>
      <c r="L1997" s="368"/>
      <c r="M1997" s="359"/>
      <c r="N1997" s="397"/>
      <c r="O1997" s="368"/>
      <c r="P1997" s="66"/>
      <c r="Q1997" s="368"/>
      <c r="T1997" s="200">
        <v>1</v>
      </c>
    </row>
    <row r="1998" spans="1:20" ht="15" customHeight="1" thickBot="1" x14ac:dyDescent="0.35">
      <c r="A1998" s="369"/>
      <c r="B1998" s="369"/>
      <c r="C1998" s="42">
        <v>13952</v>
      </c>
      <c r="D1998" s="372"/>
      <c r="E1998" s="369"/>
      <c r="F1998" s="369"/>
      <c r="G1998" s="369"/>
      <c r="H1998" s="369"/>
      <c r="I1998" s="369"/>
      <c r="J1998" s="369"/>
      <c r="K1998" s="369"/>
      <c r="L1998" s="369"/>
      <c r="M1998" s="360"/>
      <c r="N1998" s="398"/>
      <c r="O1998" s="369"/>
      <c r="P1998" s="227">
        <v>44066</v>
      </c>
      <c r="Q1998" s="369"/>
    </row>
    <row r="1999" spans="1:20" ht="15" hidden="1" customHeight="1" x14ac:dyDescent="0.3">
      <c r="A1999" s="367">
        <v>524</v>
      </c>
      <c r="B1999" s="367" t="s">
        <v>174</v>
      </c>
      <c r="C1999" s="40">
        <v>-17115</v>
      </c>
      <c r="D1999" s="370">
        <v>0</v>
      </c>
      <c r="E1999" s="367" t="s">
        <v>13</v>
      </c>
      <c r="F1999" s="367">
        <v>1450</v>
      </c>
      <c r="G1999" s="367">
        <v>1200</v>
      </c>
      <c r="H1999" s="367" t="s">
        <v>25</v>
      </c>
      <c r="I1999" s="367" t="s">
        <v>13</v>
      </c>
      <c r="J1999" s="367" t="s">
        <v>13</v>
      </c>
      <c r="K1999" s="367" t="s">
        <v>13</v>
      </c>
      <c r="L1999" s="367" t="s">
        <v>13</v>
      </c>
      <c r="M1999" s="358" t="s">
        <v>14</v>
      </c>
      <c r="N1999" s="396" t="s">
        <v>381</v>
      </c>
      <c r="O1999" s="367" t="s">
        <v>27</v>
      </c>
      <c r="P1999" s="65"/>
      <c r="Q1999" s="367" t="s">
        <v>176</v>
      </c>
    </row>
    <row r="2000" spans="1:20" ht="15" customHeight="1" x14ac:dyDescent="0.3">
      <c r="A2000" s="368"/>
      <c r="B2000" s="368"/>
      <c r="C2000" s="41">
        <v>-11250</v>
      </c>
      <c r="D2000" s="371"/>
      <c r="E2000" s="368"/>
      <c r="F2000" s="368"/>
      <c r="G2000" s="368"/>
      <c r="H2000" s="368"/>
      <c r="I2000" s="368"/>
      <c r="J2000" s="368"/>
      <c r="K2000" s="368"/>
      <c r="L2000" s="368"/>
      <c r="M2000" s="359"/>
      <c r="N2000" s="397"/>
      <c r="O2000" s="368"/>
      <c r="P2000" s="66"/>
      <c r="Q2000" s="368"/>
    </row>
    <row r="2001" spans="1:20" ht="15" customHeight="1" thickBot="1" x14ac:dyDescent="0.35">
      <c r="A2001" s="369"/>
      <c r="B2001" s="369"/>
      <c r="C2001" s="42">
        <v>13952</v>
      </c>
      <c r="D2001" s="372"/>
      <c r="E2001" s="369"/>
      <c r="F2001" s="369"/>
      <c r="G2001" s="369"/>
      <c r="H2001" s="369"/>
      <c r="I2001" s="369"/>
      <c r="J2001" s="369"/>
      <c r="K2001" s="369"/>
      <c r="L2001" s="369"/>
      <c r="M2001" s="360"/>
      <c r="N2001" s="398"/>
      <c r="O2001" s="369"/>
      <c r="P2001" s="227">
        <v>44066</v>
      </c>
      <c r="Q2001" s="369"/>
      <c r="T2001" s="200">
        <v>1</v>
      </c>
    </row>
    <row r="2002" spans="1:20" ht="15" hidden="1" customHeight="1" x14ac:dyDescent="0.3">
      <c r="A2002" s="367">
        <v>525</v>
      </c>
      <c r="B2002" s="367" t="s">
        <v>174</v>
      </c>
      <c r="C2002" s="40">
        <v>-16915</v>
      </c>
      <c r="D2002" s="370">
        <v>0</v>
      </c>
      <c r="E2002" s="367" t="s">
        <v>13</v>
      </c>
      <c r="F2002" s="367">
        <v>1450</v>
      </c>
      <c r="G2002" s="367">
        <v>1200</v>
      </c>
      <c r="H2002" s="367" t="s">
        <v>25</v>
      </c>
      <c r="I2002" s="367" t="s">
        <v>13</v>
      </c>
      <c r="J2002" s="367" t="s">
        <v>13</v>
      </c>
      <c r="K2002" s="367" t="s">
        <v>13</v>
      </c>
      <c r="L2002" s="367" t="s">
        <v>13</v>
      </c>
      <c r="M2002" s="358" t="s">
        <v>14</v>
      </c>
      <c r="N2002" s="396" t="s">
        <v>381</v>
      </c>
      <c r="O2002" s="367" t="s">
        <v>27</v>
      </c>
      <c r="P2002" s="65"/>
      <c r="Q2002" s="367" t="s">
        <v>176</v>
      </c>
    </row>
    <row r="2003" spans="1:20" ht="15" customHeight="1" x14ac:dyDescent="0.3">
      <c r="A2003" s="368"/>
      <c r="B2003" s="368"/>
      <c r="C2003" s="41">
        <v>-11595</v>
      </c>
      <c r="D2003" s="371"/>
      <c r="E2003" s="368"/>
      <c r="F2003" s="368"/>
      <c r="G2003" s="368"/>
      <c r="H2003" s="368"/>
      <c r="I2003" s="368"/>
      <c r="J2003" s="368"/>
      <c r="K2003" s="368"/>
      <c r="L2003" s="368"/>
      <c r="M2003" s="359"/>
      <c r="N2003" s="397"/>
      <c r="O2003" s="368"/>
      <c r="P2003" s="226">
        <v>44066</v>
      </c>
      <c r="Q2003" s="368"/>
    </row>
    <row r="2004" spans="1:20" ht="15" customHeight="1" thickBot="1" x14ac:dyDescent="0.35">
      <c r="A2004" s="369"/>
      <c r="B2004" s="369"/>
      <c r="C2004" s="42">
        <v>13952</v>
      </c>
      <c r="D2004" s="372"/>
      <c r="E2004" s="369"/>
      <c r="F2004" s="369"/>
      <c r="G2004" s="369"/>
      <c r="H2004" s="369"/>
      <c r="I2004" s="369"/>
      <c r="J2004" s="369"/>
      <c r="K2004" s="369"/>
      <c r="L2004" s="369"/>
      <c r="M2004" s="360"/>
      <c r="N2004" s="398"/>
      <c r="O2004" s="369"/>
      <c r="P2004" s="67"/>
      <c r="Q2004" s="369"/>
      <c r="T2004" s="200">
        <v>1</v>
      </c>
    </row>
    <row r="2005" spans="1:20" ht="15" hidden="1" customHeight="1" x14ac:dyDescent="0.3">
      <c r="A2005" s="373">
        <v>526</v>
      </c>
      <c r="B2005" s="373" t="s">
        <v>64</v>
      </c>
      <c r="C2005" s="49">
        <v>-15320</v>
      </c>
      <c r="D2005" s="373">
        <v>1</v>
      </c>
      <c r="E2005" s="373" t="s">
        <v>201</v>
      </c>
      <c r="F2005" s="373">
        <v>1450</v>
      </c>
      <c r="G2005" s="373">
        <v>1170</v>
      </c>
      <c r="H2005" s="373" t="s">
        <v>12</v>
      </c>
      <c r="I2005" s="373">
        <v>350</v>
      </c>
      <c r="J2005" s="376" t="s">
        <v>45</v>
      </c>
      <c r="K2005" s="373">
        <v>90</v>
      </c>
      <c r="L2005" s="373">
        <v>24</v>
      </c>
      <c r="M2005" s="379" t="s">
        <v>14</v>
      </c>
      <c r="N2005" s="408" t="s">
        <v>382</v>
      </c>
      <c r="O2005" s="373" t="s">
        <v>27</v>
      </c>
      <c r="P2005" s="271"/>
      <c r="Q2005" s="373" t="s">
        <v>298</v>
      </c>
    </row>
    <row r="2006" spans="1:20" ht="15" customHeight="1" x14ac:dyDescent="0.3">
      <c r="A2006" s="374"/>
      <c r="B2006" s="374"/>
      <c r="C2006" s="51">
        <v>-10960</v>
      </c>
      <c r="D2006" s="374"/>
      <c r="E2006" s="374"/>
      <c r="F2006" s="374"/>
      <c r="G2006" s="374"/>
      <c r="H2006" s="374"/>
      <c r="I2006" s="374"/>
      <c r="J2006" s="377"/>
      <c r="K2006" s="374"/>
      <c r="L2006" s="374"/>
      <c r="M2006" s="380"/>
      <c r="N2006" s="409"/>
      <c r="O2006" s="374"/>
      <c r="P2006" s="240">
        <v>44066</v>
      </c>
      <c r="Q2006" s="374"/>
      <c r="T2006" s="288">
        <v>1</v>
      </c>
    </row>
    <row r="2007" spans="1:20" ht="15" customHeight="1" thickBot="1" x14ac:dyDescent="0.35">
      <c r="A2007" s="375"/>
      <c r="B2007" s="375"/>
      <c r="C2007" s="50">
        <v>13952</v>
      </c>
      <c r="D2007" s="375"/>
      <c r="E2007" s="375"/>
      <c r="F2007" s="375"/>
      <c r="G2007" s="375"/>
      <c r="H2007" s="375"/>
      <c r="I2007" s="375"/>
      <c r="J2007" s="378"/>
      <c r="K2007" s="375"/>
      <c r="L2007" s="375"/>
      <c r="M2007" s="381"/>
      <c r="N2007" s="410"/>
      <c r="O2007" s="375"/>
      <c r="P2007" s="273"/>
      <c r="Q2007" s="375"/>
    </row>
    <row r="2008" spans="1:20" ht="15" hidden="1" customHeight="1" x14ac:dyDescent="0.3">
      <c r="A2008" s="367">
        <v>527</v>
      </c>
      <c r="B2008" s="367" t="s">
        <v>174</v>
      </c>
      <c r="C2008" s="40">
        <v>-5703</v>
      </c>
      <c r="D2008" s="370">
        <v>0</v>
      </c>
      <c r="E2008" s="367" t="s">
        <v>13</v>
      </c>
      <c r="F2008" s="367">
        <v>1450</v>
      </c>
      <c r="G2008" s="367">
        <v>1200</v>
      </c>
      <c r="H2008" s="367" t="s">
        <v>25</v>
      </c>
      <c r="I2008" s="367" t="s">
        <v>13</v>
      </c>
      <c r="J2008" s="367" t="s">
        <v>13</v>
      </c>
      <c r="K2008" s="367" t="s">
        <v>13</v>
      </c>
      <c r="L2008" s="367" t="s">
        <v>13</v>
      </c>
      <c r="M2008" s="358" t="s">
        <v>14</v>
      </c>
      <c r="N2008" s="396" t="s">
        <v>383</v>
      </c>
      <c r="O2008" s="367" t="s">
        <v>27</v>
      </c>
      <c r="P2008" s="65"/>
      <c r="Q2008" s="367" t="s">
        <v>176</v>
      </c>
      <c r="T2008" s="200">
        <v>1</v>
      </c>
    </row>
    <row r="2009" spans="1:20" ht="15" customHeight="1" x14ac:dyDescent="0.3">
      <c r="A2009" s="368"/>
      <c r="B2009" s="368"/>
      <c r="C2009" s="41">
        <v>-18094</v>
      </c>
      <c r="D2009" s="371"/>
      <c r="E2009" s="368"/>
      <c r="F2009" s="368"/>
      <c r="G2009" s="368"/>
      <c r="H2009" s="368"/>
      <c r="I2009" s="368"/>
      <c r="J2009" s="368"/>
      <c r="K2009" s="368"/>
      <c r="L2009" s="368"/>
      <c r="M2009" s="359"/>
      <c r="N2009" s="397"/>
      <c r="O2009" s="368"/>
      <c r="P2009" s="226">
        <v>44066</v>
      </c>
      <c r="Q2009" s="368"/>
    </row>
    <row r="2010" spans="1:20" ht="15" customHeight="1" thickBot="1" x14ac:dyDescent="0.35">
      <c r="A2010" s="369"/>
      <c r="B2010" s="369"/>
      <c r="C2010" s="42">
        <v>13952</v>
      </c>
      <c r="D2010" s="372"/>
      <c r="E2010" s="369"/>
      <c r="F2010" s="369"/>
      <c r="G2010" s="369"/>
      <c r="H2010" s="369"/>
      <c r="I2010" s="369"/>
      <c r="J2010" s="369"/>
      <c r="K2010" s="369"/>
      <c r="L2010" s="369"/>
      <c r="M2010" s="360"/>
      <c r="N2010" s="398"/>
      <c r="O2010" s="369"/>
      <c r="P2010" s="67"/>
      <c r="Q2010" s="369"/>
    </row>
    <row r="2011" spans="1:20" ht="15" hidden="1" customHeight="1" x14ac:dyDescent="0.3">
      <c r="A2011" s="367">
        <v>528</v>
      </c>
      <c r="B2011" s="367" t="s">
        <v>174</v>
      </c>
      <c r="C2011" s="40">
        <v>-5376</v>
      </c>
      <c r="D2011" s="370">
        <v>0</v>
      </c>
      <c r="E2011" s="367" t="s">
        <v>13</v>
      </c>
      <c r="F2011" s="367">
        <v>1450</v>
      </c>
      <c r="G2011" s="367">
        <v>1200</v>
      </c>
      <c r="H2011" s="367" t="s">
        <v>25</v>
      </c>
      <c r="I2011" s="367" t="s">
        <v>13</v>
      </c>
      <c r="J2011" s="367" t="s">
        <v>13</v>
      </c>
      <c r="K2011" s="367" t="s">
        <v>13</v>
      </c>
      <c r="L2011" s="367" t="s">
        <v>13</v>
      </c>
      <c r="M2011" s="358" t="s">
        <v>14</v>
      </c>
      <c r="N2011" s="396" t="s">
        <v>383</v>
      </c>
      <c r="O2011" s="367" t="s">
        <v>27</v>
      </c>
      <c r="P2011" s="65"/>
      <c r="Q2011" s="367" t="s">
        <v>176</v>
      </c>
      <c r="T2011" s="200">
        <v>1</v>
      </c>
    </row>
    <row r="2012" spans="1:20" ht="15" customHeight="1" x14ac:dyDescent="0.3">
      <c r="A2012" s="368"/>
      <c r="B2012" s="368"/>
      <c r="C2012" s="41">
        <v>-17864</v>
      </c>
      <c r="D2012" s="371"/>
      <c r="E2012" s="368"/>
      <c r="F2012" s="368"/>
      <c r="G2012" s="368"/>
      <c r="H2012" s="368"/>
      <c r="I2012" s="368"/>
      <c r="J2012" s="368"/>
      <c r="K2012" s="368"/>
      <c r="L2012" s="368"/>
      <c r="M2012" s="359"/>
      <c r="N2012" s="397"/>
      <c r="O2012" s="368"/>
      <c r="P2012" s="226">
        <v>44066</v>
      </c>
      <c r="Q2012" s="368"/>
    </row>
    <row r="2013" spans="1:20" ht="15" customHeight="1" thickBot="1" x14ac:dyDescent="0.35">
      <c r="A2013" s="369"/>
      <c r="B2013" s="369"/>
      <c r="C2013" s="42">
        <v>13952</v>
      </c>
      <c r="D2013" s="372"/>
      <c r="E2013" s="369"/>
      <c r="F2013" s="369"/>
      <c r="G2013" s="369"/>
      <c r="H2013" s="369"/>
      <c r="I2013" s="369"/>
      <c r="J2013" s="369"/>
      <c r="K2013" s="369"/>
      <c r="L2013" s="369"/>
      <c r="M2013" s="360"/>
      <c r="N2013" s="398"/>
      <c r="O2013" s="369"/>
      <c r="P2013" s="67"/>
      <c r="Q2013" s="369"/>
    </row>
    <row r="2014" spans="1:20" ht="15" hidden="1" customHeight="1" x14ac:dyDescent="0.3">
      <c r="A2014" s="367">
        <v>529</v>
      </c>
      <c r="B2014" s="367" t="s">
        <v>174</v>
      </c>
      <c r="C2014" s="40">
        <v>-4475</v>
      </c>
      <c r="D2014" s="370">
        <v>0</v>
      </c>
      <c r="E2014" s="367" t="s">
        <v>13</v>
      </c>
      <c r="F2014" s="367">
        <v>1450</v>
      </c>
      <c r="G2014" s="367">
        <v>1200</v>
      </c>
      <c r="H2014" s="367" t="s">
        <v>25</v>
      </c>
      <c r="I2014" s="367" t="s">
        <v>13</v>
      </c>
      <c r="J2014" s="367" t="s">
        <v>13</v>
      </c>
      <c r="K2014" s="367" t="s">
        <v>13</v>
      </c>
      <c r="L2014" s="367" t="s">
        <v>13</v>
      </c>
      <c r="M2014" s="358" t="s">
        <v>14</v>
      </c>
      <c r="N2014" s="396" t="s">
        <v>383</v>
      </c>
      <c r="O2014" s="367" t="s">
        <v>27</v>
      </c>
      <c r="P2014" s="65"/>
      <c r="Q2014" s="367" t="s">
        <v>176</v>
      </c>
      <c r="T2014" s="200">
        <v>1</v>
      </c>
    </row>
    <row r="2015" spans="1:20" ht="15" customHeight="1" x14ac:dyDescent="0.3">
      <c r="A2015" s="368"/>
      <c r="B2015" s="368"/>
      <c r="C2015" s="41">
        <v>-17233</v>
      </c>
      <c r="D2015" s="371"/>
      <c r="E2015" s="368"/>
      <c r="F2015" s="368"/>
      <c r="G2015" s="368"/>
      <c r="H2015" s="368"/>
      <c r="I2015" s="368"/>
      <c r="J2015" s="368"/>
      <c r="K2015" s="368"/>
      <c r="L2015" s="368"/>
      <c r="M2015" s="359"/>
      <c r="N2015" s="397"/>
      <c r="O2015" s="368"/>
      <c r="P2015" s="226">
        <v>44066</v>
      </c>
      <c r="Q2015" s="368"/>
    </row>
    <row r="2016" spans="1:20" ht="15" customHeight="1" thickBot="1" x14ac:dyDescent="0.35">
      <c r="A2016" s="369"/>
      <c r="B2016" s="369"/>
      <c r="C2016" s="42">
        <v>13952</v>
      </c>
      <c r="D2016" s="372"/>
      <c r="E2016" s="369"/>
      <c r="F2016" s="369"/>
      <c r="G2016" s="369"/>
      <c r="H2016" s="369"/>
      <c r="I2016" s="369"/>
      <c r="J2016" s="369"/>
      <c r="K2016" s="369"/>
      <c r="L2016" s="369"/>
      <c r="M2016" s="360"/>
      <c r="N2016" s="398"/>
      <c r="O2016" s="369"/>
      <c r="P2016" s="67"/>
      <c r="Q2016" s="369"/>
    </row>
    <row r="2017" spans="1:20" ht="15" hidden="1" customHeight="1" x14ac:dyDescent="0.3">
      <c r="A2017" s="367">
        <v>530</v>
      </c>
      <c r="B2017" s="367" t="s">
        <v>174</v>
      </c>
      <c r="C2017" s="40">
        <v>-4274</v>
      </c>
      <c r="D2017" s="370">
        <v>0</v>
      </c>
      <c r="E2017" s="367" t="s">
        <v>13</v>
      </c>
      <c r="F2017" s="367">
        <v>1450</v>
      </c>
      <c r="G2017" s="367">
        <v>1200</v>
      </c>
      <c r="H2017" s="367" t="s">
        <v>25</v>
      </c>
      <c r="I2017" s="367" t="s">
        <v>13</v>
      </c>
      <c r="J2017" s="367" t="s">
        <v>13</v>
      </c>
      <c r="K2017" s="367" t="s">
        <v>13</v>
      </c>
      <c r="L2017" s="367" t="s">
        <v>13</v>
      </c>
      <c r="M2017" s="358" t="s">
        <v>14</v>
      </c>
      <c r="N2017" s="396" t="s">
        <v>383</v>
      </c>
      <c r="O2017" s="367" t="s">
        <v>27</v>
      </c>
      <c r="P2017" s="65"/>
      <c r="Q2017" s="367" t="s">
        <v>176</v>
      </c>
    </row>
    <row r="2018" spans="1:20" ht="15" customHeight="1" x14ac:dyDescent="0.3">
      <c r="A2018" s="368"/>
      <c r="B2018" s="368"/>
      <c r="C2018" s="41">
        <v>-17520</v>
      </c>
      <c r="D2018" s="371"/>
      <c r="E2018" s="368"/>
      <c r="F2018" s="368"/>
      <c r="G2018" s="368"/>
      <c r="H2018" s="368"/>
      <c r="I2018" s="368"/>
      <c r="J2018" s="368"/>
      <c r="K2018" s="368"/>
      <c r="L2018" s="368"/>
      <c r="M2018" s="359"/>
      <c r="N2018" s="397"/>
      <c r="O2018" s="368"/>
      <c r="P2018" s="226">
        <v>44066</v>
      </c>
      <c r="Q2018" s="368"/>
      <c r="T2018" s="200">
        <v>1</v>
      </c>
    </row>
    <row r="2019" spans="1:20" ht="15" customHeight="1" thickBot="1" x14ac:dyDescent="0.35">
      <c r="A2019" s="369"/>
      <c r="B2019" s="369"/>
      <c r="C2019" s="42">
        <v>13952</v>
      </c>
      <c r="D2019" s="372"/>
      <c r="E2019" s="369"/>
      <c r="F2019" s="369"/>
      <c r="G2019" s="369"/>
      <c r="H2019" s="369"/>
      <c r="I2019" s="369"/>
      <c r="J2019" s="369"/>
      <c r="K2019" s="369"/>
      <c r="L2019" s="369"/>
      <c r="M2019" s="360"/>
      <c r="N2019" s="398"/>
      <c r="O2019" s="369"/>
      <c r="P2019" s="67"/>
      <c r="Q2019" s="369"/>
    </row>
    <row r="2020" spans="1:20" ht="15" hidden="1" customHeight="1" x14ac:dyDescent="0.3">
      <c r="A2020" s="367">
        <v>531</v>
      </c>
      <c r="B2020" s="367" t="s">
        <v>174</v>
      </c>
      <c r="C2020" s="40">
        <v>-4073</v>
      </c>
      <c r="D2020" s="370">
        <v>0</v>
      </c>
      <c r="E2020" s="367" t="s">
        <v>13</v>
      </c>
      <c r="F2020" s="367">
        <v>1450</v>
      </c>
      <c r="G2020" s="367">
        <v>1200</v>
      </c>
      <c r="H2020" s="367" t="s">
        <v>25</v>
      </c>
      <c r="I2020" s="367" t="s">
        <v>13</v>
      </c>
      <c r="J2020" s="367" t="s">
        <v>13</v>
      </c>
      <c r="K2020" s="367" t="s">
        <v>13</v>
      </c>
      <c r="L2020" s="367" t="s">
        <v>13</v>
      </c>
      <c r="M2020" s="358" t="s">
        <v>14</v>
      </c>
      <c r="N2020" s="396" t="s">
        <v>383</v>
      </c>
      <c r="O2020" s="367" t="s">
        <v>27</v>
      </c>
      <c r="P2020" s="65"/>
      <c r="Q2020" s="367" t="s">
        <v>176</v>
      </c>
    </row>
    <row r="2021" spans="1:20" ht="15" customHeight="1" x14ac:dyDescent="0.3">
      <c r="A2021" s="368"/>
      <c r="B2021" s="368"/>
      <c r="C2021" s="41">
        <v>-17807</v>
      </c>
      <c r="D2021" s="371"/>
      <c r="E2021" s="368"/>
      <c r="F2021" s="368"/>
      <c r="G2021" s="368"/>
      <c r="H2021" s="368"/>
      <c r="I2021" s="368"/>
      <c r="J2021" s="368"/>
      <c r="K2021" s="368"/>
      <c r="L2021" s="368"/>
      <c r="M2021" s="359"/>
      <c r="N2021" s="397"/>
      <c r="O2021" s="368"/>
      <c r="P2021" s="226">
        <v>44066</v>
      </c>
      <c r="Q2021" s="368"/>
      <c r="T2021" s="200">
        <v>1</v>
      </c>
    </row>
    <row r="2022" spans="1:20" ht="15" customHeight="1" thickBot="1" x14ac:dyDescent="0.35">
      <c r="A2022" s="369"/>
      <c r="B2022" s="369"/>
      <c r="C2022" s="42">
        <v>13952</v>
      </c>
      <c r="D2022" s="372"/>
      <c r="E2022" s="369"/>
      <c r="F2022" s="369"/>
      <c r="G2022" s="369"/>
      <c r="H2022" s="369"/>
      <c r="I2022" s="369"/>
      <c r="J2022" s="369"/>
      <c r="K2022" s="369"/>
      <c r="L2022" s="369"/>
      <c r="M2022" s="360"/>
      <c r="N2022" s="398"/>
      <c r="O2022" s="369"/>
      <c r="P2022" s="67"/>
      <c r="Q2022" s="369"/>
    </row>
    <row r="2023" spans="1:20" ht="15" hidden="1" customHeight="1" x14ac:dyDescent="0.3">
      <c r="A2023" s="367">
        <v>532</v>
      </c>
      <c r="B2023" s="367" t="s">
        <v>174</v>
      </c>
      <c r="C2023" s="40">
        <v>-2966</v>
      </c>
      <c r="D2023" s="370">
        <v>0</v>
      </c>
      <c r="E2023" s="367" t="s">
        <v>13</v>
      </c>
      <c r="F2023" s="367">
        <v>1450</v>
      </c>
      <c r="G2023" s="367">
        <v>1200</v>
      </c>
      <c r="H2023" s="367" t="s">
        <v>25</v>
      </c>
      <c r="I2023" s="367"/>
      <c r="J2023" s="367" t="s">
        <v>13</v>
      </c>
      <c r="K2023" s="367" t="s">
        <v>13</v>
      </c>
      <c r="L2023" s="367"/>
      <c r="M2023" s="358" t="s">
        <v>14</v>
      </c>
      <c r="N2023" s="396" t="s">
        <v>383</v>
      </c>
      <c r="O2023" s="367" t="s">
        <v>27</v>
      </c>
      <c r="P2023" s="65"/>
      <c r="Q2023" s="367" t="s">
        <v>176</v>
      </c>
    </row>
    <row r="2024" spans="1:20" ht="15" customHeight="1" x14ac:dyDescent="0.3">
      <c r="A2024" s="368"/>
      <c r="B2024" s="368"/>
      <c r="C2024" s="41">
        <v>-19388</v>
      </c>
      <c r="D2024" s="371"/>
      <c r="E2024" s="368"/>
      <c r="F2024" s="368"/>
      <c r="G2024" s="368"/>
      <c r="H2024" s="368"/>
      <c r="I2024" s="368"/>
      <c r="J2024" s="368"/>
      <c r="K2024" s="368"/>
      <c r="L2024" s="368"/>
      <c r="M2024" s="359"/>
      <c r="N2024" s="397"/>
      <c r="O2024" s="368"/>
      <c r="P2024" s="226">
        <v>44066</v>
      </c>
      <c r="Q2024" s="368"/>
      <c r="T2024" s="200">
        <v>1</v>
      </c>
    </row>
    <row r="2025" spans="1:20" ht="15" customHeight="1" thickBot="1" x14ac:dyDescent="0.35">
      <c r="A2025" s="369"/>
      <c r="B2025" s="369"/>
      <c r="C2025" s="42">
        <v>13952</v>
      </c>
      <c r="D2025" s="372"/>
      <c r="E2025" s="369"/>
      <c r="F2025" s="369"/>
      <c r="G2025" s="369"/>
      <c r="H2025" s="369"/>
      <c r="I2025" s="369"/>
      <c r="J2025" s="369"/>
      <c r="K2025" s="369"/>
      <c r="L2025" s="369"/>
      <c r="M2025" s="360"/>
      <c r="N2025" s="398"/>
      <c r="O2025" s="369"/>
      <c r="P2025" s="67"/>
      <c r="Q2025" s="369"/>
    </row>
    <row r="2026" spans="1:20" ht="15" hidden="1" customHeight="1" x14ac:dyDescent="0.3">
      <c r="A2026" s="367">
        <v>533</v>
      </c>
      <c r="B2026" s="367" t="s">
        <v>174</v>
      </c>
      <c r="C2026" s="40">
        <v>-2765</v>
      </c>
      <c r="D2026" s="370">
        <v>0</v>
      </c>
      <c r="E2026" s="367" t="s">
        <v>13</v>
      </c>
      <c r="F2026" s="367">
        <v>1450</v>
      </c>
      <c r="G2026" s="367">
        <v>1200</v>
      </c>
      <c r="H2026" s="367" t="s">
        <v>25</v>
      </c>
      <c r="I2026" s="367" t="s">
        <v>13</v>
      </c>
      <c r="J2026" s="367" t="s">
        <v>13</v>
      </c>
      <c r="K2026" s="367" t="s">
        <v>13</v>
      </c>
      <c r="L2026" s="367" t="s">
        <v>13</v>
      </c>
      <c r="M2026" s="358" t="s">
        <v>14</v>
      </c>
      <c r="N2026" s="396" t="s">
        <v>383</v>
      </c>
      <c r="O2026" s="367" t="s">
        <v>27</v>
      </c>
      <c r="P2026" s="65"/>
      <c r="Q2026" s="367" t="s">
        <v>176</v>
      </c>
    </row>
    <row r="2027" spans="1:20" ht="15" customHeight="1" x14ac:dyDescent="0.3">
      <c r="A2027" s="368"/>
      <c r="B2027" s="368"/>
      <c r="C2027" s="41">
        <v>-19674</v>
      </c>
      <c r="D2027" s="371"/>
      <c r="E2027" s="368"/>
      <c r="F2027" s="368"/>
      <c r="G2027" s="368"/>
      <c r="H2027" s="368"/>
      <c r="I2027" s="368"/>
      <c r="J2027" s="368"/>
      <c r="K2027" s="368"/>
      <c r="L2027" s="368"/>
      <c r="M2027" s="359"/>
      <c r="N2027" s="397"/>
      <c r="O2027" s="368"/>
      <c r="P2027" s="226">
        <v>44066</v>
      </c>
      <c r="Q2027" s="368"/>
      <c r="T2027" s="200">
        <v>1</v>
      </c>
    </row>
    <row r="2028" spans="1:20" ht="15" customHeight="1" thickBot="1" x14ac:dyDescent="0.35">
      <c r="A2028" s="369"/>
      <c r="B2028" s="369"/>
      <c r="C2028" s="42">
        <v>13952</v>
      </c>
      <c r="D2028" s="372"/>
      <c r="E2028" s="369"/>
      <c r="F2028" s="369"/>
      <c r="G2028" s="369"/>
      <c r="H2028" s="369"/>
      <c r="I2028" s="369"/>
      <c r="J2028" s="369"/>
      <c r="K2028" s="369"/>
      <c r="L2028" s="369"/>
      <c r="M2028" s="360"/>
      <c r="N2028" s="398"/>
      <c r="O2028" s="369"/>
      <c r="P2028" s="67"/>
      <c r="Q2028" s="369"/>
    </row>
    <row r="2029" spans="1:20" ht="15" hidden="1" customHeight="1" x14ac:dyDescent="0.3">
      <c r="A2029" s="367">
        <v>534</v>
      </c>
      <c r="B2029" s="367" t="s">
        <v>179</v>
      </c>
      <c r="C2029" s="40">
        <v>-200</v>
      </c>
      <c r="D2029" s="367">
        <v>1</v>
      </c>
      <c r="E2029" s="367" t="s">
        <v>161</v>
      </c>
      <c r="F2029" s="367">
        <v>1450</v>
      </c>
      <c r="G2029" s="367">
        <v>1200</v>
      </c>
      <c r="H2029" s="367" t="s">
        <v>25</v>
      </c>
      <c r="I2029" s="367">
        <v>60</v>
      </c>
      <c r="J2029" s="370" t="s">
        <v>384</v>
      </c>
      <c r="K2029" s="367">
        <v>30</v>
      </c>
      <c r="L2029" s="367">
        <v>27.5</v>
      </c>
      <c r="M2029" s="358" t="s">
        <v>14</v>
      </c>
      <c r="N2029" s="396" t="s">
        <v>385</v>
      </c>
      <c r="O2029" s="367" t="s">
        <v>27</v>
      </c>
      <c r="P2029" s="65"/>
      <c r="Q2029" s="370" t="s">
        <v>301</v>
      </c>
    </row>
    <row r="2030" spans="1:20" ht="15" customHeight="1" x14ac:dyDescent="0.3">
      <c r="A2030" s="368"/>
      <c r="B2030" s="368"/>
      <c r="C2030" s="41">
        <v>-20500</v>
      </c>
      <c r="D2030" s="368"/>
      <c r="E2030" s="368"/>
      <c r="F2030" s="368"/>
      <c r="G2030" s="368"/>
      <c r="H2030" s="368"/>
      <c r="I2030" s="368"/>
      <c r="J2030" s="371"/>
      <c r="K2030" s="368"/>
      <c r="L2030" s="368"/>
      <c r="M2030" s="359"/>
      <c r="N2030" s="397"/>
      <c r="O2030" s="368"/>
      <c r="P2030" s="226">
        <v>44066</v>
      </c>
      <c r="Q2030" s="371"/>
      <c r="T2030" s="200">
        <v>1</v>
      </c>
    </row>
    <row r="2031" spans="1:20" ht="15" customHeight="1" thickBot="1" x14ac:dyDescent="0.35">
      <c r="A2031" s="369"/>
      <c r="B2031" s="369"/>
      <c r="C2031" s="42">
        <v>13952</v>
      </c>
      <c r="D2031" s="369"/>
      <c r="E2031" s="369"/>
      <c r="F2031" s="369"/>
      <c r="G2031" s="369"/>
      <c r="H2031" s="369"/>
      <c r="I2031" s="369"/>
      <c r="J2031" s="372"/>
      <c r="K2031" s="369"/>
      <c r="L2031" s="369"/>
      <c r="M2031" s="360"/>
      <c r="N2031" s="398"/>
      <c r="O2031" s="369"/>
      <c r="P2031" s="67"/>
      <c r="Q2031" s="372"/>
    </row>
    <row r="2032" spans="1:20" ht="15" hidden="1" customHeight="1" x14ac:dyDescent="0.3">
      <c r="A2032" s="367">
        <v>535</v>
      </c>
      <c r="B2032" s="367" t="s">
        <v>174</v>
      </c>
      <c r="C2032" s="40">
        <v>200</v>
      </c>
      <c r="D2032" s="370">
        <v>0</v>
      </c>
      <c r="E2032" s="367" t="s">
        <v>13</v>
      </c>
      <c r="F2032" s="367">
        <v>1450</v>
      </c>
      <c r="G2032" s="367">
        <v>1200</v>
      </c>
      <c r="H2032" s="367" t="s">
        <v>25</v>
      </c>
      <c r="I2032" s="367" t="s">
        <v>13</v>
      </c>
      <c r="J2032" s="367" t="s">
        <v>13</v>
      </c>
      <c r="K2032" s="367" t="s">
        <v>13</v>
      </c>
      <c r="L2032" s="367"/>
      <c r="M2032" s="358" t="s">
        <v>14</v>
      </c>
      <c r="N2032" s="396" t="s">
        <v>385</v>
      </c>
      <c r="O2032" s="367" t="s">
        <v>27</v>
      </c>
      <c r="P2032" s="65"/>
      <c r="Q2032" s="367" t="s">
        <v>176</v>
      </c>
    </row>
    <row r="2033" spans="1:20" ht="15" customHeight="1" x14ac:dyDescent="0.3">
      <c r="A2033" s="368"/>
      <c r="B2033" s="368"/>
      <c r="C2033" s="41">
        <v>-20500</v>
      </c>
      <c r="D2033" s="371"/>
      <c r="E2033" s="368"/>
      <c r="F2033" s="368"/>
      <c r="G2033" s="368"/>
      <c r="H2033" s="368"/>
      <c r="I2033" s="368"/>
      <c r="J2033" s="368"/>
      <c r="K2033" s="368"/>
      <c r="L2033" s="368"/>
      <c r="M2033" s="359"/>
      <c r="N2033" s="397"/>
      <c r="O2033" s="368"/>
      <c r="P2033" s="226">
        <v>44066</v>
      </c>
      <c r="Q2033" s="368"/>
      <c r="T2033" s="200">
        <v>1</v>
      </c>
    </row>
    <row r="2034" spans="1:20" ht="15" customHeight="1" thickBot="1" x14ac:dyDescent="0.35">
      <c r="A2034" s="369"/>
      <c r="B2034" s="369"/>
      <c r="C2034" s="42">
        <v>13952</v>
      </c>
      <c r="D2034" s="372"/>
      <c r="E2034" s="369"/>
      <c r="F2034" s="369"/>
      <c r="G2034" s="369"/>
      <c r="H2034" s="369"/>
      <c r="I2034" s="369"/>
      <c r="J2034" s="369"/>
      <c r="K2034" s="369"/>
      <c r="L2034" s="369"/>
      <c r="M2034" s="360"/>
      <c r="N2034" s="398"/>
      <c r="O2034" s="369"/>
      <c r="P2034" s="67"/>
      <c r="Q2034" s="369"/>
    </row>
    <row r="2035" spans="1:20" ht="15" hidden="1" customHeight="1" x14ac:dyDescent="0.3">
      <c r="A2035" s="367">
        <v>536</v>
      </c>
      <c r="B2035" s="367" t="s">
        <v>174</v>
      </c>
      <c r="C2035" s="40">
        <v>11950</v>
      </c>
      <c r="D2035" s="370">
        <v>0</v>
      </c>
      <c r="E2035" s="367" t="s">
        <v>13</v>
      </c>
      <c r="F2035" s="367">
        <v>1450</v>
      </c>
      <c r="G2035" s="367">
        <v>1200</v>
      </c>
      <c r="H2035" s="367" t="s">
        <v>25</v>
      </c>
      <c r="I2035" s="367" t="s">
        <v>13</v>
      </c>
      <c r="J2035" s="367" t="s">
        <v>13</v>
      </c>
      <c r="K2035" s="367" t="s">
        <v>13</v>
      </c>
      <c r="L2035" s="367" t="s">
        <v>13</v>
      </c>
      <c r="M2035" s="358" t="s">
        <v>14</v>
      </c>
      <c r="N2035" s="396" t="s">
        <v>386</v>
      </c>
      <c r="O2035" s="367" t="s">
        <v>27</v>
      </c>
      <c r="P2035" s="65"/>
      <c r="Q2035" s="367" t="s">
        <v>176</v>
      </c>
    </row>
    <row r="2036" spans="1:20" ht="15" customHeight="1" x14ac:dyDescent="0.3">
      <c r="A2036" s="368"/>
      <c r="B2036" s="368"/>
      <c r="C2036" s="41">
        <v>-13550</v>
      </c>
      <c r="D2036" s="371"/>
      <c r="E2036" s="368"/>
      <c r="F2036" s="368"/>
      <c r="G2036" s="368"/>
      <c r="H2036" s="368"/>
      <c r="I2036" s="368"/>
      <c r="J2036" s="368"/>
      <c r="K2036" s="368"/>
      <c r="L2036" s="368"/>
      <c r="M2036" s="359"/>
      <c r="N2036" s="397"/>
      <c r="O2036" s="368"/>
      <c r="P2036" s="226">
        <v>44066</v>
      </c>
      <c r="Q2036" s="368"/>
      <c r="T2036" s="200">
        <v>1</v>
      </c>
    </row>
    <row r="2037" spans="1:20" ht="15" customHeight="1" thickBot="1" x14ac:dyDescent="0.35">
      <c r="A2037" s="369"/>
      <c r="B2037" s="369"/>
      <c r="C2037" s="42">
        <v>13952</v>
      </c>
      <c r="D2037" s="372"/>
      <c r="E2037" s="369"/>
      <c r="F2037" s="369"/>
      <c r="G2037" s="369"/>
      <c r="H2037" s="369"/>
      <c r="I2037" s="369"/>
      <c r="J2037" s="369"/>
      <c r="K2037" s="369"/>
      <c r="L2037" s="369"/>
      <c r="M2037" s="360"/>
      <c r="N2037" s="398"/>
      <c r="O2037" s="369"/>
      <c r="P2037" s="67"/>
      <c r="Q2037" s="369"/>
    </row>
    <row r="2038" spans="1:20" ht="15" hidden="1" customHeight="1" x14ac:dyDescent="0.3">
      <c r="A2038" s="367">
        <v>537</v>
      </c>
      <c r="B2038" s="367" t="s">
        <v>174</v>
      </c>
      <c r="C2038" s="40">
        <v>13005</v>
      </c>
      <c r="D2038" s="370">
        <v>0</v>
      </c>
      <c r="E2038" s="367" t="s">
        <v>13</v>
      </c>
      <c r="F2038" s="367">
        <v>1450</v>
      </c>
      <c r="G2038" s="367">
        <v>1200</v>
      </c>
      <c r="H2038" s="367" t="s">
        <v>25</v>
      </c>
      <c r="I2038" s="367" t="s">
        <v>13</v>
      </c>
      <c r="J2038" s="367" t="s">
        <v>13</v>
      </c>
      <c r="K2038" s="367" t="s">
        <v>13</v>
      </c>
      <c r="L2038" s="367" t="s">
        <v>13</v>
      </c>
      <c r="M2038" s="358" t="s">
        <v>14</v>
      </c>
      <c r="N2038" s="396" t="s">
        <v>386</v>
      </c>
      <c r="O2038" s="367" t="s">
        <v>27</v>
      </c>
      <c r="P2038" s="228">
        <v>44066</v>
      </c>
      <c r="Q2038" s="367" t="s">
        <v>176</v>
      </c>
    </row>
    <row r="2039" spans="1:20" ht="15" customHeight="1" x14ac:dyDescent="0.3">
      <c r="A2039" s="368"/>
      <c r="B2039" s="368"/>
      <c r="C2039" s="41">
        <v>-13550</v>
      </c>
      <c r="D2039" s="371"/>
      <c r="E2039" s="368"/>
      <c r="F2039" s="368"/>
      <c r="G2039" s="368"/>
      <c r="H2039" s="368"/>
      <c r="I2039" s="368"/>
      <c r="J2039" s="368"/>
      <c r="K2039" s="368"/>
      <c r="L2039" s="368"/>
      <c r="M2039" s="359"/>
      <c r="N2039" s="397"/>
      <c r="O2039" s="368"/>
      <c r="P2039" s="66"/>
      <c r="Q2039" s="368"/>
      <c r="T2039" s="200">
        <v>1</v>
      </c>
    </row>
    <row r="2040" spans="1:20" ht="15" customHeight="1" thickBot="1" x14ac:dyDescent="0.35">
      <c r="A2040" s="369"/>
      <c r="B2040" s="369"/>
      <c r="C2040" s="42">
        <v>13952</v>
      </c>
      <c r="D2040" s="372"/>
      <c r="E2040" s="369"/>
      <c r="F2040" s="369"/>
      <c r="G2040" s="369"/>
      <c r="H2040" s="369"/>
      <c r="I2040" s="369"/>
      <c r="J2040" s="369"/>
      <c r="K2040" s="369"/>
      <c r="L2040" s="369"/>
      <c r="M2040" s="360"/>
      <c r="N2040" s="398"/>
      <c r="O2040" s="369"/>
      <c r="P2040" s="67"/>
      <c r="Q2040" s="369"/>
    </row>
    <row r="2041" spans="1:20" ht="15" hidden="1" customHeight="1" x14ac:dyDescent="0.3">
      <c r="A2041" s="367">
        <v>538</v>
      </c>
      <c r="B2041" s="367" t="s">
        <v>174</v>
      </c>
      <c r="C2041" s="40">
        <v>15070</v>
      </c>
      <c r="D2041" s="370">
        <v>0</v>
      </c>
      <c r="E2041" s="367" t="s">
        <v>13</v>
      </c>
      <c r="F2041" s="367">
        <v>1450</v>
      </c>
      <c r="G2041" s="367">
        <v>1200</v>
      </c>
      <c r="H2041" s="367" t="s">
        <v>25</v>
      </c>
      <c r="I2041" s="367" t="s">
        <v>13</v>
      </c>
      <c r="J2041" s="367" t="s">
        <v>13</v>
      </c>
      <c r="K2041" s="367" t="s">
        <v>13</v>
      </c>
      <c r="L2041" s="367" t="s">
        <v>13</v>
      </c>
      <c r="M2041" s="358" t="s">
        <v>14</v>
      </c>
      <c r="N2041" s="396" t="s">
        <v>386</v>
      </c>
      <c r="O2041" s="367" t="s">
        <v>27</v>
      </c>
      <c r="P2041" s="65"/>
      <c r="Q2041" s="367" t="s">
        <v>176</v>
      </c>
      <c r="T2041" s="200">
        <v>1</v>
      </c>
    </row>
    <row r="2042" spans="1:20" ht="15" customHeight="1" x14ac:dyDescent="0.3">
      <c r="A2042" s="368"/>
      <c r="B2042" s="368"/>
      <c r="C2042" s="41">
        <v>-13550</v>
      </c>
      <c r="D2042" s="371"/>
      <c r="E2042" s="368"/>
      <c r="F2042" s="368"/>
      <c r="G2042" s="368"/>
      <c r="H2042" s="368"/>
      <c r="I2042" s="368"/>
      <c r="J2042" s="368"/>
      <c r="K2042" s="368"/>
      <c r="L2042" s="368"/>
      <c r="M2042" s="359"/>
      <c r="N2042" s="397"/>
      <c r="O2042" s="368"/>
      <c r="P2042" s="226">
        <v>44066</v>
      </c>
      <c r="Q2042" s="368"/>
    </row>
    <row r="2043" spans="1:20" ht="15" customHeight="1" thickBot="1" x14ac:dyDescent="0.35">
      <c r="A2043" s="369"/>
      <c r="B2043" s="369"/>
      <c r="C2043" s="42">
        <v>13952</v>
      </c>
      <c r="D2043" s="372"/>
      <c r="E2043" s="369"/>
      <c r="F2043" s="369"/>
      <c r="G2043" s="369"/>
      <c r="H2043" s="369"/>
      <c r="I2043" s="369"/>
      <c r="J2043" s="369"/>
      <c r="K2043" s="369"/>
      <c r="L2043" s="369"/>
      <c r="M2043" s="360"/>
      <c r="N2043" s="398"/>
      <c r="O2043" s="369"/>
      <c r="P2043" s="67"/>
      <c r="Q2043" s="369"/>
    </row>
    <row r="2044" spans="1:20" ht="15" hidden="1" customHeight="1" x14ac:dyDescent="0.3">
      <c r="A2044" s="370">
        <v>539</v>
      </c>
      <c r="B2044" s="370" t="s">
        <v>160</v>
      </c>
      <c r="C2044" s="37">
        <v>12510</v>
      </c>
      <c r="D2044" s="370">
        <v>1</v>
      </c>
      <c r="E2044" s="370" t="s">
        <v>63</v>
      </c>
      <c r="F2044" s="367">
        <v>1450</v>
      </c>
      <c r="G2044" s="367">
        <v>1200</v>
      </c>
      <c r="H2044" s="370" t="s">
        <v>61</v>
      </c>
      <c r="I2044" s="370">
        <v>100</v>
      </c>
      <c r="J2044" s="370" t="s">
        <v>45</v>
      </c>
      <c r="K2044" s="370">
        <v>30</v>
      </c>
      <c r="L2044" s="367">
        <v>39.5</v>
      </c>
      <c r="M2044" s="358" t="s">
        <v>14</v>
      </c>
      <c r="N2044" s="399" t="s">
        <v>386</v>
      </c>
      <c r="O2044" s="367" t="s">
        <v>27</v>
      </c>
      <c r="P2044" s="128"/>
      <c r="Q2044" s="367" t="s">
        <v>254</v>
      </c>
      <c r="R2044" s="350">
        <v>44041</v>
      </c>
    </row>
    <row r="2045" spans="1:20" ht="15" customHeight="1" x14ac:dyDescent="0.3">
      <c r="A2045" s="371"/>
      <c r="B2045" s="371"/>
      <c r="C2045" s="38">
        <v>-13650</v>
      </c>
      <c r="D2045" s="371"/>
      <c r="E2045" s="371"/>
      <c r="F2045" s="368"/>
      <c r="G2045" s="368"/>
      <c r="H2045" s="371"/>
      <c r="I2045" s="371"/>
      <c r="J2045" s="371"/>
      <c r="K2045" s="371"/>
      <c r="L2045" s="368"/>
      <c r="M2045" s="359"/>
      <c r="N2045" s="400"/>
      <c r="O2045" s="368"/>
      <c r="P2045" s="226">
        <v>44066</v>
      </c>
      <c r="Q2045" s="368"/>
      <c r="R2045" s="351"/>
      <c r="T2045" s="200">
        <v>1</v>
      </c>
    </row>
    <row r="2046" spans="1:20" ht="15" customHeight="1" thickBot="1" x14ac:dyDescent="0.35">
      <c r="A2046" s="372"/>
      <c r="B2046" s="372"/>
      <c r="C2046" s="39">
        <v>13952</v>
      </c>
      <c r="D2046" s="372"/>
      <c r="E2046" s="372"/>
      <c r="F2046" s="369"/>
      <c r="G2046" s="369"/>
      <c r="H2046" s="372"/>
      <c r="I2046" s="372"/>
      <c r="J2046" s="372"/>
      <c r="K2046" s="372"/>
      <c r="L2046" s="369"/>
      <c r="M2046" s="360"/>
      <c r="N2046" s="401"/>
      <c r="O2046" s="369"/>
      <c r="P2046" s="130"/>
      <c r="Q2046" s="369"/>
      <c r="R2046" s="351"/>
    </row>
    <row r="2047" spans="1:20" ht="15" hidden="1" customHeight="1" x14ac:dyDescent="0.3">
      <c r="A2047" s="370">
        <v>540</v>
      </c>
      <c r="B2047" s="370" t="s">
        <v>160</v>
      </c>
      <c r="C2047" s="37">
        <v>13500</v>
      </c>
      <c r="D2047" s="370">
        <v>1</v>
      </c>
      <c r="E2047" s="370" t="s">
        <v>63</v>
      </c>
      <c r="F2047" s="367">
        <v>1450</v>
      </c>
      <c r="G2047" s="367">
        <v>1200</v>
      </c>
      <c r="H2047" s="367" t="s">
        <v>61</v>
      </c>
      <c r="I2047" s="370">
        <v>100</v>
      </c>
      <c r="J2047" s="370" t="s">
        <v>45</v>
      </c>
      <c r="K2047" s="370">
        <v>30</v>
      </c>
      <c r="L2047" s="367">
        <v>39.5</v>
      </c>
      <c r="M2047" s="358" t="s">
        <v>14</v>
      </c>
      <c r="N2047" s="399" t="s">
        <v>386</v>
      </c>
      <c r="O2047" s="367" t="s">
        <v>27</v>
      </c>
      <c r="P2047" s="228">
        <v>44066</v>
      </c>
      <c r="Q2047" s="367" t="s">
        <v>254</v>
      </c>
      <c r="R2047" s="186">
        <v>44066</v>
      </c>
    </row>
    <row r="2048" spans="1:20" ht="15" customHeight="1" x14ac:dyDescent="0.3">
      <c r="A2048" s="371"/>
      <c r="B2048" s="371"/>
      <c r="C2048" s="38">
        <v>-13650</v>
      </c>
      <c r="D2048" s="371"/>
      <c r="E2048" s="371"/>
      <c r="F2048" s="368"/>
      <c r="G2048" s="368"/>
      <c r="H2048" s="368"/>
      <c r="I2048" s="371"/>
      <c r="J2048" s="371"/>
      <c r="K2048" s="371"/>
      <c r="L2048" s="368"/>
      <c r="M2048" s="359"/>
      <c r="N2048" s="400"/>
      <c r="O2048" s="368"/>
      <c r="P2048" s="202"/>
      <c r="Q2048" s="368"/>
      <c r="T2048" s="200">
        <v>1</v>
      </c>
    </row>
    <row r="2049" spans="1:20" ht="15" customHeight="1" thickBot="1" x14ac:dyDescent="0.35">
      <c r="A2049" s="372"/>
      <c r="B2049" s="372"/>
      <c r="C2049" s="39">
        <v>13952</v>
      </c>
      <c r="D2049" s="372"/>
      <c r="E2049" s="372"/>
      <c r="F2049" s="369"/>
      <c r="G2049" s="369"/>
      <c r="H2049" s="369"/>
      <c r="I2049" s="372"/>
      <c r="J2049" s="372"/>
      <c r="K2049" s="372"/>
      <c r="L2049" s="369"/>
      <c r="M2049" s="360"/>
      <c r="N2049" s="401"/>
      <c r="O2049" s="369"/>
      <c r="P2049" s="203"/>
      <c r="Q2049" s="369"/>
    </row>
    <row r="2050" spans="1:20" ht="15" hidden="1" customHeight="1" x14ac:dyDescent="0.3">
      <c r="A2050" s="370">
        <v>541</v>
      </c>
      <c r="B2050" s="370" t="s">
        <v>57</v>
      </c>
      <c r="C2050" s="37">
        <v>14450</v>
      </c>
      <c r="D2050" s="370">
        <v>1</v>
      </c>
      <c r="E2050" s="370" t="s">
        <v>387</v>
      </c>
      <c r="F2050" s="367">
        <v>1450</v>
      </c>
      <c r="G2050" s="367">
        <v>1200</v>
      </c>
      <c r="H2050" s="367" t="s">
        <v>96</v>
      </c>
      <c r="I2050" s="370">
        <v>190</v>
      </c>
      <c r="J2050" s="370" t="s">
        <v>45</v>
      </c>
      <c r="K2050" s="370">
        <v>60</v>
      </c>
      <c r="L2050" s="367">
        <v>87.5</v>
      </c>
      <c r="M2050" s="358" t="s">
        <v>14</v>
      </c>
      <c r="N2050" s="399" t="s">
        <v>386</v>
      </c>
      <c r="O2050" s="367" t="s">
        <v>27</v>
      </c>
      <c r="P2050" s="290"/>
      <c r="Q2050" s="370" t="s">
        <v>293</v>
      </c>
      <c r="T2050" s="200">
        <v>1</v>
      </c>
    </row>
    <row r="2051" spans="1:20" ht="15" customHeight="1" x14ac:dyDescent="0.3">
      <c r="A2051" s="371"/>
      <c r="B2051" s="371"/>
      <c r="C2051" s="38">
        <v>-13650</v>
      </c>
      <c r="D2051" s="371"/>
      <c r="E2051" s="371"/>
      <c r="F2051" s="368"/>
      <c r="G2051" s="368"/>
      <c r="H2051" s="368"/>
      <c r="I2051" s="371"/>
      <c r="J2051" s="371"/>
      <c r="K2051" s="371"/>
      <c r="L2051" s="368"/>
      <c r="M2051" s="359"/>
      <c r="N2051" s="400"/>
      <c r="O2051" s="368"/>
      <c r="P2051" s="226">
        <v>44095</v>
      </c>
      <c r="Q2051" s="371"/>
      <c r="R2051" s="186">
        <v>44077</v>
      </c>
    </row>
    <row r="2052" spans="1:20" ht="15" customHeight="1" thickBot="1" x14ac:dyDescent="0.35">
      <c r="A2052" s="372"/>
      <c r="B2052" s="372"/>
      <c r="C2052" s="39">
        <v>13952</v>
      </c>
      <c r="D2052" s="372"/>
      <c r="E2052" s="372"/>
      <c r="F2052" s="369"/>
      <c r="G2052" s="369"/>
      <c r="H2052" s="369"/>
      <c r="I2052" s="372"/>
      <c r="J2052" s="372"/>
      <c r="K2052" s="372"/>
      <c r="L2052" s="369"/>
      <c r="M2052" s="360"/>
      <c r="N2052" s="401"/>
      <c r="O2052" s="369"/>
      <c r="P2052" s="292"/>
      <c r="Q2052" s="372"/>
    </row>
    <row r="2053" spans="1:20" ht="15" hidden="1" customHeight="1" x14ac:dyDescent="0.3">
      <c r="A2053" s="367">
        <v>542</v>
      </c>
      <c r="B2053" s="367" t="s">
        <v>174</v>
      </c>
      <c r="C2053" s="40">
        <v>17710</v>
      </c>
      <c r="D2053" s="370">
        <v>0</v>
      </c>
      <c r="E2053" s="367" t="s">
        <v>13</v>
      </c>
      <c r="F2053" s="367">
        <v>1450</v>
      </c>
      <c r="G2053" s="367">
        <v>1200</v>
      </c>
      <c r="H2053" s="367" t="s">
        <v>25</v>
      </c>
      <c r="I2053" s="367" t="s">
        <v>13</v>
      </c>
      <c r="J2053" s="367" t="s">
        <v>13</v>
      </c>
      <c r="K2053" s="367" t="s">
        <v>13</v>
      </c>
      <c r="L2053" s="367" t="s">
        <v>13</v>
      </c>
      <c r="M2053" s="358" t="s">
        <v>14</v>
      </c>
      <c r="N2053" s="396" t="s">
        <v>386</v>
      </c>
      <c r="O2053" s="367" t="s">
        <v>27</v>
      </c>
      <c r="P2053" s="65"/>
      <c r="Q2053" s="367" t="s">
        <v>176</v>
      </c>
      <c r="T2053" s="200">
        <v>1</v>
      </c>
    </row>
    <row r="2054" spans="1:20" ht="15" customHeight="1" x14ac:dyDescent="0.3">
      <c r="A2054" s="368"/>
      <c r="B2054" s="368"/>
      <c r="C2054" s="41">
        <v>-7260</v>
      </c>
      <c r="D2054" s="371"/>
      <c r="E2054" s="368"/>
      <c r="F2054" s="368"/>
      <c r="G2054" s="368"/>
      <c r="H2054" s="368"/>
      <c r="I2054" s="368"/>
      <c r="J2054" s="368"/>
      <c r="K2054" s="368"/>
      <c r="L2054" s="368"/>
      <c r="M2054" s="359"/>
      <c r="N2054" s="397"/>
      <c r="O2054" s="368"/>
      <c r="P2054" s="226">
        <v>44066</v>
      </c>
      <c r="Q2054" s="368"/>
    </row>
    <row r="2055" spans="1:20" ht="15" customHeight="1" thickBot="1" x14ac:dyDescent="0.35">
      <c r="A2055" s="369"/>
      <c r="B2055" s="369"/>
      <c r="C2055" s="42">
        <v>13952</v>
      </c>
      <c r="D2055" s="372"/>
      <c r="E2055" s="369"/>
      <c r="F2055" s="369"/>
      <c r="G2055" s="369"/>
      <c r="H2055" s="369"/>
      <c r="I2055" s="369"/>
      <c r="J2055" s="369"/>
      <c r="K2055" s="369"/>
      <c r="L2055" s="369"/>
      <c r="M2055" s="360"/>
      <c r="N2055" s="398"/>
      <c r="O2055" s="369"/>
      <c r="P2055" s="67"/>
      <c r="Q2055" s="369"/>
    </row>
    <row r="2056" spans="1:20" ht="15" hidden="1" customHeight="1" x14ac:dyDescent="0.3">
      <c r="A2056" s="367">
        <v>543</v>
      </c>
      <c r="B2056" s="367" t="s">
        <v>174</v>
      </c>
      <c r="C2056" s="40">
        <v>18105</v>
      </c>
      <c r="D2056" s="370">
        <v>0</v>
      </c>
      <c r="E2056" s="367" t="s">
        <v>13</v>
      </c>
      <c r="F2056" s="367">
        <v>1450</v>
      </c>
      <c r="G2056" s="367">
        <v>1200</v>
      </c>
      <c r="H2056" s="367" t="s">
        <v>25</v>
      </c>
      <c r="I2056" s="367" t="s">
        <v>13</v>
      </c>
      <c r="J2056" s="367" t="s">
        <v>13</v>
      </c>
      <c r="K2056" s="367" t="s">
        <v>13</v>
      </c>
      <c r="L2056" s="367" t="s">
        <v>13</v>
      </c>
      <c r="M2056" s="358" t="s">
        <v>14</v>
      </c>
      <c r="N2056" s="396" t="s">
        <v>386</v>
      </c>
      <c r="O2056" s="367" t="s">
        <v>27</v>
      </c>
      <c r="P2056" s="65"/>
      <c r="Q2056" s="367" t="s">
        <v>176</v>
      </c>
      <c r="T2056" s="200">
        <v>1</v>
      </c>
    </row>
    <row r="2057" spans="1:20" ht="15" customHeight="1" x14ac:dyDescent="0.3">
      <c r="A2057" s="368"/>
      <c r="B2057" s="368"/>
      <c r="C2057" s="41">
        <v>-7310</v>
      </c>
      <c r="D2057" s="371"/>
      <c r="E2057" s="368"/>
      <c r="F2057" s="368"/>
      <c r="G2057" s="368"/>
      <c r="H2057" s="368"/>
      <c r="I2057" s="368"/>
      <c r="J2057" s="368"/>
      <c r="K2057" s="368"/>
      <c r="L2057" s="368"/>
      <c r="M2057" s="359"/>
      <c r="N2057" s="397"/>
      <c r="O2057" s="368"/>
      <c r="P2057" s="226">
        <v>44066</v>
      </c>
      <c r="Q2057" s="368"/>
    </row>
    <row r="2058" spans="1:20" ht="15" customHeight="1" thickBot="1" x14ac:dyDescent="0.35">
      <c r="A2058" s="369"/>
      <c r="B2058" s="369"/>
      <c r="C2058" s="42">
        <v>13952</v>
      </c>
      <c r="D2058" s="372"/>
      <c r="E2058" s="369"/>
      <c r="F2058" s="369"/>
      <c r="G2058" s="369"/>
      <c r="H2058" s="369"/>
      <c r="I2058" s="369"/>
      <c r="J2058" s="369"/>
      <c r="K2058" s="369"/>
      <c r="L2058" s="369"/>
      <c r="M2058" s="360"/>
      <c r="N2058" s="398"/>
      <c r="O2058" s="369"/>
      <c r="P2058" s="67"/>
      <c r="Q2058" s="369"/>
    </row>
    <row r="2059" spans="1:20" ht="15" hidden="1" customHeight="1" x14ac:dyDescent="0.3">
      <c r="A2059" s="367">
        <v>544</v>
      </c>
      <c r="B2059" s="367" t="s">
        <v>174</v>
      </c>
      <c r="C2059" s="40">
        <v>18505</v>
      </c>
      <c r="D2059" s="370">
        <v>0</v>
      </c>
      <c r="E2059" s="367" t="s">
        <v>13</v>
      </c>
      <c r="F2059" s="367">
        <v>1450</v>
      </c>
      <c r="G2059" s="367">
        <v>1200</v>
      </c>
      <c r="H2059" s="367" t="s">
        <v>25</v>
      </c>
      <c r="I2059" s="367" t="s">
        <v>13</v>
      </c>
      <c r="J2059" s="367" t="s">
        <v>13</v>
      </c>
      <c r="K2059" s="367" t="s">
        <v>13</v>
      </c>
      <c r="L2059" s="367" t="s">
        <v>13</v>
      </c>
      <c r="M2059" s="358" t="s">
        <v>14</v>
      </c>
      <c r="N2059" s="396" t="s">
        <v>386</v>
      </c>
      <c r="O2059" s="367" t="s">
        <v>27</v>
      </c>
      <c r="P2059" s="65"/>
      <c r="Q2059" s="367" t="s">
        <v>176</v>
      </c>
      <c r="T2059" s="200">
        <v>1</v>
      </c>
    </row>
    <row r="2060" spans="1:20" ht="15" customHeight="1" x14ac:dyDescent="0.3">
      <c r="A2060" s="368"/>
      <c r="B2060" s="368"/>
      <c r="C2060" s="41">
        <v>-7360</v>
      </c>
      <c r="D2060" s="371"/>
      <c r="E2060" s="368"/>
      <c r="F2060" s="368"/>
      <c r="G2060" s="368"/>
      <c r="H2060" s="368"/>
      <c r="I2060" s="368"/>
      <c r="J2060" s="368"/>
      <c r="K2060" s="368"/>
      <c r="L2060" s="368"/>
      <c r="M2060" s="359"/>
      <c r="N2060" s="397"/>
      <c r="O2060" s="368"/>
      <c r="P2060" s="66"/>
      <c r="Q2060" s="368"/>
    </row>
    <row r="2061" spans="1:20" ht="15" customHeight="1" thickBot="1" x14ac:dyDescent="0.35">
      <c r="A2061" s="369"/>
      <c r="B2061" s="369"/>
      <c r="C2061" s="42">
        <v>13952</v>
      </c>
      <c r="D2061" s="372"/>
      <c r="E2061" s="369"/>
      <c r="F2061" s="369"/>
      <c r="G2061" s="369"/>
      <c r="H2061" s="369"/>
      <c r="I2061" s="369"/>
      <c r="J2061" s="369"/>
      <c r="K2061" s="369"/>
      <c r="L2061" s="369"/>
      <c r="M2061" s="360"/>
      <c r="N2061" s="398"/>
      <c r="O2061" s="369"/>
      <c r="P2061" s="227">
        <v>44066</v>
      </c>
      <c r="Q2061" s="369"/>
    </row>
    <row r="2062" spans="1:20" ht="15" hidden="1" customHeight="1" x14ac:dyDescent="0.3">
      <c r="A2062" s="367">
        <v>545</v>
      </c>
      <c r="B2062" s="367" t="s">
        <v>174</v>
      </c>
      <c r="C2062" s="40">
        <v>19155</v>
      </c>
      <c r="D2062" s="370">
        <v>0</v>
      </c>
      <c r="E2062" s="367" t="s">
        <v>13</v>
      </c>
      <c r="F2062" s="367">
        <v>1450</v>
      </c>
      <c r="G2062" s="367">
        <v>1200</v>
      </c>
      <c r="H2062" s="367" t="s">
        <v>25</v>
      </c>
      <c r="I2062" s="367" t="s">
        <v>13</v>
      </c>
      <c r="J2062" s="367" t="s">
        <v>13</v>
      </c>
      <c r="K2062" s="367" t="s">
        <v>13</v>
      </c>
      <c r="L2062" s="367" t="s">
        <v>13</v>
      </c>
      <c r="M2062" s="358" t="s">
        <v>14</v>
      </c>
      <c r="N2062" s="396" t="s">
        <v>386</v>
      </c>
      <c r="O2062" s="367" t="s">
        <v>27</v>
      </c>
      <c r="P2062" s="65"/>
      <c r="Q2062" s="367" t="s">
        <v>176</v>
      </c>
    </row>
    <row r="2063" spans="1:20" ht="15" customHeight="1" x14ac:dyDescent="0.3">
      <c r="A2063" s="368"/>
      <c r="B2063" s="368"/>
      <c r="C2063" s="41">
        <v>-7190</v>
      </c>
      <c r="D2063" s="371"/>
      <c r="E2063" s="368"/>
      <c r="F2063" s="368"/>
      <c r="G2063" s="368"/>
      <c r="H2063" s="368"/>
      <c r="I2063" s="368"/>
      <c r="J2063" s="368"/>
      <c r="K2063" s="368"/>
      <c r="L2063" s="368"/>
      <c r="M2063" s="359"/>
      <c r="N2063" s="397"/>
      <c r="O2063" s="368"/>
      <c r="P2063" s="226">
        <v>44066</v>
      </c>
      <c r="Q2063" s="368"/>
      <c r="T2063" s="200">
        <v>1</v>
      </c>
    </row>
    <row r="2064" spans="1:20" ht="15" customHeight="1" thickBot="1" x14ac:dyDescent="0.35">
      <c r="A2064" s="369"/>
      <c r="B2064" s="369"/>
      <c r="C2064" s="42">
        <v>13952</v>
      </c>
      <c r="D2064" s="372"/>
      <c r="E2064" s="369"/>
      <c r="F2064" s="369"/>
      <c r="G2064" s="369"/>
      <c r="H2064" s="369"/>
      <c r="I2064" s="369"/>
      <c r="J2064" s="369"/>
      <c r="K2064" s="369"/>
      <c r="L2064" s="369"/>
      <c r="M2064" s="360"/>
      <c r="N2064" s="398"/>
      <c r="O2064" s="369"/>
      <c r="P2064" s="67"/>
      <c r="Q2064" s="369"/>
    </row>
    <row r="2065" spans="1:20" ht="15" hidden="1" customHeight="1" x14ac:dyDescent="0.3">
      <c r="A2065" s="367">
        <v>546</v>
      </c>
      <c r="B2065" s="367" t="s">
        <v>174</v>
      </c>
      <c r="C2065" s="40">
        <v>19395</v>
      </c>
      <c r="D2065" s="370">
        <v>0</v>
      </c>
      <c r="E2065" s="367" t="s">
        <v>13</v>
      </c>
      <c r="F2065" s="367">
        <v>1450</v>
      </c>
      <c r="G2065" s="367">
        <v>1200</v>
      </c>
      <c r="H2065" s="367" t="s">
        <v>25</v>
      </c>
      <c r="I2065" s="367" t="s">
        <v>13</v>
      </c>
      <c r="J2065" s="367" t="s">
        <v>13</v>
      </c>
      <c r="K2065" s="367" t="s">
        <v>13</v>
      </c>
      <c r="L2065" s="367" t="s">
        <v>13</v>
      </c>
      <c r="M2065" s="358" t="s">
        <v>14</v>
      </c>
      <c r="N2065" s="396" t="s">
        <v>386</v>
      </c>
      <c r="O2065" s="367" t="s">
        <v>27</v>
      </c>
      <c r="P2065" s="65"/>
      <c r="Q2065" s="367" t="s">
        <v>176</v>
      </c>
    </row>
    <row r="2066" spans="1:20" ht="15" customHeight="1" x14ac:dyDescent="0.3">
      <c r="A2066" s="368"/>
      <c r="B2066" s="368"/>
      <c r="C2066" s="41">
        <v>-6870</v>
      </c>
      <c r="D2066" s="371"/>
      <c r="E2066" s="368"/>
      <c r="F2066" s="368"/>
      <c r="G2066" s="368"/>
      <c r="H2066" s="368"/>
      <c r="I2066" s="368"/>
      <c r="J2066" s="368"/>
      <c r="K2066" s="368"/>
      <c r="L2066" s="368"/>
      <c r="M2066" s="359"/>
      <c r="N2066" s="397"/>
      <c r="O2066" s="368"/>
      <c r="P2066" s="66"/>
      <c r="Q2066" s="368"/>
      <c r="T2066" s="200">
        <v>1</v>
      </c>
    </row>
    <row r="2067" spans="1:20" ht="15" customHeight="1" thickBot="1" x14ac:dyDescent="0.35">
      <c r="A2067" s="369"/>
      <c r="B2067" s="369"/>
      <c r="C2067" s="42">
        <v>13952</v>
      </c>
      <c r="D2067" s="372"/>
      <c r="E2067" s="369"/>
      <c r="F2067" s="369"/>
      <c r="G2067" s="369"/>
      <c r="H2067" s="369"/>
      <c r="I2067" s="369"/>
      <c r="J2067" s="369"/>
      <c r="K2067" s="369"/>
      <c r="L2067" s="369"/>
      <c r="M2067" s="360"/>
      <c r="N2067" s="398"/>
      <c r="O2067" s="369"/>
      <c r="P2067" s="227">
        <v>44066</v>
      </c>
      <c r="Q2067" s="369"/>
    </row>
    <row r="2068" spans="1:20" ht="15" hidden="1" customHeight="1" x14ac:dyDescent="0.3">
      <c r="A2068" s="367">
        <v>547</v>
      </c>
      <c r="B2068" s="367" t="s">
        <v>174</v>
      </c>
      <c r="C2068" s="40">
        <v>17000</v>
      </c>
      <c r="D2068" s="370">
        <v>0</v>
      </c>
      <c r="E2068" s="367" t="s">
        <v>13</v>
      </c>
      <c r="F2068" s="367">
        <v>1450</v>
      </c>
      <c r="G2068" s="367">
        <v>1200</v>
      </c>
      <c r="H2068" s="367" t="s">
        <v>19</v>
      </c>
      <c r="I2068" s="367" t="s">
        <v>13</v>
      </c>
      <c r="J2068" s="367" t="s">
        <v>13</v>
      </c>
      <c r="K2068" s="367" t="s">
        <v>13</v>
      </c>
      <c r="L2068" s="367" t="s">
        <v>13</v>
      </c>
      <c r="M2068" s="358" t="s">
        <v>14</v>
      </c>
      <c r="N2068" s="396" t="s">
        <v>386</v>
      </c>
      <c r="O2068" s="367" t="s">
        <v>27</v>
      </c>
      <c r="P2068" s="65"/>
      <c r="Q2068" s="367" t="s">
        <v>176</v>
      </c>
    </row>
    <row r="2069" spans="1:20" ht="15" customHeight="1" x14ac:dyDescent="0.3">
      <c r="A2069" s="368"/>
      <c r="B2069" s="368"/>
      <c r="C2069" s="41">
        <v>-8275</v>
      </c>
      <c r="D2069" s="371"/>
      <c r="E2069" s="368"/>
      <c r="F2069" s="368"/>
      <c r="G2069" s="368"/>
      <c r="H2069" s="368"/>
      <c r="I2069" s="368"/>
      <c r="J2069" s="368"/>
      <c r="K2069" s="368"/>
      <c r="L2069" s="368"/>
      <c r="M2069" s="359"/>
      <c r="N2069" s="397"/>
      <c r="O2069" s="368"/>
      <c r="P2069" s="226">
        <v>44066</v>
      </c>
      <c r="Q2069" s="368"/>
      <c r="T2069" s="200">
        <v>1</v>
      </c>
    </row>
    <row r="2070" spans="1:20" ht="15" customHeight="1" thickBot="1" x14ac:dyDescent="0.35">
      <c r="A2070" s="369"/>
      <c r="B2070" s="369"/>
      <c r="C2070" s="42">
        <v>13952</v>
      </c>
      <c r="D2070" s="372"/>
      <c r="E2070" s="369"/>
      <c r="F2070" s="369"/>
      <c r="G2070" s="369"/>
      <c r="H2070" s="369"/>
      <c r="I2070" s="369"/>
      <c r="J2070" s="369"/>
      <c r="K2070" s="369"/>
      <c r="L2070" s="369"/>
      <c r="M2070" s="360"/>
      <c r="N2070" s="398"/>
      <c r="O2070" s="369"/>
      <c r="P2070" s="67"/>
      <c r="Q2070" s="369"/>
    </row>
    <row r="2071" spans="1:20" ht="15" hidden="1" customHeight="1" x14ac:dyDescent="0.3">
      <c r="A2071" s="370">
        <v>548</v>
      </c>
      <c r="B2071" s="370" t="s">
        <v>388</v>
      </c>
      <c r="C2071" s="37">
        <v>16950</v>
      </c>
      <c r="D2071" s="370">
        <v>1</v>
      </c>
      <c r="E2071" s="370" t="s">
        <v>63</v>
      </c>
      <c r="F2071" s="367">
        <v>1450</v>
      </c>
      <c r="G2071" s="367">
        <v>1200</v>
      </c>
      <c r="H2071" s="370" t="s">
        <v>61</v>
      </c>
      <c r="I2071" s="370">
        <v>150</v>
      </c>
      <c r="J2071" s="370" t="s">
        <v>45</v>
      </c>
      <c r="K2071" s="370">
        <v>50</v>
      </c>
      <c r="L2071" s="367">
        <v>19.5</v>
      </c>
      <c r="M2071" s="358" t="s">
        <v>14</v>
      </c>
      <c r="N2071" s="399" t="s">
        <v>386</v>
      </c>
      <c r="O2071" s="367" t="s">
        <v>27</v>
      </c>
      <c r="P2071" s="241"/>
      <c r="Q2071" s="367" t="s">
        <v>254</v>
      </c>
    </row>
    <row r="2072" spans="1:20" ht="15" customHeight="1" x14ac:dyDescent="0.3">
      <c r="A2072" s="371"/>
      <c r="B2072" s="371"/>
      <c r="C2072" s="38">
        <v>-8780</v>
      </c>
      <c r="D2072" s="371"/>
      <c r="E2072" s="371"/>
      <c r="F2072" s="368"/>
      <c r="G2072" s="368"/>
      <c r="H2072" s="371"/>
      <c r="I2072" s="371"/>
      <c r="J2072" s="371"/>
      <c r="K2072" s="371"/>
      <c r="L2072" s="368"/>
      <c r="M2072" s="359"/>
      <c r="N2072" s="400"/>
      <c r="O2072" s="368"/>
      <c r="P2072" s="226">
        <v>44077</v>
      </c>
      <c r="Q2072" s="368"/>
      <c r="R2072" s="186">
        <v>44077</v>
      </c>
      <c r="T2072" s="200">
        <v>1</v>
      </c>
    </row>
    <row r="2073" spans="1:20" ht="15" customHeight="1" thickBot="1" x14ac:dyDescent="0.35">
      <c r="A2073" s="372"/>
      <c r="B2073" s="372"/>
      <c r="C2073" s="39">
        <v>13952</v>
      </c>
      <c r="D2073" s="372"/>
      <c r="E2073" s="372"/>
      <c r="F2073" s="369"/>
      <c r="G2073" s="369"/>
      <c r="H2073" s="372"/>
      <c r="I2073" s="372"/>
      <c r="J2073" s="372"/>
      <c r="K2073" s="372"/>
      <c r="L2073" s="369"/>
      <c r="M2073" s="360"/>
      <c r="N2073" s="401"/>
      <c r="O2073" s="369"/>
      <c r="P2073" s="242"/>
      <c r="Q2073" s="369"/>
    </row>
    <row r="2074" spans="1:20" ht="15" hidden="1" customHeight="1" x14ac:dyDescent="0.3">
      <c r="A2074" s="370">
        <v>549</v>
      </c>
      <c r="B2074" s="370" t="s">
        <v>57</v>
      </c>
      <c r="C2074" s="37">
        <v>18660</v>
      </c>
      <c r="D2074" s="370">
        <v>1</v>
      </c>
      <c r="E2074" s="370" t="s">
        <v>389</v>
      </c>
      <c r="F2074" s="367">
        <v>1450</v>
      </c>
      <c r="G2074" s="367">
        <v>1200</v>
      </c>
      <c r="H2074" s="367" t="s">
        <v>96</v>
      </c>
      <c r="I2074" s="370">
        <v>150</v>
      </c>
      <c r="J2074" s="370" t="s">
        <v>45</v>
      </c>
      <c r="K2074" s="370">
        <v>50</v>
      </c>
      <c r="L2074" s="367">
        <v>97.5</v>
      </c>
      <c r="M2074" s="358" t="s">
        <v>14</v>
      </c>
      <c r="N2074" s="399" t="s">
        <v>386</v>
      </c>
      <c r="O2074" s="367" t="s">
        <v>27</v>
      </c>
      <c r="P2074" s="241"/>
      <c r="Q2074" s="370" t="s">
        <v>293</v>
      </c>
    </row>
    <row r="2075" spans="1:20" ht="15" customHeight="1" x14ac:dyDescent="0.3">
      <c r="A2075" s="371"/>
      <c r="B2075" s="371"/>
      <c r="C2075" s="38">
        <v>-7985</v>
      </c>
      <c r="D2075" s="371"/>
      <c r="E2075" s="371"/>
      <c r="F2075" s="368"/>
      <c r="G2075" s="368"/>
      <c r="H2075" s="368"/>
      <c r="I2075" s="371"/>
      <c r="J2075" s="371"/>
      <c r="K2075" s="371"/>
      <c r="L2075" s="368"/>
      <c r="M2075" s="359"/>
      <c r="N2075" s="400"/>
      <c r="O2075" s="368"/>
      <c r="P2075" s="226">
        <v>44077</v>
      </c>
      <c r="Q2075" s="371"/>
      <c r="R2075" s="186">
        <v>44077</v>
      </c>
      <c r="T2075" s="200">
        <v>1</v>
      </c>
    </row>
    <row r="2076" spans="1:20" ht="15" customHeight="1" thickBot="1" x14ac:dyDescent="0.35">
      <c r="A2076" s="372"/>
      <c r="B2076" s="372"/>
      <c r="C2076" s="39">
        <v>13952</v>
      </c>
      <c r="D2076" s="372"/>
      <c r="E2076" s="372"/>
      <c r="F2076" s="369"/>
      <c r="G2076" s="369"/>
      <c r="H2076" s="369"/>
      <c r="I2076" s="372"/>
      <c r="J2076" s="372"/>
      <c r="K2076" s="372"/>
      <c r="L2076" s="369"/>
      <c r="M2076" s="360"/>
      <c r="N2076" s="401"/>
      <c r="O2076" s="369"/>
      <c r="P2076" s="242"/>
      <c r="Q2076" s="372"/>
    </row>
    <row r="2077" spans="1:20" ht="15" hidden="1" customHeight="1" x14ac:dyDescent="0.3">
      <c r="A2077" s="370">
        <v>550</v>
      </c>
      <c r="B2077" s="370" t="s">
        <v>388</v>
      </c>
      <c r="C2077" s="37">
        <v>17120</v>
      </c>
      <c r="D2077" s="370">
        <v>1</v>
      </c>
      <c r="E2077" s="370" t="s">
        <v>58</v>
      </c>
      <c r="F2077" s="367">
        <v>1450</v>
      </c>
      <c r="G2077" s="367">
        <v>1200</v>
      </c>
      <c r="H2077" s="367" t="s">
        <v>12</v>
      </c>
      <c r="I2077" s="370">
        <v>150</v>
      </c>
      <c r="J2077" s="370" t="s">
        <v>45</v>
      </c>
      <c r="K2077" s="370">
        <v>50</v>
      </c>
      <c r="L2077" s="367">
        <v>21</v>
      </c>
      <c r="M2077" s="358" t="s">
        <v>14</v>
      </c>
      <c r="N2077" s="399" t="s">
        <v>386</v>
      </c>
      <c r="O2077" s="367" t="s">
        <v>27</v>
      </c>
      <c r="P2077" s="241"/>
      <c r="Q2077" s="370" t="s">
        <v>390</v>
      </c>
      <c r="T2077" s="200">
        <v>1</v>
      </c>
    </row>
    <row r="2078" spans="1:20" ht="15" customHeight="1" x14ac:dyDescent="0.3">
      <c r="A2078" s="371"/>
      <c r="B2078" s="371"/>
      <c r="C2078" s="38">
        <v>-7390</v>
      </c>
      <c r="D2078" s="371"/>
      <c r="E2078" s="371"/>
      <c r="F2078" s="368"/>
      <c r="G2078" s="368"/>
      <c r="H2078" s="368"/>
      <c r="I2078" s="371"/>
      <c r="J2078" s="371"/>
      <c r="K2078" s="371"/>
      <c r="L2078" s="368"/>
      <c r="M2078" s="359"/>
      <c r="N2078" s="400"/>
      <c r="O2078" s="368"/>
      <c r="P2078" s="226">
        <v>44077</v>
      </c>
      <c r="Q2078" s="371"/>
      <c r="R2078" s="186">
        <v>44077</v>
      </c>
    </row>
    <row r="2079" spans="1:20" ht="15" customHeight="1" thickBot="1" x14ac:dyDescent="0.35">
      <c r="A2079" s="372"/>
      <c r="B2079" s="372"/>
      <c r="C2079" s="39">
        <v>13952</v>
      </c>
      <c r="D2079" s="372"/>
      <c r="E2079" s="372"/>
      <c r="F2079" s="369"/>
      <c r="G2079" s="369"/>
      <c r="H2079" s="369"/>
      <c r="I2079" s="372"/>
      <c r="J2079" s="372"/>
      <c r="K2079" s="372"/>
      <c r="L2079" s="369"/>
      <c r="M2079" s="360"/>
      <c r="N2079" s="401"/>
      <c r="O2079" s="369"/>
      <c r="P2079" s="242"/>
      <c r="Q2079" s="372"/>
    </row>
    <row r="2080" spans="1:20" ht="15" hidden="1" customHeight="1" x14ac:dyDescent="0.3">
      <c r="A2080" s="367">
        <v>551</v>
      </c>
      <c r="B2080" s="367" t="s">
        <v>174</v>
      </c>
      <c r="C2080" s="40">
        <v>14733</v>
      </c>
      <c r="D2080" s="370">
        <v>0</v>
      </c>
      <c r="E2080" s="367" t="s">
        <v>13</v>
      </c>
      <c r="F2080" s="367">
        <v>1450</v>
      </c>
      <c r="G2080" s="367">
        <v>1200</v>
      </c>
      <c r="H2080" s="367" t="s">
        <v>25</v>
      </c>
      <c r="I2080" s="367" t="s">
        <v>13</v>
      </c>
      <c r="J2080" s="367" t="s">
        <v>13</v>
      </c>
      <c r="K2080" s="367" t="s">
        <v>13</v>
      </c>
      <c r="L2080" s="367" t="s">
        <v>13</v>
      </c>
      <c r="M2080" s="358" t="s">
        <v>14</v>
      </c>
      <c r="N2080" s="396" t="s">
        <v>391</v>
      </c>
      <c r="O2080" s="367" t="s">
        <v>27</v>
      </c>
      <c r="P2080" s="65"/>
      <c r="Q2080" s="367" t="s">
        <v>176</v>
      </c>
      <c r="T2080" s="200">
        <v>1</v>
      </c>
    </row>
    <row r="2081" spans="1:20" ht="15" customHeight="1" x14ac:dyDescent="0.3">
      <c r="A2081" s="368"/>
      <c r="B2081" s="368"/>
      <c r="C2081" s="41">
        <v>2382</v>
      </c>
      <c r="D2081" s="371"/>
      <c r="E2081" s="368"/>
      <c r="F2081" s="368"/>
      <c r="G2081" s="368"/>
      <c r="H2081" s="368"/>
      <c r="I2081" s="368"/>
      <c r="J2081" s="368"/>
      <c r="K2081" s="368"/>
      <c r="L2081" s="368"/>
      <c r="M2081" s="359"/>
      <c r="N2081" s="397"/>
      <c r="O2081" s="368"/>
      <c r="P2081" s="226">
        <v>44066</v>
      </c>
      <c r="Q2081" s="368"/>
    </row>
    <row r="2082" spans="1:20" ht="15" customHeight="1" thickBot="1" x14ac:dyDescent="0.35">
      <c r="A2082" s="369"/>
      <c r="B2082" s="369"/>
      <c r="C2082" s="42">
        <v>13952</v>
      </c>
      <c r="D2082" s="372"/>
      <c r="E2082" s="369"/>
      <c r="F2082" s="369"/>
      <c r="G2082" s="369"/>
      <c r="H2082" s="369"/>
      <c r="I2082" s="369"/>
      <c r="J2082" s="369"/>
      <c r="K2082" s="369"/>
      <c r="L2082" s="369"/>
      <c r="M2082" s="360"/>
      <c r="N2082" s="398"/>
      <c r="O2082" s="369"/>
      <c r="P2082" s="67"/>
      <c r="Q2082" s="369"/>
    </row>
    <row r="2083" spans="1:20" ht="15" hidden="1" customHeight="1" x14ac:dyDescent="0.3">
      <c r="A2083" s="367">
        <v>552</v>
      </c>
      <c r="B2083" s="367" t="s">
        <v>174</v>
      </c>
      <c r="C2083" s="40">
        <v>14782</v>
      </c>
      <c r="D2083" s="370">
        <v>0</v>
      </c>
      <c r="E2083" s="367" t="s">
        <v>13</v>
      </c>
      <c r="F2083" s="367">
        <v>1450</v>
      </c>
      <c r="G2083" s="367">
        <v>1200</v>
      </c>
      <c r="H2083" s="367" t="s">
        <v>25</v>
      </c>
      <c r="I2083" s="367" t="s">
        <v>13</v>
      </c>
      <c r="J2083" s="367" t="s">
        <v>13</v>
      </c>
      <c r="K2083" s="367" t="s">
        <v>13</v>
      </c>
      <c r="L2083" s="367" t="s">
        <v>13</v>
      </c>
      <c r="M2083" s="358" t="s">
        <v>14</v>
      </c>
      <c r="N2083" s="396" t="s">
        <v>391</v>
      </c>
      <c r="O2083" s="367" t="s">
        <v>27</v>
      </c>
      <c r="P2083" s="65"/>
      <c r="Q2083" s="367" t="s">
        <v>176</v>
      </c>
    </row>
    <row r="2084" spans="1:20" ht="15" customHeight="1" x14ac:dyDescent="0.3">
      <c r="A2084" s="368"/>
      <c r="B2084" s="368"/>
      <c r="C2084" s="41">
        <v>2779</v>
      </c>
      <c r="D2084" s="371"/>
      <c r="E2084" s="368"/>
      <c r="F2084" s="368"/>
      <c r="G2084" s="368"/>
      <c r="H2084" s="368"/>
      <c r="I2084" s="368"/>
      <c r="J2084" s="368"/>
      <c r="K2084" s="368"/>
      <c r="L2084" s="368"/>
      <c r="M2084" s="359"/>
      <c r="N2084" s="397"/>
      <c r="O2084" s="368"/>
      <c r="P2084" s="226">
        <v>44066</v>
      </c>
      <c r="Q2084" s="368"/>
      <c r="T2084" s="200">
        <v>1</v>
      </c>
    </row>
    <row r="2085" spans="1:20" ht="15" customHeight="1" thickBot="1" x14ac:dyDescent="0.35">
      <c r="A2085" s="369"/>
      <c r="B2085" s="369"/>
      <c r="C2085" s="42">
        <v>13952</v>
      </c>
      <c r="D2085" s="372"/>
      <c r="E2085" s="369"/>
      <c r="F2085" s="369"/>
      <c r="G2085" s="369"/>
      <c r="H2085" s="369"/>
      <c r="I2085" s="369"/>
      <c r="J2085" s="369"/>
      <c r="K2085" s="369"/>
      <c r="L2085" s="369"/>
      <c r="M2085" s="360"/>
      <c r="N2085" s="398"/>
      <c r="O2085" s="369"/>
      <c r="P2085" s="67"/>
      <c r="Q2085" s="369"/>
    </row>
    <row r="2086" spans="1:20" ht="15" hidden="1" customHeight="1" x14ac:dyDescent="0.3">
      <c r="A2086" s="367">
        <v>553</v>
      </c>
      <c r="B2086" s="367" t="s">
        <v>174</v>
      </c>
      <c r="C2086" s="40">
        <v>14434</v>
      </c>
      <c r="D2086" s="370">
        <v>0</v>
      </c>
      <c r="E2086" s="367" t="s">
        <v>13</v>
      </c>
      <c r="F2086" s="367">
        <v>1450</v>
      </c>
      <c r="G2086" s="367">
        <v>1200</v>
      </c>
      <c r="H2086" s="367" t="s">
        <v>25</v>
      </c>
      <c r="I2086" s="367" t="s">
        <v>13</v>
      </c>
      <c r="J2086" s="367" t="s">
        <v>13</v>
      </c>
      <c r="K2086" s="367" t="s">
        <v>13</v>
      </c>
      <c r="L2086" s="367" t="s">
        <v>13</v>
      </c>
      <c r="M2086" s="358" t="s">
        <v>14</v>
      </c>
      <c r="N2086" s="396" t="s">
        <v>391</v>
      </c>
      <c r="O2086" s="367" t="s">
        <v>27</v>
      </c>
      <c r="P2086" s="65"/>
      <c r="Q2086" s="367" t="s">
        <v>176</v>
      </c>
      <c r="T2086" s="200">
        <v>1</v>
      </c>
    </row>
    <row r="2087" spans="1:20" ht="15" customHeight="1" x14ac:dyDescent="0.3">
      <c r="A2087" s="368"/>
      <c r="B2087" s="368"/>
      <c r="C2087" s="41">
        <v>2822</v>
      </c>
      <c r="D2087" s="371"/>
      <c r="E2087" s="368"/>
      <c r="F2087" s="368"/>
      <c r="G2087" s="368"/>
      <c r="H2087" s="368"/>
      <c r="I2087" s="368"/>
      <c r="J2087" s="368"/>
      <c r="K2087" s="368"/>
      <c r="L2087" s="368"/>
      <c r="M2087" s="359"/>
      <c r="N2087" s="397"/>
      <c r="O2087" s="368"/>
      <c r="P2087" s="226">
        <v>44066</v>
      </c>
      <c r="Q2087" s="368"/>
    </row>
    <row r="2088" spans="1:20" ht="15" customHeight="1" thickBot="1" x14ac:dyDescent="0.35">
      <c r="A2088" s="369"/>
      <c r="B2088" s="369"/>
      <c r="C2088" s="42">
        <v>13952</v>
      </c>
      <c r="D2088" s="372"/>
      <c r="E2088" s="369"/>
      <c r="F2088" s="369"/>
      <c r="G2088" s="369"/>
      <c r="H2088" s="369"/>
      <c r="I2088" s="369"/>
      <c r="J2088" s="369"/>
      <c r="K2088" s="369"/>
      <c r="L2088" s="369"/>
      <c r="M2088" s="360"/>
      <c r="N2088" s="398"/>
      <c r="O2088" s="369"/>
      <c r="P2088" s="67"/>
      <c r="Q2088" s="369"/>
    </row>
    <row r="2089" spans="1:20" ht="15" hidden="1" customHeight="1" x14ac:dyDescent="0.3">
      <c r="A2089" s="367">
        <v>554</v>
      </c>
      <c r="B2089" s="367" t="s">
        <v>174</v>
      </c>
      <c r="C2089" s="40">
        <v>14386</v>
      </c>
      <c r="D2089" s="370">
        <v>0</v>
      </c>
      <c r="E2089" s="367" t="s">
        <v>13</v>
      </c>
      <c r="F2089" s="367">
        <v>1450</v>
      </c>
      <c r="G2089" s="367">
        <v>1200</v>
      </c>
      <c r="H2089" s="367" t="s">
        <v>25</v>
      </c>
      <c r="I2089" s="367" t="s">
        <v>13</v>
      </c>
      <c r="J2089" s="367" t="s">
        <v>13</v>
      </c>
      <c r="K2089" s="367" t="s">
        <v>13</v>
      </c>
      <c r="L2089" s="367" t="s">
        <v>13</v>
      </c>
      <c r="M2089" s="358" t="s">
        <v>14</v>
      </c>
      <c r="N2089" s="396" t="s">
        <v>391</v>
      </c>
      <c r="O2089" s="367" t="s">
        <v>27</v>
      </c>
      <c r="P2089" s="65"/>
      <c r="Q2089" s="367" t="s">
        <v>176</v>
      </c>
      <c r="T2089" s="200">
        <v>1</v>
      </c>
    </row>
    <row r="2090" spans="1:20" ht="15" customHeight="1" x14ac:dyDescent="0.3">
      <c r="A2090" s="368"/>
      <c r="B2090" s="368"/>
      <c r="C2090" s="41">
        <v>2425</v>
      </c>
      <c r="D2090" s="371"/>
      <c r="E2090" s="368"/>
      <c r="F2090" s="368"/>
      <c r="G2090" s="368"/>
      <c r="H2090" s="368"/>
      <c r="I2090" s="368"/>
      <c r="J2090" s="368"/>
      <c r="K2090" s="368"/>
      <c r="L2090" s="368"/>
      <c r="M2090" s="359"/>
      <c r="N2090" s="397"/>
      <c r="O2090" s="368"/>
      <c r="P2090" s="226">
        <v>44066</v>
      </c>
      <c r="Q2090" s="368"/>
    </row>
    <row r="2091" spans="1:20" ht="15" customHeight="1" thickBot="1" x14ac:dyDescent="0.35">
      <c r="A2091" s="369"/>
      <c r="B2091" s="369"/>
      <c r="C2091" s="42">
        <v>13952</v>
      </c>
      <c r="D2091" s="372"/>
      <c r="E2091" s="369"/>
      <c r="F2091" s="369"/>
      <c r="G2091" s="369"/>
      <c r="H2091" s="369"/>
      <c r="I2091" s="369"/>
      <c r="J2091" s="369"/>
      <c r="K2091" s="369"/>
      <c r="L2091" s="369"/>
      <c r="M2091" s="360"/>
      <c r="N2091" s="398"/>
      <c r="O2091" s="369"/>
      <c r="P2091" s="67"/>
      <c r="Q2091" s="369"/>
    </row>
    <row r="2092" spans="1:20" ht="15" hidden="1" customHeight="1" x14ac:dyDescent="0.3">
      <c r="A2092" s="367">
        <v>555</v>
      </c>
      <c r="B2092" s="367" t="s">
        <v>179</v>
      </c>
      <c r="C2092" s="40">
        <v>12996</v>
      </c>
      <c r="D2092" s="367">
        <v>1</v>
      </c>
      <c r="E2092" s="367" t="s">
        <v>161</v>
      </c>
      <c r="F2092" s="367">
        <v>1450</v>
      </c>
      <c r="G2092" s="367">
        <v>1200</v>
      </c>
      <c r="H2092" s="367" t="s">
        <v>25</v>
      </c>
      <c r="I2092" s="367">
        <v>60</v>
      </c>
      <c r="J2092" s="370">
        <f>-0.12/0.21</f>
        <v>-0.5714285714285714</v>
      </c>
      <c r="K2092" s="367">
        <v>30</v>
      </c>
      <c r="L2092" s="367">
        <v>27.5</v>
      </c>
      <c r="M2092" s="358" t="s">
        <v>14</v>
      </c>
      <c r="N2092" s="396" t="s">
        <v>391</v>
      </c>
      <c r="O2092" s="367" t="s">
        <v>27</v>
      </c>
      <c r="P2092" s="65"/>
      <c r="Q2092" s="370" t="s">
        <v>301</v>
      </c>
    </row>
    <row r="2093" spans="1:20" ht="15" customHeight="1" x14ac:dyDescent="0.3">
      <c r="A2093" s="368"/>
      <c r="B2093" s="368"/>
      <c r="C2093" s="41">
        <v>2596</v>
      </c>
      <c r="D2093" s="368"/>
      <c r="E2093" s="368"/>
      <c r="F2093" s="368"/>
      <c r="G2093" s="368"/>
      <c r="H2093" s="368"/>
      <c r="I2093" s="368"/>
      <c r="J2093" s="371"/>
      <c r="K2093" s="368"/>
      <c r="L2093" s="368"/>
      <c r="M2093" s="359"/>
      <c r="N2093" s="397"/>
      <c r="O2093" s="368"/>
      <c r="P2093" s="226">
        <v>44066</v>
      </c>
      <c r="Q2093" s="371"/>
      <c r="T2093" s="200">
        <v>1</v>
      </c>
    </row>
    <row r="2094" spans="1:20" ht="15" customHeight="1" thickBot="1" x14ac:dyDescent="0.35">
      <c r="A2094" s="369"/>
      <c r="B2094" s="369"/>
      <c r="C2094" s="42">
        <v>13952</v>
      </c>
      <c r="D2094" s="369"/>
      <c r="E2094" s="369"/>
      <c r="F2094" s="369"/>
      <c r="G2094" s="369"/>
      <c r="H2094" s="369"/>
      <c r="I2094" s="369"/>
      <c r="J2094" s="372"/>
      <c r="K2094" s="369"/>
      <c r="L2094" s="369"/>
      <c r="M2094" s="360"/>
      <c r="N2094" s="398"/>
      <c r="O2094" s="369"/>
      <c r="P2094" s="67"/>
      <c r="Q2094" s="372"/>
    </row>
    <row r="2095" spans="1:20" ht="15" hidden="1" customHeight="1" x14ac:dyDescent="0.3">
      <c r="A2095" s="370">
        <v>556</v>
      </c>
      <c r="B2095" s="370" t="s">
        <v>179</v>
      </c>
      <c r="C2095" s="37">
        <v>12599</v>
      </c>
      <c r="D2095" s="370">
        <v>1</v>
      </c>
      <c r="E2095" s="370" t="s">
        <v>161</v>
      </c>
      <c r="F2095" s="367">
        <v>1450</v>
      </c>
      <c r="G2095" s="367">
        <v>1200</v>
      </c>
      <c r="H2095" s="370" t="s">
        <v>25</v>
      </c>
      <c r="I2095" s="370">
        <v>60</v>
      </c>
      <c r="J2095" s="370">
        <f>-0.36/0.65</f>
        <v>-0.55384615384615377</v>
      </c>
      <c r="K2095" s="370">
        <v>30</v>
      </c>
      <c r="L2095" s="367">
        <v>27.5</v>
      </c>
      <c r="M2095" s="358" t="s">
        <v>14</v>
      </c>
      <c r="N2095" s="399" t="s">
        <v>391</v>
      </c>
      <c r="O2095" s="367" t="s">
        <v>27</v>
      </c>
      <c r="P2095" s="228">
        <v>44066</v>
      </c>
      <c r="Q2095" s="370" t="s">
        <v>301</v>
      </c>
    </row>
    <row r="2096" spans="1:20" ht="15" customHeight="1" x14ac:dyDescent="0.3">
      <c r="A2096" s="371"/>
      <c r="B2096" s="371"/>
      <c r="C2096" s="38">
        <v>2644</v>
      </c>
      <c r="D2096" s="371"/>
      <c r="E2096" s="371"/>
      <c r="F2096" s="368"/>
      <c r="G2096" s="368"/>
      <c r="H2096" s="371"/>
      <c r="I2096" s="371"/>
      <c r="J2096" s="371"/>
      <c r="K2096" s="371"/>
      <c r="L2096" s="368"/>
      <c r="M2096" s="359"/>
      <c r="N2096" s="400"/>
      <c r="O2096" s="368"/>
      <c r="P2096" s="66"/>
      <c r="Q2096" s="371"/>
      <c r="T2096" s="200">
        <v>1</v>
      </c>
    </row>
    <row r="2097" spans="1:20" ht="15" customHeight="1" thickBot="1" x14ac:dyDescent="0.35">
      <c r="A2097" s="372"/>
      <c r="B2097" s="372"/>
      <c r="C2097" s="39">
        <v>13952</v>
      </c>
      <c r="D2097" s="372"/>
      <c r="E2097" s="372"/>
      <c r="F2097" s="369"/>
      <c r="G2097" s="369"/>
      <c r="H2097" s="372"/>
      <c r="I2097" s="372"/>
      <c r="J2097" s="372"/>
      <c r="K2097" s="372"/>
      <c r="L2097" s="369"/>
      <c r="M2097" s="360"/>
      <c r="N2097" s="401"/>
      <c r="O2097" s="369"/>
      <c r="P2097" s="67"/>
      <c r="Q2097" s="372"/>
    </row>
    <row r="2098" spans="1:20" ht="15" hidden="1" customHeight="1" x14ac:dyDescent="0.3">
      <c r="A2098" s="367">
        <v>557</v>
      </c>
      <c r="B2098" s="367" t="s">
        <v>174</v>
      </c>
      <c r="C2098" s="40">
        <v>12202</v>
      </c>
      <c r="D2098" s="370">
        <v>0</v>
      </c>
      <c r="E2098" s="367" t="s">
        <v>13</v>
      </c>
      <c r="F2098" s="367">
        <v>1450</v>
      </c>
      <c r="G2098" s="367">
        <v>1200</v>
      </c>
      <c r="H2098" s="367" t="s">
        <v>25</v>
      </c>
      <c r="I2098" s="367" t="s">
        <v>13</v>
      </c>
      <c r="J2098" s="367" t="s">
        <v>13</v>
      </c>
      <c r="K2098" s="367" t="s">
        <v>13</v>
      </c>
      <c r="L2098" s="367" t="s">
        <v>13</v>
      </c>
      <c r="M2098" s="358" t="s">
        <v>14</v>
      </c>
      <c r="N2098" s="396" t="s">
        <v>391</v>
      </c>
      <c r="O2098" s="367" t="s">
        <v>27</v>
      </c>
      <c r="P2098" s="65"/>
      <c r="Q2098" s="367" t="s">
        <v>176</v>
      </c>
    </row>
    <row r="2099" spans="1:20" ht="15" customHeight="1" x14ac:dyDescent="0.3">
      <c r="A2099" s="368"/>
      <c r="B2099" s="368"/>
      <c r="C2099" s="41">
        <v>2693</v>
      </c>
      <c r="D2099" s="371"/>
      <c r="E2099" s="368"/>
      <c r="F2099" s="368"/>
      <c r="G2099" s="368"/>
      <c r="H2099" s="368"/>
      <c r="I2099" s="368"/>
      <c r="J2099" s="368"/>
      <c r="K2099" s="368"/>
      <c r="L2099" s="368"/>
      <c r="M2099" s="359"/>
      <c r="N2099" s="397"/>
      <c r="O2099" s="368"/>
      <c r="P2099" s="226">
        <v>44066</v>
      </c>
      <c r="Q2099" s="368"/>
      <c r="T2099" s="200">
        <v>1</v>
      </c>
    </row>
    <row r="2100" spans="1:20" ht="15" customHeight="1" thickBot="1" x14ac:dyDescent="0.35">
      <c r="A2100" s="369"/>
      <c r="B2100" s="369"/>
      <c r="C2100" s="42">
        <v>13952</v>
      </c>
      <c r="D2100" s="372"/>
      <c r="E2100" s="369"/>
      <c r="F2100" s="369"/>
      <c r="G2100" s="369"/>
      <c r="H2100" s="369"/>
      <c r="I2100" s="369"/>
      <c r="J2100" s="369"/>
      <c r="K2100" s="369"/>
      <c r="L2100" s="369"/>
      <c r="M2100" s="360"/>
      <c r="N2100" s="398"/>
      <c r="O2100" s="369"/>
      <c r="P2100" s="67"/>
      <c r="Q2100" s="369"/>
    </row>
    <row r="2101" spans="1:20" ht="15" hidden="1" customHeight="1" x14ac:dyDescent="0.3">
      <c r="A2101" s="367">
        <v>558</v>
      </c>
      <c r="B2101" s="367" t="s">
        <v>174</v>
      </c>
      <c r="C2101" s="40">
        <v>15304</v>
      </c>
      <c r="D2101" s="370">
        <v>0</v>
      </c>
      <c r="E2101" s="367" t="s">
        <v>13</v>
      </c>
      <c r="F2101" s="367">
        <v>1450</v>
      </c>
      <c r="G2101" s="367">
        <v>1200</v>
      </c>
      <c r="H2101" s="367" t="s">
        <v>25</v>
      </c>
      <c r="I2101" s="367" t="s">
        <v>13</v>
      </c>
      <c r="J2101" s="367" t="s">
        <v>13</v>
      </c>
      <c r="K2101" s="367" t="s">
        <v>13</v>
      </c>
      <c r="L2101" s="367" t="s">
        <v>13</v>
      </c>
      <c r="M2101" s="358" t="s">
        <v>14</v>
      </c>
      <c r="N2101" s="396" t="s">
        <v>391</v>
      </c>
      <c r="O2101" s="367" t="s">
        <v>27</v>
      </c>
      <c r="P2101" s="65"/>
      <c r="Q2101" s="367" t="s">
        <v>176</v>
      </c>
    </row>
    <row r="2102" spans="1:20" ht="15" customHeight="1" x14ac:dyDescent="0.3">
      <c r="A2102" s="368"/>
      <c r="B2102" s="368"/>
      <c r="C2102" s="41">
        <v>2312</v>
      </c>
      <c r="D2102" s="371"/>
      <c r="E2102" s="368"/>
      <c r="F2102" s="368"/>
      <c r="G2102" s="368"/>
      <c r="H2102" s="368"/>
      <c r="I2102" s="368"/>
      <c r="J2102" s="368"/>
      <c r="K2102" s="368"/>
      <c r="L2102" s="368"/>
      <c r="M2102" s="359"/>
      <c r="N2102" s="397"/>
      <c r="O2102" s="368"/>
      <c r="P2102" s="226">
        <v>44066</v>
      </c>
      <c r="Q2102" s="368"/>
      <c r="T2102" s="200">
        <v>1</v>
      </c>
    </row>
    <row r="2103" spans="1:20" ht="15" customHeight="1" thickBot="1" x14ac:dyDescent="0.35">
      <c r="A2103" s="369"/>
      <c r="B2103" s="369"/>
      <c r="C2103" s="42">
        <v>13952</v>
      </c>
      <c r="D2103" s="372"/>
      <c r="E2103" s="369"/>
      <c r="F2103" s="369"/>
      <c r="G2103" s="369"/>
      <c r="H2103" s="369"/>
      <c r="I2103" s="369"/>
      <c r="J2103" s="369"/>
      <c r="K2103" s="369"/>
      <c r="L2103" s="369"/>
      <c r="M2103" s="360"/>
      <c r="N2103" s="398"/>
      <c r="O2103" s="369"/>
      <c r="P2103" s="67"/>
      <c r="Q2103" s="369"/>
    </row>
    <row r="2104" spans="1:20" ht="15" hidden="1" customHeight="1" x14ac:dyDescent="0.3">
      <c r="A2104" s="370">
        <v>559</v>
      </c>
      <c r="B2104" s="370" t="s">
        <v>65</v>
      </c>
      <c r="C2104" s="37">
        <v>15998</v>
      </c>
      <c r="D2104" s="370">
        <v>1</v>
      </c>
      <c r="E2104" s="370" t="s">
        <v>25</v>
      </c>
      <c r="F2104" s="367">
        <v>1450</v>
      </c>
      <c r="G2104" s="367">
        <v>1200</v>
      </c>
      <c r="H2104" s="370" t="s">
        <v>55</v>
      </c>
      <c r="I2104" s="370">
        <v>150</v>
      </c>
      <c r="J2104" s="370" t="s">
        <v>45</v>
      </c>
      <c r="K2104" s="370">
        <v>50</v>
      </c>
      <c r="L2104" s="367">
        <v>0</v>
      </c>
      <c r="M2104" s="358" t="s">
        <v>14</v>
      </c>
      <c r="N2104" s="399" t="s">
        <v>391</v>
      </c>
      <c r="O2104" s="367" t="s">
        <v>27</v>
      </c>
      <c r="P2104" s="65"/>
      <c r="Q2104" s="367" t="s">
        <v>392</v>
      </c>
      <c r="T2104" s="200">
        <v>1</v>
      </c>
    </row>
    <row r="2105" spans="1:20" ht="15" customHeight="1" x14ac:dyDescent="0.3">
      <c r="A2105" s="371"/>
      <c r="B2105" s="371"/>
      <c r="C2105" s="38">
        <v>2224</v>
      </c>
      <c r="D2105" s="371"/>
      <c r="E2105" s="371"/>
      <c r="F2105" s="368"/>
      <c r="G2105" s="368"/>
      <c r="H2105" s="371"/>
      <c r="I2105" s="371"/>
      <c r="J2105" s="371"/>
      <c r="K2105" s="371"/>
      <c r="L2105" s="368"/>
      <c r="M2105" s="359"/>
      <c r="N2105" s="400"/>
      <c r="O2105" s="368"/>
      <c r="P2105" s="226">
        <v>44066</v>
      </c>
      <c r="Q2105" s="368"/>
    </row>
    <row r="2106" spans="1:20" ht="15" customHeight="1" thickBot="1" x14ac:dyDescent="0.35">
      <c r="A2106" s="372"/>
      <c r="B2106" s="372"/>
      <c r="C2106" s="39">
        <v>13951</v>
      </c>
      <c r="D2106" s="372"/>
      <c r="E2106" s="372"/>
      <c r="F2106" s="369"/>
      <c r="G2106" s="369"/>
      <c r="H2106" s="372"/>
      <c r="I2106" s="372"/>
      <c r="J2106" s="372"/>
      <c r="K2106" s="372"/>
      <c r="L2106" s="369"/>
      <c r="M2106" s="360"/>
      <c r="N2106" s="401"/>
      <c r="O2106" s="369"/>
      <c r="P2106" s="67"/>
      <c r="Q2106" s="369"/>
    </row>
    <row r="2107" spans="1:20" ht="15" hidden="1" customHeight="1" x14ac:dyDescent="0.3">
      <c r="A2107" s="367">
        <v>560</v>
      </c>
      <c r="B2107" s="367" t="s">
        <v>174</v>
      </c>
      <c r="C2107" s="40">
        <v>16782</v>
      </c>
      <c r="D2107" s="370">
        <v>0</v>
      </c>
      <c r="E2107" s="367" t="s">
        <v>13</v>
      </c>
      <c r="F2107" s="367">
        <v>1450</v>
      </c>
      <c r="G2107" s="367">
        <v>1200</v>
      </c>
      <c r="H2107" s="367" t="s">
        <v>55</v>
      </c>
      <c r="I2107" s="367" t="s">
        <v>13</v>
      </c>
      <c r="J2107" s="367" t="s">
        <v>13</v>
      </c>
      <c r="K2107" s="367" t="s">
        <v>13</v>
      </c>
      <c r="L2107" s="367" t="s">
        <v>13</v>
      </c>
      <c r="M2107" s="358" t="s">
        <v>14</v>
      </c>
      <c r="N2107" s="396" t="s">
        <v>391</v>
      </c>
      <c r="O2107" s="367" t="s">
        <v>27</v>
      </c>
      <c r="P2107" s="65"/>
      <c r="Q2107" s="367" t="s">
        <v>176</v>
      </c>
      <c r="T2107" s="200">
        <v>1</v>
      </c>
    </row>
    <row r="2108" spans="1:20" ht="15" customHeight="1" x14ac:dyDescent="0.3">
      <c r="A2108" s="368"/>
      <c r="B2108" s="368"/>
      <c r="C2108" s="41">
        <v>2128</v>
      </c>
      <c r="D2108" s="371"/>
      <c r="E2108" s="368"/>
      <c r="F2108" s="368"/>
      <c r="G2108" s="368"/>
      <c r="H2108" s="368"/>
      <c r="I2108" s="368"/>
      <c r="J2108" s="368"/>
      <c r="K2108" s="368"/>
      <c r="L2108" s="368"/>
      <c r="M2108" s="359"/>
      <c r="N2108" s="397"/>
      <c r="O2108" s="368"/>
      <c r="P2108" s="226">
        <v>44066</v>
      </c>
      <c r="Q2108" s="368"/>
    </row>
    <row r="2109" spans="1:20" ht="15" customHeight="1" thickBot="1" x14ac:dyDescent="0.35">
      <c r="A2109" s="369"/>
      <c r="B2109" s="369"/>
      <c r="C2109" s="42">
        <v>13951</v>
      </c>
      <c r="D2109" s="372"/>
      <c r="E2109" s="369"/>
      <c r="F2109" s="369"/>
      <c r="G2109" s="369"/>
      <c r="H2109" s="369"/>
      <c r="I2109" s="369"/>
      <c r="J2109" s="369"/>
      <c r="K2109" s="369"/>
      <c r="L2109" s="369"/>
      <c r="M2109" s="360"/>
      <c r="N2109" s="398"/>
      <c r="O2109" s="369"/>
      <c r="P2109" s="67"/>
      <c r="Q2109" s="369"/>
    </row>
    <row r="2110" spans="1:20" ht="15" hidden="1" customHeight="1" x14ac:dyDescent="0.3">
      <c r="A2110" s="367">
        <v>561</v>
      </c>
      <c r="B2110" s="367" t="s">
        <v>174</v>
      </c>
      <c r="C2110" s="40">
        <v>17244</v>
      </c>
      <c r="D2110" s="370">
        <v>0</v>
      </c>
      <c r="E2110" s="367" t="s">
        <v>13</v>
      </c>
      <c r="F2110" s="367">
        <v>1450</v>
      </c>
      <c r="G2110" s="367">
        <v>1200</v>
      </c>
      <c r="H2110" s="367" t="s">
        <v>55</v>
      </c>
      <c r="I2110" s="367" t="s">
        <v>13</v>
      </c>
      <c r="J2110" s="367" t="s">
        <v>13</v>
      </c>
      <c r="K2110" s="367" t="s">
        <v>13</v>
      </c>
      <c r="L2110" s="367" t="s">
        <v>13</v>
      </c>
      <c r="M2110" s="358" t="s">
        <v>14</v>
      </c>
      <c r="N2110" s="396" t="s">
        <v>391</v>
      </c>
      <c r="O2110" s="367" t="s">
        <v>27</v>
      </c>
      <c r="P2110" s="65"/>
      <c r="Q2110" s="367" t="s">
        <v>176</v>
      </c>
      <c r="T2110" s="200">
        <v>1</v>
      </c>
    </row>
    <row r="2111" spans="1:20" ht="15" customHeight="1" x14ac:dyDescent="0.3">
      <c r="A2111" s="368"/>
      <c r="B2111" s="368"/>
      <c r="C2111" s="41">
        <v>2072</v>
      </c>
      <c r="D2111" s="371"/>
      <c r="E2111" s="368"/>
      <c r="F2111" s="368"/>
      <c r="G2111" s="368"/>
      <c r="H2111" s="368"/>
      <c r="I2111" s="368"/>
      <c r="J2111" s="368"/>
      <c r="K2111" s="368"/>
      <c r="L2111" s="368"/>
      <c r="M2111" s="359"/>
      <c r="N2111" s="397"/>
      <c r="O2111" s="368"/>
      <c r="P2111" s="226">
        <v>44066</v>
      </c>
      <c r="Q2111" s="368"/>
    </row>
    <row r="2112" spans="1:20" ht="15" customHeight="1" thickBot="1" x14ac:dyDescent="0.35">
      <c r="A2112" s="369"/>
      <c r="B2112" s="369"/>
      <c r="C2112" s="42">
        <v>13951</v>
      </c>
      <c r="D2112" s="372"/>
      <c r="E2112" s="369"/>
      <c r="F2112" s="369"/>
      <c r="G2112" s="369"/>
      <c r="H2112" s="369"/>
      <c r="I2112" s="369"/>
      <c r="J2112" s="369"/>
      <c r="K2112" s="369"/>
      <c r="L2112" s="369"/>
      <c r="M2112" s="360"/>
      <c r="N2112" s="398"/>
      <c r="O2112" s="369"/>
      <c r="P2112" s="67"/>
      <c r="Q2112" s="369"/>
    </row>
    <row r="2113" spans="1:20" ht="15" hidden="1" customHeight="1" x14ac:dyDescent="0.3">
      <c r="A2113" s="370">
        <v>562</v>
      </c>
      <c r="B2113" s="370" t="s">
        <v>393</v>
      </c>
      <c r="C2113" s="37">
        <v>19989</v>
      </c>
      <c r="D2113" s="370">
        <v>1</v>
      </c>
      <c r="E2113" s="370" t="s">
        <v>58</v>
      </c>
      <c r="F2113" s="367">
        <v>1450</v>
      </c>
      <c r="G2113" s="367">
        <v>1200</v>
      </c>
      <c r="H2113" s="370" t="s">
        <v>12</v>
      </c>
      <c r="I2113" s="370">
        <v>150</v>
      </c>
      <c r="J2113" s="370" t="s">
        <v>45</v>
      </c>
      <c r="K2113" s="370">
        <v>50</v>
      </c>
      <c r="L2113" s="367">
        <v>21</v>
      </c>
      <c r="M2113" s="358" t="s">
        <v>14</v>
      </c>
      <c r="N2113" s="399" t="s">
        <v>391</v>
      </c>
      <c r="O2113" s="367" t="s">
        <v>27</v>
      </c>
      <c r="P2113" s="218"/>
      <c r="Q2113" s="370" t="s">
        <v>390</v>
      </c>
    </row>
    <row r="2114" spans="1:20" ht="15" customHeight="1" x14ac:dyDescent="0.3">
      <c r="A2114" s="371"/>
      <c r="B2114" s="371"/>
      <c r="C2114" s="38">
        <v>1984</v>
      </c>
      <c r="D2114" s="371"/>
      <c r="E2114" s="371"/>
      <c r="F2114" s="368"/>
      <c r="G2114" s="368"/>
      <c r="H2114" s="371"/>
      <c r="I2114" s="371"/>
      <c r="J2114" s="371"/>
      <c r="K2114" s="371"/>
      <c r="L2114" s="368"/>
      <c r="M2114" s="359"/>
      <c r="N2114" s="400"/>
      <c r="O2114" s="368"/>
      <c r="P2114" s="226">
        <v>44072</v>
      </c>
      <c r="Q2114" s="371"/>
      <c r="R2114" s="186">
        <v>44072</v>
      </c>
    </row>
    <row r="2115" spans="1:20" ht="15" customHeight="1" thickBot="1" x14ac:dyDescent="0.35">
      <c r="A2115" s="372"/>
      <c r="B2115" s="372"/>
      <c r="C2115" s="39">
        <v>13952</v>
      </c>
      <c r="D2115" s="372"/>
      <c r="E2115" s="372"/>
      <c r="F2115" s="369"/>
      <c r="G2115" s="369"/>
      <c r="H2115" s="372"/>
      <c r="I2115" s="372"/>
      <c r="J2115" s="372"/>
      <c r="K2115" s="372"/>
      <c r="L2115" s="369"/>
      <c r="M2115" s="360"/>
      <c r="N2115" s="401"/>
      <c r="O2115" s="369"/>
      <c r="P2115" s="220"/>
      <c r="Q2115" s="372"/>
      <c r="T2115" s="200">
        <v>1</v>
      </c>
    </row>
    <row r="2116" spans="1:20" ht="15" hidden="1" customHeight="1" x14ac:dyDescent="0.3">
      <c r="A2116" s="370">
        <v>563</v>
      </c>
      <c r="B2116" s="370" t="s">
        <v>394</v>
      </c>
      <c r="C2116" s="37">
        <v>20485</v>
      </c>
      <c r="D2116" s="370">
        <v>1</v>
      </c>
      <c r="E2116" s="370" t="s">
        <v>63</v>
      </c>
      <c r="F2116" s="367">
        <v>1450</v>
      </c>
      <c r="G2116" s="367">
        <v>1200</v>
      </c>
      <c r="H2116" s="370" t="s">
        <v>61</v>
      </c>
      <c r="I2116" s="370">
        <v>150</v>
      </c>
      <c r="J2116" s="370" t="s">
        <v>45</v>
      </c>
      <c r="K2116" s="370">
        <v>50</v>
      </c>
      <c r="L2116" s="367">
        <v>19.5</v>
      </c>
      <c r="M2116" s="358" t="s">
        <v>14</v>
      </c>
      <c r="N2116" s="399" t="s">
        <v>391</v>
      </c>
      <c r="O2116" s="367" t="s">
        <v>27</v>
      </c>
      <c r="P2116" s="218"/>
      <c r="Q2116" s="367" t="s">
        <v>254</v>
      </c>
      <c r="T2116" s="200">
        <v>1</v>
      </c>
    </row>
    <row r="2117" spans="1:20" ht="15" customHeight="1" x14ac:dyDescent="0.3">
      <c r="A2117" s="371"/>
      <c r="B2117" s="371"/>
      <c r="C2117" s="38">
        <v>1923</v>
      </c>
      <c r="D2117" s="371"/>
      <c r="E2117" s="371"/>
      <c r="F2117" s="368"/>
      <c r="G2117" s="368"/>
      <c r="H2117" s="371"/>
      <c r="I2117" s="371"/>
      <c r="J2117" s="371"/>
      <c r="K2117" s="371"/>
      <c r="L2117" s="368"/>
      <c r="M2117" s="359"/>
      <c r="N2117" s="400"/>
      <c r="O2117" s="368"/>
      <c r="P2117" s="226">
        <v>44072</v>
      </c>
      <c r="Q2117" s="368"/>
      <c r="R2117" s="186">
        <v>44072</v>
      </c>
    </row>
    <row r="2118" spans="1:20" ht="15" customHeight="1" thickBot="1" x14ac:dyDescent="0.35">
      <c r="A2118" s="372"/>
      <c r="B2118" s="372"/>
      <c r="C2118" s="39">
        <v>13952</v>
      </c>
      <c r="D2118" s="372"/>
      <c r="E2118" s="372"/>
      <c r="F2118" s="369"/>
      <c r="G2118" s="369"/>
      <c r="H2118" s="372"/>
      <c r="I2118" s="372"/>
      <c r="J2118" s="372"/>
      <c r="K2118" s="372"/>
      <c r="L2118" s="369"/>
      <c r="M2118" s="360"/>
      <c r="N2118" s="401"/>
      <c r="O2118" s="369"/>
      <c r="P2118" s="220"/>
      <c r="Q2118" s="369"/>
    </row>
    <row r="2119" spans="1:20" ht="15" hidden="1" customHeight="1" x14ac:dyDescent="0.3">
      <c r="A2119" s="370">
        <v>564</v>
      </c>
      <c r="B2119" s="370" t="s">
        <v>394</v>
      </c>
      <c r="C2119" s="37">
        <v>18995</v>
      </c>
      <c r="D2119" s="370">
        <v>1</v>
      </c>
      <c r="E2119" s="370" t="s">
        <v>63</v>
      </c>
      <c r="F2119" s="367">
        <v>1450</v>
      </c>
      <c r="G2119" s="367">
        <v>1200</v>
      </c>
      <c r="H2119" s="370" t="s">
        <v>61</v>
      </c>
      <c r="I2119" s="370">
        <v>150</v>
      </c>
      <c r="J2119" s="370" t="s">
        <v>45</v>
      </c>
      <c r="K2119" s="370">
        <v>50</v>
      </c>
      <c r="L2119" s="367">
        <v>19.5</v>
      </c>
      <c r="M2119" s="358" t="s">
        <v>14</v>
      </c>
      <c r="N2119" s="399" t="s">
        <v>391</v>
      </c>
      <c r="O2119" s="367" t="s">
        <v>27</v>
      </c>
      <c r="P2119" s="290"/>
      <c r="Q2119" s="367" t="s">
        <v>254</v>
      </c>
      <c r="T2119" s="200">
        <v>1</v>
      </c>
    </row>
    <row r="2120" spans="1:20" ht="15" customHeight="1" x14ac:dyDescent="0.3">
      <c r="A2120" s="371"/>
      <c r="B2120" s="371"/>
      <c r="C2120" s="38">
        <v>3740</v>
      </c>
      <c r="D2120" s="371"/>
      <c r="E2120" s="371"/>
      <c r="F2120" s="368"/>
      <c r="G2120" s="368"/>
      <c r="H2120" s="371"/>
      <c r="I2120" s="371"/>
      <c r="J2120" s="371"/>
      <c r="K2120" s="371"/>
      <c r="L2120" s="368"/>
      <c r="M2120" s="359"/>
      <c r="N2120" s="400"/>
      <c r="O2120" s="368"/>
      <c r="P2120" s="291"/>
      <c r="Q2120" s="368"/>
      <c r="R2120" s="186">
        <v>44072</v>
      </c>
    </row>
    <row r="2121" spans="1:20" ht="15" customHeight="1" thickBot="1" x14ac:dyDescent="0.35">
      <c r="A2121" s="372"/>
      <c r="B2121" s="372"/>
      <c r="C2121" s="39">
        <v>13952</v>
      </c>
      <c r="D2121" s="372"/>
      <c r="E2121" s="372"/>
      <c r="F2121" s="369"/>
      <c r="G2121" s="369"/>
      <c r="H2121" s="372"/>
      <c r="I2121" s="372"/>
      <c r="J2121" s="372"/>
      <c r="K2121" s="372"/>
      <c r="L2121" s="369"/>
      <c r="M2121" s="360"/>
      <c r="N2121" s="401"/>
      <c r="O2121" s="369"/>
      <c r="P2121" s="227">
        <v>44095</v>
      </c>
      <c r="Q2121" s="369"/>
    </row>
    <row r="2122" spans="1:20" ht="15" hidden="1" customHeight="1" x14ac:dyDescent="0.3">
      <c r="A2122" s="367">
        <v>565</v>
      </c>
      <c r="B2122" s="367" t="s">
        <v>395</v>
      </c>
      <c r="C2122" s="40">
        <v>20650</v>
      </c>
      <c r="D2122" s="367">
        <v>1</v>
      </c>
      <c r="E2122" s="367" t="s">
        <v>204</v>
      </c>
      <c r="F2122" s="367">
        <v>1450</v>
      </c>
      <c r="G2122" s="367">
        <v>1200</v>
      </c>
      <c r="H2122" s="367" t="s">
        <v>25</v>
      </c>
      <c r="I2122" s="367">
        <v>90</v>
      </c>
      <c r="J2122" s="370" t="s">
        <v>45</v>
      </c>
      <c r="K2122" s="367">
        <v>30</v>
      </c>
      <c r="L2122" s="367">
        <v>15</v>
      </c>
      <c r="M2122" s="358" t="s">
        <v>14</v>
      </c>
      <c r="N2122" s="396" t="s">
        <v>391</v>
      </c>
      <c r="O2122" s="367" t="s">
        <v>27</v>
      </c>
      <c r="P2122" s="218"/>
      <c r="Q2122" s="367" t="s">
        <v>396</v>
      </c>
      <c r="T2122" s="200">
        <v>1</v>
      </c>
    </row>
    <row r="2123" spans="1:20" ht="15" customHeight="1" x14ac:dyDescent="0.3">
      <c r="A2123" s="368"/>
      <c r="B2123" s="368"/>
      <c r="C2123" s="41">
        <v>3450</v>
      </c>
      <c r="D2123" s="368"/>
      <c r="E2123" s="368"/>
      <c r="F2123" s="368"/>
      <c r="G2123" s="368"/>
      <c r="H2123" s="368"/>
      <c r="I2123" s="368"/>
      <c r="J2123" s="371"/>
      <c r="K2123" s="368"/>
      <c r="L2123" s="368"/>
      <c r="M2123" s="359"/>
      <c r="N2123" s="397"/>
      <c r="O2123" s="368"/>
      <c r="P2123" s="226">
        <v>44073</v>
      </c>
      <c r="Q2123" s="368"/>
      <c r="R2123" s="186">
        <v>44073</v>
      </c>
    </row>
    <row r="2124" spans="1:20" ht="15" customHeight="1" thickBot="1" x14ac:dyDescent="0.35">
      <c r="A2124" s="369"/>
      <c r="B2124" s="369"/>
      <c r="C2124" s="42">
        <v>13951</v>
      </c>
      <c r="D2124" s="369"/>
      <c r="E2124" s="369"/>
      <c r="F2124" s="369"/>
      <c r="G2124" s="369"/>
      <c r="H2124" s="369"/>
      <c r="I2124" s="369"/>
      <c r="J2124" s="372"/>
      <c r="K2124" s="369"/>
      <c r="L2124" s="369"/>
      <c r="M2124" s="360"/>
      <c r="N2124" s="398"/>
      <c r="O2124" s="369"/>
      <c r="P2124" s="220"/>
      <c r="Q2124" s="369"/>
    </row>
    <row r="2125" spans="1:20" ht="15" hidden="1" customHeight="1" x14ac:dyDescent="0.3">
      <c r="A2125" s="367">
        <v>566</v>
      </c>
      <c r="B2125" s="367" t="s">
        <v>288</v>
      </c>
      <c r="C2125" s="40">
        <v>19495</v>
      </c>
      <c r="D2125" s="367">
        <v>1</v>
      </c>
      <c r="E2125" s="367" t="s">
        <v>204</v>
      </c>
      <c r="F2125" s="367">
        <v>1450</v>
      </c>
      <c r="G2125" s="367">
        <v>1200</v>
      </c>
      <c r="H2125" s="367" t="s">
        <v>19</v>
      </c>
      <c r="I2125" s="367">
        <v>300</v>
      </c>
      <c r="J2125" s="370" t="s">
        <v>45</v>
      </c>
      <c r="K2125" s="367">
        <v>80</v>
      </c>
      <c r="L2125" s="367">
        <v>-6</v>
      </c>
      <c r="M2125" s="358" t="s">
        <v>14</v>
      </c>
      <c r="N2125" s="396" t="s">
        <v>391</v>
      </c>
      <c r="O2125" s="367" t="s">
        <v>27</v>
      </c>
      <c r="P2125" s="261"/>
      <c r="Q2125" s="367" t="s">
        <v>243</v>
      </c>
      <c r="T2125" s="200">
        <v>1</v>
      </c>
    </row>
    <row r="2126" spans="1:20" ht="15" customHeight="1" x14ac:dyDescent="0.3">
      <c r="A2126" s="368"/>
      <c r="B2126" s="368"/>
      <c r="C2126" s="41">
        <v>3740</v>
      </c>
      <c r="D2126" s="368"/>
      <c r="E2126" s="368"/>
      <c r="F2126" s="368"/>
      <c r="G2126" s="368"/>
      <c r="H2126" s="368"/>
      <c r="I2126" s="368"/>
      <c r="J2126" s="371"/>
      <c r="K2126" s="368"/>
      <c r="L2126" s="368"/>
      <c r="M2126" s="359"/>
      <c r="N2126" s="397"/>
      <c r="O2126" s="368"/>
      <c r="P2126" s="226">
        <v>44090</v>
      </c>
      <c r="Q2126" s="368"/>
    </row>
    <row r="2127" spans="1:20" ht="15" customHeight="1" thickBot="1" x14ac:dyDescent="0.35">
      <c r="A2127" s="369"/>
      <c r="B2127" s="369"/>
      <c r="C2127" s="42">
        <v>13951</v>
      </c>
      <c r="D2127" s="369"/>
      <c r="E2127" s="369"/>
      <c r="F2127" s="369"/>
      <c r="G2127" s="369"/>
      <c r="H2127" s="369"/>
      <c r="I2127" s="369"/>
      <c r="J2127" s="372"/>
      <c r="K2127" s="369"/>
      <c r="L2127" s="369"/>
      <c r="M2127" s="360"/>
      <c r="N2127" s="398"/>
      <c r="O2127" s="369"/>
      <c r="P2127" s="262"/>
      <c r="Q2127" s="369"/>
    </row>
    <row r="2128" spans="1:20" ht="15" hidden="1" customHeight="1" x14ac:dyDescent="0.3">
      <c r="A2128" s="376">
        <v>567</v>
      </c>
      <c r="B2128" s="376" t="s">
        <v>48</v>
      </c>
      <c r="C2128" s="58">
        <v>20100</v>
      </c>
      <c r="D2128" s="376">
        <v>1</v>
      </c>
      <c r="E2128" s="376" t="s">
        <v>282</v>
      </c>
      <c r="F2128" s="373">
        <v>1450</v>
      </c>
      <c r="G2128" s="373">
        <v>1200</v>
      </c>
      <c r="H2128" s="373" t="s">
        <v>44</v>
      </c>
      <c r="I2128" s="376">
        <v>150</v>
      </c>
      <c r="J2128" s="376" t="s">
        <v>45</v>
      </c>
      <c r="K2128" s="376">
        <v>50</v>
      </c>
      <c r="L2128" s="373">
        <v>-5.5</v>
      </c>
      <c r="M2128" s="379" t="s">
        <v>14</v>
      </c>
      <c r="N2128" s="402" t="s">
        <v>391</v>
      </c>
      <c r="O2128" s="373" t="s">
        <v>27</v>
      </c>
      <c r="P2128" s="271"/>
      <c r="Q2128" s="373" t="s">
        <v>243</v>
      </c>
    </row>
    <row r="2129" spans="1:20" ht="15" customHeight="1" x14ac:dyDescent="0.3">
      <c r="A2129" s="377"/>
      <c r="B2129" s="377"/>
      <c r="C2129" s="59">
        <v>6280</v>
      </c>
      <c r="D2129" s="377"/>
      <c r="E2129" s="377"/>
      <c r="F2129" s="374"/>
      <c r="G2129" s="374"/>
      <c r="H2129" s="374"/>
      <c r="I2129" s="377"/>
      <c r="J2129" s="377"/>
      <c r="K2129" s="377"/>
      <c r="L2129" s="374"/>
      <c r="M2129" s="380"/>
      <c r="N2129" s="403"/>
      <c r="O2129" s="374"/>
      <c r="P2129" s="240">
        <v>44090</v>
      </c>
      <c r="Q2129" s="374"/>
      <c r="T2129" s="288">
        <v>1</v>
      </c>
    </row>
    <row r="2130" spans="1:20" ht="15" customHeight="1" thickBot="1" x14ac:dyDescent="0.35">
      <c r="A2130" s="378"/>
      <c r="B2130" s="378"/>
      <c r="C2130" s="57">
        <v>13952</v>
      </c>
      <c r="D2130" s="378"/>
      <c r="E2130" s="378"/>
      <c r="F2130" s="375"/>
      <c r="G2130" s="375"/>
      <c r="H2130" s="375"/>
      <c r="I2130" s="378"/>
      <c r="J2130" s="378"/>
      <c r="K2130" s="378"/>
      <c r="L2130" s="375"/>
      <c r="M2130" s="381"/>
      <c r="N2130" s="404"/>
      <c r="O2130" s="375"/>
      <c r="P2130" s="273"/>
      <c r="Q2130" s="375"/>
    </row>
    <row r="2131" spans="1:20" ht="15" hidden="1" customHeight="1" x14ac:dyDescent="0.3">
      <c r="A2131" s="367">
        <v>568</v>
      </c>
      <c r="B2131" s="367" t="s">
        <v>174</v>
      </c>
      <c r="C2131" s="40">
        <v>15935</v>
      </c>
      <c r="D2131" s="370">
        <v>0</v>
      </c>
      <c r="E2131" s="367" t="s">
        <v>13</v>
      </c>
      <c r="F2131" s="367">
        <v>1450</v>
      </c>
      <c r="G2131" s="367">
        <v>1200</v>
      </c>
      <c r="H2131" s="367" t="s">
        <v>25</v>
      </c>
      <c r="I2131" s="367" t="s">
        <v>13</v>
      </c>
      <c r="J2131" s="367" t="s">
        <v>13</v>
      </c>
      <c r="K2131" s="367" t="s">
        <v>13</v>
      </c>
      <c r="L2131" s="367" t="s">
        <v>13</v>
      </c>
      <c r="M2131" s="358" t="s">
        <v>14</v>
      </c>
      <c r="N2131" s="396" t="s">
        <v>391</v>
      </c>
      <c r="O2131" s="367" t="s">
        <v>27</v>
      </c>
      <c r="P2131" s="65"/>
      <c r="Q2131" s="367" t="s">
        <v>176</v>
      </c>
      <c r="T2131" s="200">
        <v>1</v>
      </c>
    </row>
    <row r="2132" spans="1:20" ht="15" customHeight="1" x14ac:dyDescent="0.3">
      <c r="A2132" s="368"/>
      <c r="B2132" s="368"/>
      <c r="C2132" s="41">
        <v>11762</v>
      </c>
      <c r="D2132" s="371"/>
      <c r="E2132" s="368"/>
      <c r="F2132" s="368"/>
      <c r="G2132" s="368"/>
      <c r="H2132" s="368"/>
      <c r="I2132" s="368"/>
      <c r="J2132" s="368"/>
      <c r="K2132" s="368"/>
      <c r="L2132" s="368"/>
      <c r="M2132" s="359"/>
      <c r="N2132" s="397"/>
      <c r="O2132" s="368"/>
      <c r="P2132" s="226">
        <v>44066</v>
      </c>
      <c r="Q2132" s="368"/>
    </row>
    <row r="2133" spans="1:20" ht="15" customHeight="1" thickBot="1" x14ac:dyDescent="0.35">
      <c r="A2133" s="369"/>
      <c r="B2133" s="369"/>
      <c r="C2133" s="42">
        <v>13952</v>
      </c>
      <c r="D2133" s="372"/>
      <c r="E2133" s="369"/>
      <c r="F2133" s="369"/>
      <c r="G2133" s="369"/>
      <c r="H2133" s="369"/>
      <c r="I2133" s="369"/>
      <c r="J2133" s="369"/>
      <c r="K2133" s="369"/>
      <c r="L2133" s="369"/>
      <c r="M2133" s="360"/>
      <c r="N2133" s="398"/>
      <c r="O2133" s="369"/>
      <c r="P2133" s="67"/>
      <c r="Q2133" s="369"/>
    </row>
    <row r="2134" spans="1:20" ht="15" hidden="1" customHeight="1" x14ac:dyDescent="0.3">
      <c r="A2134" s="367">
        <v>569</v>
      </c>
      <c r="B2134" s="367" t="s">
        <v>174</v>
      </c>
      <c r="C2134" s="40">
        <v>10851</v>
      </c>
      <c r="D2134" s="370">
        <v>0</v>
      </c>
      <c r="E2134" s="367" t="s">
        <v>13</v>
      </c>
      <c r="F2134" s="367">
        <v>1450</v>
      </c>
      <c r="G2134" s="367">
        <v>1200</v>
      </c>
      <c r="H2134" s="367" t="s">
        <v>50</v>
      </c>
      <c r="I2134" s="367" t="s">
        <v>13</v>
      </c>
      <c r="J2134" s="367" t="s">
        <v>13</v>
      </c>
      <c r="K2134" s="367" t="s">
        <v>13</v>
      </c>
      <c r="L2134" s="367" t="s">
        <v>13</v>
      </c>
      <c r="M2134" s="358" t="s">
        <v>14</v>
      </c>
      <c r="N2134" s="396" t="s">
        <v>391</v>
      </c>
      <c r="O2134" s="367" t="s">
        <v>27</v>
      </c>
      <c r="P2134" s="65"/>
      <c r="Q2134" s="367" t="s">
        <v>176</v>
      </c>
      <c r="T2134" s="200">
        <v>1</v>
      </c>
    </row>
    <row r="2135" spans="1:20" ht="15" customHeight="1" x14ac:dyDescent="0.3">
      <c r="A2135" s="368"/>
      <c r="B2135" s="368"/>
      <c r="C2135" s="41">
        <v>7952</v>
      </c>
      <c r="D2135" s="371"/>
      <c r="E2135" s="368"/>
      <c r="F2135" s="368"/>
      <c r="G2135" s="368"/>
      <c r="H2135" s="368"/>
      <c r="I2135" s="368"/>
      <c r="J2135" s="368"/>
      <c r="K2135" s="368"/>
      <c r="L2135" s="368"/>
      <c r="M2135" s="359"/>
      <c r="N2135" s="397"/>
      <c r="O2135" s="368"/>
      <c r="P2135" s="226">
        <v>44066</v>
      </c>
      <c r="Q2135" s="368"/>
    </row>
    <row r="2136" spans="1:20" ht="15" customHeight="1" thickBot="1" x14ac:dyDescent="0.35">
      <c r="A2136" s="369"/>
      <c r="B2136" s="369"/>
      <c r="C2136" s="42">
        <v>13952</v>
      </c>
      <c r="D2136" s="372"/>
      <c r="E2136" s="369"/>
      <c r="F2136" s="369"/>
      <c r="G2136" s="369"/>
      <c r="H2136" s="369"/>
      <c r="I2136" s="369"/>
      <c r="J2136" s="369"/>
      <c r="K2136" s="369"/>
      <c r="L2136" s="369"/>
      <c r="M2136" s="360"/>
      <c r="N2136" s="398"/>
      <c r="O2136" s="369"/>
      <c r="P2136" s="67"/>
      <c r="Q2136" s="369"/>
    </row>
    <row r="2137" spans="1:20" ht="15" hidden="1" customHeight="1" x14ac:dyDescent="0.3">
      <c r="A2137" s="367">
        <v>570</v>
      </c>
      <c r="B2137" s="367" t="s">
        <v>174</v>
      </c>
      <c r="C2137" s="40">
        <v>10708</v>
      </c>
      <c r="D2137" s="370">
        <v>0</v>
      </c>
      <c r="E2137" s="367" t="s">
        <v>13</v>
      </c>
      <c r="F2137" s="367">
        <v>1450</v>
      </c>
      <c r="G2137" s="367">
        <v>1200</v>
      </c>
      <c r="H2137" s="367" t="s">
        <v>50</v>
      </c>
      <c r="I2137" s="367" t="s">
        <v>13</v>
      </c>
      <c r="J2137" s="367" t="s">
        <v>13</v>
      </c>
      <c r="K2137" s="367" t="s">
        <v>13</v>
      </c>
      <c r="L2137" s="367" t="s">
        <v>13</v>
      </c>
      <c r="M2137" s="358" t="s">
        <v>14</v>
      </c>
      <c r="N2137" s="396" t="s">
        <v>391</v>
      </c>
      <c r="O2137" s="367" t="s">
        <v>27</v>
      </c>
      <c r="P2137" s="228">
        <v>44066</v>
      </c>
      <c r="Q2137" s="367" t="s">
        <v>176</v>
      </c>
    </row>
    <row r="2138" spans="1:20" ht="15" customHeight="1" x14ac:dyDescent="0.3">
      <c r="A2138" s="368"/>
      <c r="B2138" s="368"/>
      <c r="C2138" s="41">
        <v>8157</v>
      </c>
      <c r="D2138" s="371"/>
      <c r="E2138" s="368"/>
      <c r="F2138" s="368"/>
      <c r="G2138" s="368"/>
      <c r="H2138" s="368"/>
      <c r="I2138" s="368"/>
      <c r="J2138" s="368"/>
      <c r="K2138" s="368"/>
      <c r="L2138" s="368"/>
      <c r="M2138" s="359"/>
      <c r="N2138" s="397"/>
      <c r="O2138" s="368"/>
      <c r="P2138" s="66"/>
      <c r="Q2138" s="368"/>
      <c r="T2138" s="200">
        <v>1</v>
      </c>
    </row>
    <row r="2139" spans="1:20" ht="15" customHeight="1" thickBot="1" x14ac:dyDescent="0.35">
      <c r="A2139" s="369"/>
      <c r="B2139" s="369"/>
      <c r="C2139" s="42">
        <v>13952</v>
      </c>
      <c r="D2139" s="372"/>
      <c r="E2139" s="369"/>
      <c r="F2139" s="369"/>
      <c r="G2139" s="369"/>
      <c r="H2139" s="369"/>
      <c r="I2139" s="369"/>
      <c r="J2139" s="369"/>
      <c r="K2139" s="369"/>
      <c r="L2139" s="369"/>
      <c r="M2139" s="360"/>
      <c r="N2139" s="398"/>
      <c r="O2139" s="369"/>
      <c r="P2139" s="67"/>
      <c r="Q2139" s="369"/>
    </row>
    <row r="2140" spans="1:20" ht="15" hidden="1" customHeight="1" x14ac:dyDescent="0.3">
      <c r="A2140" s="367">
        <v>571</v>
      </c>
      <c r="B2140" s="396" t="s">
        <v>270</v>
      </c>
      <c r="C2140" s="91">
        <v>15998</v>
      </c>
      <c r="D2140" s="396">
        <v>1</v>
      </c>
      <c r="E2140" s="396" t="s">
        <v>271</v>
      </c>
      <c r="F2140" s="396">
        <v>1450</v>
      </c>
      <c r="G2140" s="396">
        <v>1200</v>
      </c>
      <c r="H2140" s="396" t="s">
        <v>50</v>
      </c>
      <c r="I2140" s="396">
        <v>30</v>
      </c>
      <c r="J2140" s="399">
        <f>-0.72/0.25</f>
        <v>-2.88</v>
      </c>
      <c r="K2140" s="396">
        <v>0</v>
      </c>
      <c r="L2140" s="396">
        <v>30</v>
      </c>
      <c r="M2140" s="396" t="s">
        <v>14</v>
      </c>
      <c r="N2140" s="396" t="s">
        <v>386</v>
      </c>
      <c r="O2140" s="396" t="s">
        <v>27</v>
      </c>
      <c r="P2140" s="86"/>
      <c r="Q2140" s="396" t="s">
        <v>240</v>
      </c>
      <c r="T2140" s="200">
        <v>1</v>
      </c>
    </row>
    <row r="2141" spans="1:20" ht="15" customHeight="1" x14ac:dyDescent="0.3">
      <c r="A2141" s="368"/>
      <c r="B2141" s="397"/>
      <c r="C2141" s="92">
        <v>12239</v>
      </c>
      <c r="D2141" s="397"/>
      <c r="E2141" s="397"/>
      <c r="F2141" s="397"/>
      <c r="G2141" s="397"/>
      <c r="H2141" s="397"/>
      <c r="I2141" s="397"/>
      <c r="J2141" s="400"/>
      <c r="K2141" s="397"/>
      <c r="L2141" s="397"/>
      <c r="M2141" s="397"/>
      <c r="N2141" s="397"/>
      <c r="O2141" s="397"/>
      <c r="P2141" s="87"/>
      <c r="Q2141" s="397"/>
    </row>
    <row r="2142" spans="1:20" ht="15" customHeight="1" thickBot="1" x14ac:dyDescent="0.35">
      <c r="A2142" s="369"/>
      <c r="B2142" s="398"/>
      <c r="C2142" s="93">
        <v>13952</v>
      </c>
      <c r="D2142" s="398"/>
      <c r="E2142" s="398"/>
      <c r="F2142" s="398"/>
      <c r="G2142" s="398"/>
      <c r="H2142" s="398"/>
      <c r="I2142" s="398"/>
      <c r="J2142" s="401"/>
      <c r="K2142" s="398"/>
      <c r="L2142" s="398"/>
      <c r="M2142" s="398"/>
      <c r="N2142" s="398"/>
      <c r="O2142" s="398"/>
      <c r="P2142" s="233">
        <v>44066</v>
      </c>
      <c r="Q2142" s="398"/>
    </row>
    <row r="2143" spans="1:20" ht="15" hidden="1" customHeight="1" x14ac:dyDescent="0.3">
      <c r="A2143" s="367">
        <v>572</v>
      </c>
      <c r="B2143" s="396" t="s">
        <v>174</v>
      </c>
      <c r="C2143" s="91">
        <v>15866</v>
      </c>
      <c r="D2143" s="399">
        <v>0</v>
      </c>
      <c r="E2143" s="396" t="s">
        <v>13</v>
      </c>
      <c r="F2143" s="396">
        <v>1450</v>
      </c>
      <c r="G2143" s="396">
        <v>1200</v>
      </c>
      <c r="H2143" s="396" t="s">
        <v>50</v>
      </c>
      <c r="I2143" s="396" t="s">
        <v>13</v>
      </c>
      <c r="J2143" s="396" t="s">
        <v>13</v>
      </c>
      <c r="K2143" s="396" t="s">
        <v>13</v>
      </c>
      <c r="L2143" s="396" t="s">
        <v>13</v>
      </c>
      <c r="M2143" s="396" t="s">
        <v>14</v>
      </c>
      <c r="N2143" s="396" t="s">
        <v>386</v>
      </c>
      <c r="O2143" s="396" t="s">
        <v>27</v>
      </c>
      <c r="P2143" s="86"/>
      <c r="Q2143" s="396" t="s">
        <v>176</v>
      </c>
      <c r="T2143" s="200">
        <v>1</v>
      </c>
    </row>
    <row r="2144" spans="1:20" ht="15" customHeight="1" x14ac:dyDescent="0.3">
      <c r="A2144" s="368"/>
      <c r="B2144" s="397"/>
      <c r="C2144" s="92">
        <v>12428</v>
      </c>
      <c r="D2144" s="400"/>
      <c r="E2144" s="397"/>
      <c r="F2144" s="397"/>
      <c r="G2144" s="397"/>
      <c r="H2144" s="397"/>
      <c r="I2144" s="397"/>
      <c r="J2144" s="397"/>
      <c r="K2144" s="397"/>
      <c r="L2144" s="397"/>
      <c r="M2144" s="397"/>
      <c r="N2144" s="397"/>
      <c r="O2144" s="397"/>
      <c r="P2144" s="230">
        <v>44066</v>
      </c>
      <c r="Q2144" s="397"/>
    </row>
    <row r="2145" spans="1:20" ht="15" customHeight="1" thickBot="1" x14ac:dyDescent="0.35">
      <c r="A2145" s="369"/>
      <c r="B2145" s="398"/>
      <c r="C2145" s="93">
        <v>13952</v>
      </c>
      <c r="D2145" s="401"/>
      <c r="E2145" s="398"/>
      <c r="F2145" s="398"/>
      <c r="G2145" s="398"/>
      <c r="H2145" s="398"/>
      <c r="I2145" s="398"/>
      <c r="J2145" s="398"/>
      <c r="K2145" s="398"/>
      <c r="L2145" s="398"/>
      <c r="M2145" s="398"/>
      <c r="N2145" s="398"/>
      <c r="O2145" s="398"/>
      <c r="P2145" s="88"/>
      <c r="Q2145" s="398"/>
    </row>
    <row r="2146" spans="1:20" ht="15" hidden="1" customHeight="1" x14ac:dyDescent="0.3">
      <c r="A2146" s="367">
        <v>573</v>
      </c>
      <c r="B2146" s="396" t="s">
        <v>274</v>
      </c>
      <c r="C2146" s="91">
        <v>4790</v>
      </c>
      <c r="D2146" s="396">
        <v>1</v>
      </c>
      <c r="E2146" s="396" t="s">
        <v>168</v>
      </c>
      <c r="F2146" s="396">
        <v>1450</v>
      </c>
      <c r="G2146" s="396">
        <v>1200</v>
      </c>
      <c r="H2146" s="396" t="s">
        <v>25</v>
      </c>
      <c r="I2146" s="396">
        <v>40</v>
      </c>
      <c r="J2146" s="399">
        <f>-0.1/0.28</f>
        <v>-0.35714285714285715</v>
      </c>
      <c r="K2146" s="396">
        <v>0</v>
      </c>
      <c r="L2146" s="396">
        <v>66.5</v>
      </c>
      <c r="M2146" s="396" t="s">
        <v>14</v>
      </c>
      <c r="N2146" s="396" t="s">
        <v>383</v>
      </c>
      <c r="O2146" s="396" t="s">
        <v>27</v>
      </c>
      <c r="P2146" s="86"/>
      <c r="Q2146" s="396" t="s">
        <v>397</v>
      </c>
      <c r="T2146" s="200">
        <v>1</v>
      </c>
    </row>
    <row r="2147" spans="1:20" ht="15" customHeight="1" x14ac:dyDescent="0.3">
      <c r="A2147" s="368"/>
      <c r="B2147" s="397"/>
      <c r="C2147" s="92">
        <v>17393</v>
      </c>
      <c r="D2147" s="397"/>
      <c r="E2147" s="397"/>
      <c r="F2147" s="397"/>
      <c r="G2147" s="397"/>
      <c r="H2147" s="397"/>
      <c r="I2147" s="397"/>
      <c r="J2147" s="400"/>
      <c r="K2147" s="397"/>
      <c r="L2147" s="397"/>
      <c r="M2147" s="397"/>
      <c r="N2147" s="397"/>
      <c r="O2147" s="397"/>
      <c r="P2147" s="230">
        <v>44066</v>
      </c>
      <c r="Q2147" s="397"/>
    </row>
    <row r="2148" spans="1:20" ht="15" customHeight="1" thickBot="1" x14ac:dyDescent="0.35">
      <c r="A2148" s="369"/>
      <c r="B2148" s="398"/>
      <c r="C2148" s="93">
        <v>13952</v>
      </c>
      <c r="D2148" s="398"/>
      <c r="E2148" s="398"/>
      <c r="F2148" s="398"/>
      <c r="G2148" s="398"/>
      <c r="H2148" s="398"/>
      <c r="I2148" s="398"/>
      <c r="J2148" s="401"/>
      <c r="K2148" s="398"/>
      <c r="L2148" s="398"/>
      <c r="M2148" s="398"/>
      <c r="N2148" s="398"/>
      <c r="O2148" s="398"/>
      <c r="P2148" s="88"/>
      <c r="Q2148" s="398"/>
    </row>
    <row r="2149" spans="1:20" ht="15" hidden="1" customHeight="1" x14ac:dyDescent="0.3">
      <c r="A2149" s="367">
        <v>574</v>
      </c>
      <c r="B2149" s="396" t="s">
        <v>174</v>
      </c>
      <c r="C2149" s="91">
        <v>4462</v>
      </c>
      <c r="D2149" s="399">
        <v>0</v>
      </c>
      <c r="E2149" s="396" t="s">
        <v>13</v>
      </c>
      <c r="F2149" s="396">
        <v>1450</v>
      </c>
      <c r="G2149" s="396">
        <v>1200</v>
      </c>
      <c r="H2149" s="396" t="s">
        <v>25</v>
      </c>
      <c r="I2149" s="396" t="s">
        <v>13</v>
      </c>
      <c r="J2149" s="396" t="s">
        <v>13</v>
      </c>
      <c r="K2149" s="396" t="s">
        <v>13</v>
      </c>
      <c r="L2149" s="396" t="s">
        <v>13</v>
      </c>
      <c r="M2149" s="396" t="s">
        <v>14</v>
      </c>
      <c r="N2149" s="396" t="s">
        <v>383</v>
      </c>
      <c r="O2149" s="396" t="s">
        <v>27</v>
      </c>
      <c r="P2149" s="231">
        <v>44066</v>
      </c>
      <c r="Q2149" s="396" t="s">
        <v>176</v>
      </c>
      <c r="T2149" s="200">
        <v>1</v>
      </c>
    </row>
    <row r="2150" spans="1:20" ht="15" customHeight="1" x14ac:dyDescent="0.3">
      <c r="A2150" s="368"/>
      <c r="B2150" s="397"/>
      <c r="C2150" s="92">
        <v>17164</v>
      </c>
      <c r="D2150" s="400"/>
      <c r="E2150" s="397"/>
      <c r="F2150" s="397"/>
      <c r="G2150" s="397"/>
      <c r="H2150" s="397"/>
      <c r="I2150" s="397"/>
      <c r="J2150" s="397"/>
      <c r="K2150" s="397"/>
      <c r="L2150" s="397"/>
      <c r="M2150" s="397"/>
      <c r="N2150" s="397"/>
      <c r="O2150" s="397"/>
      <c r="P2150" s="87"/>
      <c r="Q2150" s="397"/>
    </row>
    <row r="2151" spans="1:20" ht="15" customHeight="1" thickBot="1" x14ac:dyDescent="0.35">
      <c r="A2151" s="369"/>
      <c r="B2151" s="398"/>
      <c r="C2151" s="93">
        <v>13952</v>
      </c>
      <c r="D2151" s="401"/>
      <c r="E2151" s="398"/>
      <c r="F2151" s="398"/>
      <c r="G2151" s="398"/>
      <c r="H2151" s="398"/>
      <c r="I2151" s="398"/>
      <c r="J2151" s="398"/>
      <c r="K2151" s="398"/>
      <c r="L2151" s="398"/>
      <c r="M2151" s="398"/>
      <c r="N2151" s="398"/>
      <c r="O2151" s="398"/>
      <c r="P2151" s="88"/>
      <c r="Q2151" s="398"/>
    </row>
    <row r="2152" spans="1:20" ht="15" hidden="1" customHeight="1" x14ac:dyDescent="0.3">
      <c r="A2152" s="367">
        <v>575</v>
      </c>
      <c r="B2152" s="396" t="s">
        <v>174</v>
      </c>
      <c r="C2152" s="91">
        <v>4262</v>
      </c>
      <c r="D2152" s="399">
        <v>0</v>
      </c>
      <c r="E2152" s="396" t="s">
        <v>13</v>
      </c>
      <c r="F2152" s="396">
        <v>1450</v>
      </c>
      <c r="G2152" s="396">
        <v>1200</v>
      </c>
      <c r="H2152" s="396" t="s">
        <v>25</v>
      </c>
      <c r="I2152" s="396" t="s">
        <v>13</v>
      </c>
      <c r="J2152" s="396" t="s">
        <v>13</v>
      </c>
      <c r="K2152" s="396" t="s">
        <v>13</v>
      </c>
      <c r="L2152" s="396" t="s">
        <v>13</v>
      </c>
      <c r="M2152" s="396" t="s">
        <v>14</v>
      </c>
      <c r="N2152" s="396" t="s">
        <v>383</v>
      </c>
      <c r="O2152" s="396" t="s">
        <v>27</v>
      </c>
      <c r="P2152" s="86"/>
      <c r="Q2152" s="396" t="s">
        <v>176</v>
      </c>
      <c r="T2152" s="200">
        <v>1</v>
      </c>
    </row>
    <row r="2153" spans="1:20" ht="15" customHeight="1" x14ac:dyDescent="0.3">
      <c r="A2153" s="368"/>
      <c r="B2153" s="397"/>
      <c r="C2153" s="92">
        <v>17450</v>
      </c>
      <c r="D2153" s="400"/>
      <c r="E2153" s="397"/>
      <c r="F2153" s="397"/>
      <c r="G2153" s="397"/>
      <c r="H2153" s="397"/>
      <c r="I2153" s="397"/>
      <c r="J2153" s="397"/>
      <c r="K2153" s="397"/>
      <c r="L2153" s="397"/>
      <c r="M2153" s="397"/>
      <c r="N2153" s="397"/>
      <c r="O2153" s="397"/>
      <c r="P2153" s="230">
        <v>44066</v>
      </c>
      <c r="Q2153" s="397"/>
    </row>
    <row r="2154" spans="1:20" ht="15" customHeight="1" thickBot="1" x14ac:dyDescent="0.35">
      <c r="A2154" s="369"/>
      <c r="B2154" s="398"/>
      <c r="C2154" s="93">
        <v>13952</v>
      </c>
      <c r="D2154" s="401"/>
      <c r="E2154" s="398"/>
      <c r="F2154" s="398"/>
      <c r="G2154" s="398"/>
      <c r="H2154" s="398"/>
      <c r="I2154" s="398"/>
      <c r="J2154" s="398"/>
      <c r="K2154" s="398"/>
      <c r="L2154" s="398"/>
      <c r="M2154" s="398"/>
      <c r="N2154" s="398"/>
      <c r="O2154" s="398"/>
      <c r="P2154" s="88"/>
      <c r="Q2154" s="398"/>
    </row>
    <row r="2155" spans="1:20" ht="15" hidden="1" customHeight="1" x14ac:dyDescent="0.3">
      <c r="A2155" s="367">
        <v>576</v>
      </c>
      <c r="B2155" s="396" t="s">
        <v>174</v>
      </c>
      <c r="C2155" s="91">
        <v>3511</v>
      </c>
      <c r="D2155" s="399">
        <v>0</v>
      </c>
      <c r="E2155" s="396" t="s">
        <v>13</v>
      </c>
      <c r="F2155" s="396">
        <v>1450</v>
      </c>
      <c r="G2155" s="396">
        <v>1200</v>
      </c>
      <c r="H2155" s="396" t="s">
        <v>25</v>
      </c>
      <c r="I2155" s="396" t="s">
        <v>13</v>
      </c>
      <c r="J2155" s="396" t="s">
        <v>13</v>
      </c>
      <c r="K2155" s="396" t="s">
        <v>13</v>
      </c>
      <c r="L2155" s="396" t="s">
        <v>13</v>
      </c>
      <c r="M2155" s="396" t="s">
        <v>14</v>
      </c>
      <c r="N2155" s="396" t="s">
        <v>383</v>
      </c>
      <c r="O2155" s="396" t="s">
        <v>27</v>
      </c>
      <c r="P2155" s="86"/>
      <c r="Q2155" s="396" t="s">
        <v>176</v>
      </c>
    </row>
    <row r="2156" spans="1:20" ht="15" customHeight="1" x14ac:dyDescent="0.3">
      <c r="A2156" s="368"/>
      <c r="B2156" s="397"/>
      <c r="C2156" s="92">
        <v>18609</v>
      </c>
      <c r="D2156" s="400"/>
      <c r="E2156" s="397"/>
      <c r="F2156" s="397"/>
      <c r="G2156" s="397"/>
      <c r="H2156" s="397"/>
      <c r="I2156" s="397"/>
      <c r="J2156" s="397"/>
      <c r="K2156" s="397"/>
      <c r="L2156" s="397"/>
      <c r="M2156" s="397"/>
      <c r="N2156" s="397"/>
      <c r="O2156" s="397"/>
      <c r="P2156" s="230">
        <v>44066</v>
      </c>
      <c r="Q2156" s="397"/>
      <c r="T2156" s="200">
        <v>1</v>
      </c>
    </row>
    <row r="2157" spans="1:20" ht="15" customHeight="1" thickBot="1" x14ac:dyDescent="0.35">
      <c r="A2157" s="369"/>
      <c r="B2157" s="398"/>
      <c r="C2157" s="93">
        <v>13952</v>
      </c>
      <c r="D2157" s="401"/>
      <c r="E2157" s="398"/>
      <c r="F2157" s="398"/>
      <c r="G2157" s="398"/>
      <c r="H2157" s="398"/>
      <c r="I2157" s="398"/>
      <c r="J2157" s="398"/>
      <c r="K2157" s="398"/>
      <c r="L2157" s="398"/>
      <c r="M2157" s="398"/>
      <c r="N2157" s="398"/>
      <c r="O2157" s="398"/>
      <c r="P2157" s="88"/>
      <c r="Q2157" s="398"/>
    </row>
    <row r="2158" spans="1:20" ht="15" hidden="1" customHeight="1" x14ac:dyDescent="0.3">
      <c r="A2158" s="373">
        <v>577</v>
      </c>
      <c r="B2158" s="408" t="s">
        <v>288</v>
      </c>
      <c r="C2158" s="301">
        <v>7194</v>
      </c>
      <c r="D2158" s="408">
        <v>1</v>
      </c>
      <c r="E2158" s="408" t="s">
        <v>49</v>
      </c>
      <c r="F2158" s="408">
        <v>1450</v>
      </c>
      <c r="G2158" s="408">
        <v>1200</v>
      </c>
      <c r="H2158" s="408" t="s">
        <v>25</v>
      </c>
      <c r="I2158" s="408">
        <v>100</v>
      </c>
      <c r="J2158" s="402" t="s">
        <v>45</v>
      </c>
      <c r="K2158" s="408">
        <v>30</v>
      </c>
      <c r="L2158" s="408">
        <v>15</v>
      </c>
      <c r="M2158" s="408" t="s">
        <v>14</v>
      </c>
      <c r="N2158" s="408" t="s">
        <v>383</v>
      </c>
      <c r="O2158" s="408" t="s">
        <v>27</v>
      </c>
      <c r="P2158" s="297"/>
      <c r="Q2158" s="408" t="s">
        <v>263</v>
      </c>
    </row>
    <row r="2159" spans="1:20" ht="15" customHeight="1" x14ac:dyDescent="0.3">
      <c r="A2159" s="374"/>
      <c r="B2159" s="409"/>
      <c r="C2159" s="302">
        <v>19199</v>
      </c>
      <c r="D2159" s="409"/>
      <c r="E2159" s="409"/>
      <c r="F2159" s="409"/>
      <c r="G2159" s="409"/>
      <c r="H2159" s="409"/>
      <c r="I2159" s="409"/>
      <c r="J2159" s="403"/>
      <c r="K2159" s="409"/>
      <c r="L2159" s="409"/>
      <c r="M2159" s="409"/>
      <c r="N2159" s="409"/>
      <c r="O2159" s="409"/>
      <c r="P2159" s="321">
        <v>44095</v>
      </c>
      <c r="Q2159" s="409"/>
    </row>
    <row r="2160" spans="1:20" ht="15" customHeight="1" thickBot="1" x14ac:dyDescent="0.35">
      <c r="A2160" s="375"/>
      <c r="B2160" s="410"/>
      <c r="C2160" s="303">
        <v>13952</v>
      </c>
      <c r="D2160" s="410"/>
      <c r="E2160" s="410"/>
      <c r="F2160" s="410"/>
      <c r="G2160" s="410"/>
      <c r="H2160" s="410"/>
      <c r="I2160" s="410"/>
      <c r="J2160" s="404"/>
      <c r="K2160" s="410"/>
      <c r="L2160" s="410"/>
      <c r="M2160" s="410"/>
      <c r="N2160" s="410"/>
      <c r="O2160" s="410"/>
      <c r="P2160" s="298"/>
      <c r="Q2160" s="410"/>
      <c r="T2160" s="288">
        <v>1</v>
      </c>
    </row>
    <row r="2161" spans="1:20" ht="15" hidden="1" customHeight="1" x14ac:dyDescent="0.3">
      <c r="A2161" s="367">
        <v>578</v>
      </c>
      <c r="B2161" s="396" t="s">
        <v>174</v>
      </c>
      <c r="C2161" s="91">
        <v>3339</v>
      </c>
      <c r="D2161" s="399">
        <v>0</v>
      </c>
      <c r="E2161" s="396" t="s">
        <v>13</v>
      </c>
      <c r="F2161" s="396">
        <v>1450</v>
      </c>
      <c r="G2161" s="396">
        <v>1200</v>
      </c>
      <c r="H2161" s="396" t="s">
        <v>50</v>
      </c>
      <c r="I2161" s="396" t="s">
        <v>13</v>
      </c>
      <c r="J2161" s="396" t="s">
        <v>13</v>
      </c>
      <c r="K2161" s="396" t="s">
        <v>13</v>
      </c>
      <c r="L2161" s="396" t="s">
        <v>13</v>
      </c>
      <c r="M2161" s="396" t="s">
        <v>14</v>
      </c>
      <c r="N2161" s="396" t="s">
        <v>383</v>
      </c>
      <c r="O2161" s="396" t="s">
        <v>27</v>
      </c>
      <c r="P2161" s="86"/>
      <c r="Q2161" s="396" t="s">
        <v>176</v>
      </c>
    </row>
    <row r="2162" spans="1:20" ht="15" customHeight="1" x14ac:dyDescent="0.3">
      <c r="A2162" s="368"/>
      <c r="B2162" s="397"/>
      <c r="C2162" s="92">
        <v>18855</v>
      </c>
      <c r="D2162" s="400"/>
      <c r="E2162" s="397"/>
      <c r="F2162" s="397"/>
      <c r="G2162" s="397"/>
      <c r="H2162" s="397"/>
      <c r="I2162" s="397"/>
      <c r="J2162" s="397"/>
      <c r="K2162" s="397"/>
      <c r="L2162" s="397"/>
      <c r="M2162" s="397"/>
      <c r="N2162" s="397"/>
      <c r="O2162" s="397"/>
      <c r="P2162" s="230">
        <v>44066</v>
      </c>
      <c r="Q2162" s="397"/>
    </row>
    <row r="2163" spans="1:20" ht="15" customHeight="1" thickBot="1" x14ac:dyDescent="0.35">
      <c r="A2163" s="369"/>
      <c r="B2163" s="398"/>
      <c r="C2163" s="93">
        <v>13952</v>
      </c>
      <c r="D2163" s="401"/>
      <c r="E2163" s="398"/>
      <c r="F2163" s="398"/>
      <c r="G2163" s="398"/>
      <c r="H2163" s="398"/>
      <c r="I2163" s="398"/>
      <c r="J2163" s="398"/>
      <c r="K2163" s="398"/>
      <c r="L2163" s="398"/>
      <c r="M2163" s="398"/>
      <c r="N2163" s="398"/>
      <c r="O2163" s="398"/>
      <c r="P2163" s="88"/>
      <c r="Q2163" s="398"/>
      <c r="T2163" s="200">
        <v>1</v>
      </c>
    </row>
    <row r="2164" spans="1:20" ht="15" hidden="1" customHeight="1" x14ac:dyDescent="0.3">
      <c r="A2164" s="367">
        <v>579</v>
      </c>
      <c r="B2164" s="396" t="s">
        <v>174</v>
      </c>
      <c r="C2164" s="91">
        <v>3196</v>
      </c>
      <c r="D2164" s="399">
        <v>0</v>
      </c>
      <c r="E2164" s="396" t="s">
        <v>13</v>
      </c>
      <c r="F2164" s="396">
        <v>1450</v>
      </c>
      <c r="G2164" s="396">
        <v>1200</v>
      </c>
      <c r="H2164" s="396" t="s">
        <v>50</v>
      </c>
      <c r="I2164" s="396" t="s">
        <v>13</v>
      </c>
      <c r="J2164" s="396" t="s">
        <v>13</v>
      </c>
      <c r="K2164" s="396" t="s">
        <v>13</v>
      </c>
      <c r="L2164" s="396" t="s">
        <v>13</v>
      </c>
      <c r="M2164" s="396" t="s">
        <v>14</v>
      </c>
      <c r="N2164" s="396" t="s">
        <v>383</v>
      </c>
      <c r="O2164" s="396" t="s">
        <v>27</v>
      </c>
      <c r="P2164" s="274"/>
      <c r="Q2164" s="396" t="s">
        <v>176</v>
      </c>
    </row>
    <row r="2165" spans="1:20" ht="15" customHeight="1" x14ac:dyDescent="0.3">
      <c r="A2165" s="368"/>
      <c r="B2165" s="397"/>
      <c r="C2165" s="92">
        <v>19060</v>
      </c>
      <c r="D2165" s="400"/>
      <c r="E2165" s="397"/>
      <c r="F2165" s="397"/>
      <c r="G2165" s="397"/>
      <c r="H2165" s="397"/>
      <c r="I2165" s="397"/>
      <c r="J2165" s="397"/>
      <c r="K2165" s="397"/>
      <c r="L2165" s="397"/>
      <c r="M2165" s="397"/>
      <c r="N2165" s="397"/>
      <c r="O2165" s="397"/>
      <c r="P2165" s="230">
        <v>44090</v>
      </c>
      <c r="Q2165" s="397"/>
    </row>
    <row r="2166" spans="1:20" ht="15" customHeight="1" thickBot="1" x14ac:dyDescent="0.35">
      <c r="A2166" s="369"/>
      <c r="B2166" s="398"/>
      <c r="C2166" s="93">
        <v>13952</v>
      </c>
      <c r="D2166" s="401"/>
      <c r="E2166" s="398"/>
      <c r="F2166" s="398"/>
      <c r="G2166" s="398"/>
      <c r="H2166" s="398"/>
      <c r="I2166" s="398"/>
      <c r="J2166" s="398"/>
      <c r="K2166" s="398"/>
      <c r="L2166" s="398"/>
      <c r="M2166" s="398"/>
      <c r="N2166" s="398"/>
      <c r="O2166" s="398"/>
      <c r="P2166" s="275"/>
      <c r="Q2166" s="398"/>
      <c r="T2166" s="200">
        <v>1</v>
      </c>
    </row>
    <row r="2167" spans="1:20" ht="30.75" hidden="1" customHeight="1" x14ac:dyDescent="0.3">
      <c r="A2167" s="373">
        <v>580</v>
      </c>
      <c r="B2167" s="408" t="s">
        <v>370</v>
      </c>
      <c r="C2167" s="301">
        <v>4258</v>
      </c>
      <c r="D2167" s="408">
        <v>1</v>
      </c>
      <c r="E2167" s="408" t="s">
        <v>204</v>
      </c>
      <c r="F2167" s="408">
        <v>1450</v>
      </c>
      <c r="G2167" s="408">
        <v>1200</v>
      </c>
      <c r="H2167" s="408" t="s">
        <v>55</v>
      </c>
      <c r="I2167" s="408">
        <v>90</v>
      </c>
      <c r="J2167" s="402" t="s">
        <v>45</v>
      </c>
      <c r="K2167" s="408">
        <v>30</v>
      </c>
      <c r="L2167" s="408">
        <v>71</v>
      </c>
      <c r="M2167" s="408" t="s">
        <v>14</v>
      </c>
      <c r="N2167" s="408" t="s">
        <v>383</v>
      </c>
      <c r="O2167" s="408" t="s">
        <v>27</v>
      </c>
      <c r="P2167" s="276"/>
      <c r="Q2167" s="402" t="s">
        <v>398</v>
      </c>
      <c r="T2167" s="288">
        <v>1</v>
      </c>
    </row>
    <row r="2168" spans="1:20" ht="15" customHeight="1" x14ac:dyDescent="0.3">
      <c r="A2168" s="374"/>
      <c r="B2168" s="409"/>
      <c r="C2168" s="302">
        <v>19914</v>
      </c>
      <c r="D2168" s="409"/>
      <c r="E2168" s="409"/>
      <c r="F2168" s="409"/>
      <c r="G2168" s="409"/>
      <c r="H2168" s="409"/>
      <c r="I2168" s="409"/>
      <c r="J2168" s="403"/>
      <c r="K2168" s="409"/>
      <c r="L2168" s="409"/>
      <c r="M2168" s="409"/>
      <c r="N2168" s="409"/>
      <c r="O2168" s="409"/>
      <c r="P2168" s="277"/>
      <c r="Q2168" s="403"/>
    </row>
    <row r="2169" spans="1:20" ht="15" customHeight="1" thickBot="1" x14ac:dyDescent="0.35">
      <c r="A2169" s="375"/>
      <c r="B2169" s="410"/>
      <c r="C2169" s="303">
        <v>13952</v>
      </c>
      <c r="D2169" s="410"/>
      <c r="E2169" s="410"/>
      <c r="F2169" s="410"/>
      <c r="G2169" s="410"/>
      <c r="H2169" s="410"/>
      <c r="I2169" s="410"/>
      <c r="J2169" s="404"/>
      <c r="K2169" s="410"/>
      <c r="L2169" s="410"/>
      <c r="M2169" s="410"/>
      <c r="N2169" s="410"/>
      <c r="O2169" s="410"/>
      <c r="P2169" s="278"/>
      <c r="Q2169" s="404"/>
    </row>
    <row r="2170" spans="1:20" ht="30" hidden="1" customHeight="1" x14ac:dyDescent="0.3">
      <c r="A2170" s="376">
        <v>581</v>
      </c>
      <c r="B2170" s="376" t="s">
        <v>179</v>
      </c>
      <c r="C2170" s="58">
        <v>4709</v>
      </c>
      <c r="D2170" s="376">
        <v>2</v>
      </c>
      <c r="E2170" s="376" t="s">
        <v>66</v>
      </c>
      <c r="F2170" s="373">
        <v>1450</v>
      </c>
      <c r="G2170" s="373">
        <v>1200</v>
      </c>
      <c r="H2170" s="376" t="s">
        <v>55</v>
      </c>
      <c r="I2170" s="376">
        <v>60</v>
      </c>
      <c r="J2170" s="376" t="s">
        <v>399</v>
      </c>
      <c r="K2170" s="373" t="s">
        <v>193</v>
      </c>
      <c r="L2170" s="373" t="s">
        <v>13</v>
      </c>
      <c r="M2170" s="379" t="s">
        <v>14</v>
      </c>
      <c r="N2170" s="402" t="s">
        <v>383</v>
      </c>
      <c r="O2170" s="373" t="s">
        <v>27</v>
      </c>
      <c r="P2170" s="295"/>
      <c r="Q2170" s="376" t="s">
        <v>400</v>
      </c>
      <c r="T2170" s="288">
        <v>1</v>
      </c>
    </row>
    <row r="2171" spans="1:20" ht="30" customHeight="1" thickBot="1" x14ac:dyDescent="0.35">
      <c r="A2171" s="377"/>
      <c r="B2171" s="378"/>
      <c r="C2171" s="59">
        <v>19837</v>
      </c>
      <c r="D2171" s="377"/>
      <c r="E2171" s="378"/>
      <c r="F2171" s="374"/>
      <c r="G2171" s="374"/>
      <c r="H2171" s="377"/>
      <c r="I2171" s="378"/>
      <c r="J2171" s="378"/>
      <c r="K2171" s="374"/>
      <c r="L2171" s="374"/>
      <c r="M2171" s="380"/>
      <c r="N2171" s="403"/>
      <c r="O2171" s="374"/>
      <c r="P2171" s="240">
        <v>44095</v>
      </c>
      <c r="Q2171" s="377"/>
    </row>
    <row r="2172" spans="1:20" ht="30" customHeight="1" thickBot="1" x14ac:dyDescent="0.35">
      <c r="A2172" s="378"/>
      <c r="B2172" s="57" t="s">
        <v>179</v>
      </c>
      <c r="C2172" s="57">
        <v>13952</v>
      </c>
      <c r="D2172" s="378"/>
      <c r="E2172" s="57" t="s">
        <v>161</v>
      </c>
      <c r="F2172" s="375"/>
      <c r="G2172" s="375"/>
      <c r="H2172" s="378"/>
      <c r="I2172" s="57">
        <v>60</v>
      </c>
      <c r="J2172" s="57">
        <f>-0.49/0.1</f>
        <v>-4.8999999999999995</v>
      </c>
      <c r="K2172" s="375"/>
      <c r="L2172" s="375"/>
      <c r="M2172" s="381"/>
      <c r="N2172" s="404"/>
      <c r="O2172" s="375"/>
      <c r="P2172" s="296"/>
      <c r="Q2172" s="378"/>
    </row>
    <row r="2173" spans="1:20" ht="30" hidden="1" customHeight="1" thickBot="1" x14ac:dyDescent="0.35">
      <c r="A2173" s="399">
        <v>582</v>
      </c>
      <c r="B2173" s="96" t="s">
        <v>274</v>
      </c>
      <c r="C2173" s="94">
        <v>280</v>
      </c>
      <c r="D2173" s="399">
        <v>5</v>
      </c>
      <c r="E2173" s="96" t="s">
        <v>168</v>
      </c>
      <c r="F2173" s="396">
        <v>1450</v>
      </c>
      <c r="G2173" s="396">
        <v>1200</v>
      </c>
      <c r="H2173" s="399" t="s">
        <v>50</v>
      </c>
      <c r="I2173" s="96">
        <v>40</v>
      </c>
      <c r="J2173" s="96" t="s">
        <v>401</v>
      </c>
      <c r="K2173" s="399" t="s">
        <v>193</v>
      </c>
      <c r="L2173" s="396" t="s">
        <v>13</v>
      </c>
      <c r="M2173" s="396" t="s">
        <v>14</v>
      </c>
      <c r="N2173" s="399" t="s">
        <v>402</v>
      </c>
      <c r="O2173" s="396" t="s">
        <v>27</v>
      </c>
      <c r="P2173" s="212"/>
      <c r="Q2173" s="399" t="s">
        <v>219</v>
      </c>
      <c r="R2173" s="186">
        <v>44066</v>
      </c>
      <c r="T2173" s="200">
        <v>1</v>
      </c>
    </row>
    <row r="2174" spans="1:20" ht="30" customHeight="1" thickBot="1" x14ac:dyDescent="0.35">
      <c r="A2174" s="400"/>
      <c r="B2174" s="96" t="s">
        <v>274</v>
      </c>
      <c r="C2174" s="94">
        <v>20420</v>
      </c>
      <c r="D2174" s="400"/>
      <c r="E2174" s="96" t="s">
        <v>168</v>
      </c>
      <c r="F2174" s="397"/>
      <c r="G2174" s="397"/>
      <c r="H2174" s="400"/>
      <c r="I2174" s="96">
        <v>40</v>
      </c>
      <c r="J2174" s="96" t="s">
        <v>403</v>
      </c>
      <c r="K2174" s="400"/>
      <c r="L2174" s="397"/>
      <c r="M2174" s="397"/>
      <c r="N2174" s="400"/>
      <c r="O2174" s="397"/>
      <c r="P2174" s="213"/>
      <c r="Q2174" s="400"/>
    </row>
    <row r="2175" spans="1:20" ht="30" customHeight="1" thickBot="1" x14ac:dyDescent="0.35">
      <c r="A2175" s="400"/>
      <c r="B2175" s="96" t="s">
        <v>327</v>
      </c>
      <c r="C2175" s="94">
        <v>13952</v>
      </c>
      <c r="D2175" s="400"/>
      <c r="E2175" s="96" t="s">
        <v>168</v>
      </c>
      <c r="F2175" s="397"/>
      <c r="G2175" s="397"/>
      <c r="H2175" s="400"/>
      <c r="I2175" s="96">
        <v>50</v>
      </c>
      <c r="J2175" s="96" t="s">
        <v>404</v>
      </c>
      <c r="K2175" s="400"/>
      <c r="L2175" s="397"/>
      <c r="M2175" s="397"/>
      <c r="N2175" s="400"/>
      <c r="O2175" s="397"/>
      <c r="P2175" s="230">
        <v>44066</v>
      </c>
      <c r="Q2175" s="400"/>
    </row>
    <row r="2176" spans="1:20" ht="30" customHeight="1" thickBot="1" x14ac:dyDescent="0.35">
      <c r="A2176" s="400"/>
      <c r="B2176" s="96" t="s">
        <v>327</v>
      </c>
      <c r="C2176" s="216"/>
      <c r="D2176" s="400"/>
      <c r="E2176" s="96" t="s">
        <v>168</v>
      </c>
      <c r="F2176" s="397"/>
      <c r="G2176" s="397"/>
      <c r="H2176" s="400"/>
      <c r="I2176" s="96">
        <v>50</v>
      </c>
      <c r="J2176" s="96" t="s">
        <v>404</v>
      </c>
      <c r="K2176" s="400"/>
      <c r="L2176" s="397"/>
      <c r="M2176" s="397"/>
      <c r="N2176" s="400"/>
      <c r="O2176" s="397"/>
      <c r="P2176" s="213"/>
      <c r="Q2176" s="400"/>
    </row>
    <row r="2177" spans="1:20" ht="30" customHeight="1" thickBot="1" x14ac:dyDescent="0.35">
      <c r="A2177" s="401"/>
      <c r="B2177" s="96" t="s">
        <v>327</v>
      </c>
      <c r="C2177" s="217"/>
      <c r="D2177" s="401"/>
      <c r="E2177" s="96" t="s">
        <v>168</v>
      </c>
      <c r="F2177" s="398"/>
      <c r="G2177" s="398"/>
      <c r="H2177" s="401"/>
      <c r="I2177" s="96">
        <v>50</v>
      </c>
      <c r="J2177" s="96" t="s">
        <v>404</v>
      </c>
      <c r="K2177" s="401"/>
      <c r="L2177" s="398"/>
      <c r="M2177" s="398"/>
      <c r="N2177" s="401"/>
      <c r="O2177" s="398"/>
      <c r="P2177" s="214"/>
      <c r="Q2177" s="401"/>
    </row>
    <row r="2178" spans="1:20" ht="30" hidden="1" customHeight="1" thickBot="1" x14ac:dyDescent="0.35">
      <c r="A2178" s="399">
        <v>583</v>
      </c>
      <c r="B2178" s="96" t="s">
        <v>274</v>
      </c>
      <c r="C2178" s="94">
        <v>5</v>
      </c>
      <c r="D2178" s="399">
        <v>3</v>
      </c>
      <c r="E2178" s="96" t="s">
        <v>168</v>
      </c>
      <c r="F2178" s="396">
        <v>1450</v>
      </c>
      <c r="G2178" s="396">
        <v>1200</v>
      </c>
      <c r="H2178" s="96" t="s">
        <v>50</v>
      </c>
      <c r="I2178" s="96">
        <v>350</v>
      </c>
      <c r="J2178" s="96" t="s">
        <v>45</v>
      </c>
      <c r="K2178" s="399" t="s">
        <v>275</v>
      </c>
      <c r="L2178" s="396" t="s">
        <v>13</v>
      </c>
      <c r="M2178" s="396" t="s">
        <v>14</v>
      </c>
      <c r="N2178" s="399" t="s">
        <v>402</v>
      </c>
      <c r="O2178" s="396" t="s">
        <v>27</v>
      </c>
      <c r="P2178" s="324"/>
      <c r="Q2178" s="399" t="s">
        <v>243</v>
      </c>
      <c r="T2178" s="200">
        <v>1</v>
      </c>
    </row>
    <row r="2179" spans="1:20" ht="30" customHeight="1" thickBot="1" x14ac:dyDescent="0.35">
      <c r="A2179" s="400"/>
      <c r="B2179" s="96" t="s">
        <v>327</v>
      </c>
      <c r="C2179" s="95">
        <v>20420</v>
      </c>
      <c r="D2179" s="400"/>
      <c r="E2179" s="96" t="s">
        <v>168</v>
      </c>
      <c r="F2179" s="397"/>
      <c r="G2179" s="397"/>
      <c r="H2179" s="96"/>
      <c r="I2179" s="96">
        <v>50</v>
      </c>
      <c r="J2179" s="96" t="s">
        <v>405</v>
      </c>
      <c r="K2179" s="400"/>
      <c r="L2179" s="397"/>
      <c r="M2179" s="397"/>
      <c r="N2179" s="400"/>
      <c r="O2179" s="397"/>
      <c r="P2179" s="230">
        <v>44097</v>
      </c>
      <c r="Q2179" s="400"/>
    </row>
    <row r="2180" spans="1:20" ht="30" customHeight="1" thickBot="1" x14ac:dyDescent="0.35">
      <c r="A2180" s="401"/>
      <c r="B2180" s="96" t="s">
        <v>327</v>
      </c>
      <c r="C2180" s="96">
        <v>13952</v>
      </c>
      <c r="D2180" s="401"/>
      <c r="E2180" s="96" t="s">
        <v>168</v>
      </c>
      <c r="F2180" s="398"/>
      <c r="G2180" s="398"/>
      <c r="H2180" s="96"/>
      <c r="I2180" s="96">
        <v>50</v>
      </c>
      <c r="J2180" s="96" t="s">
        <v>405</v>
      </c>
      <c r="K2180" s="401"/>
      <c r="L2180" s="398"/>
      <c r="M2180" s="398"/>
      <c r="N2180" s="401"/>
      <c r="O2180" s="398"/>
      <c r="P2180" s="325"/>
      <c r="Q2180" s="401"/>
    </row>
    <row r="2181" spans="1:20" ht="15" customHeight="1" thickBot="1" x14ac:dyDescent="0.35">
      <c r="A2181" s="352" t="s">
        <v>88</v>
      </c>
      <c r="B2181" s="353"/>
      <c r="C2181" s="353"/>
      <c r="D2181" s="353"/>
      <c r="E2181" s="353"/>
      <c r="F2181" s="353"/>
      <c r="G2181" s="353"/>
      <c r="H2181" s="353"/>
      <c r="I2181" s="353"/>
      <c r="J2181" s="353"/>
      <c r="K2181" s="353"/>
      <c r="L2181" s="353"/>
      <c r="M2181" s="353"/>
      <c r="N2181" s="353"/>
      <c r="O2181" s="353"/>
      <c r="P2181" s="353"/>
      <c r="Q2181" s="354"/>
    </row>
    <row r="2182" spans="1:20" ht="15" hidden="1" customHeight="1" x14ac:dyDescent="0.3">
      <c r="A2182" s="414">
        <v>584</v>
      </c>
      <c r="B2182" s="414" t="s">
        <v>48</v>
      </c>
      <c r="C2182" s="106">
        <v>2368</v>
      </c>
      <c r="D2182" s="414">
        <v>1</v>
      </c>
      <c r="E2182" s="414" t="s">
        <v>269</v>
      </c>
      <c r="F2182" s="414">
        <v>1000</v>
      </c>
      <c r="G2182" s="414">
        <v>1000</v>
      </c>
      <c r="H2182" s="414" t="s">
        <v>96</v>
      </c>
      <c r="I2182" s="414">
        <v>300</v>
      </c>
      <c r="J2182" s="414" t="s">
        <v>45</v>
      </c>
      <c r="K2182" s="414">
        <v>100</v>
      </c>
      <c r="L2182" s="414">
        <v>103</v>
      </c>
      <c r="M2182" s="417" t="s">
        <v>14</v>
      </c>
      <c r="N2182" s="420" t="s">
        <v>89</v>
      </c>
      <c r="O2182" s="414" t="s">
        <v>27</v>
      </c>
      <c r="P2182" s="181"/>
      <c r="Q2182" s="414" t="s">
        <v>406</v>
      </c>
      <c r="R2182" s="350">
        <v>44064</v>
      </c>
    </row>
    <row r="2183" spans="1:20" ht="15" customHeight="1" x14ac:dyDescent="0.3">
      <c r="A2183" s="415"/>
      <c r="B2183" s="415"/>
      <c r="C2183" s="107">
        <v>18934</v>
      </c>
      <c r="D2183" s="415"/>
      <c r="E2183" s="415"/>
      <c r="F2183" s="415"/>
      <c r="G2183" s="415"/>
      <c r="H2183" s="415"/>
      <c r="I2183" s="415"/>
      <c r="J2183" s="415"/>
      <c r="K2183" s="415"/>
      <c r="L2183" s="415"/>
      <c r="M2183" s="418"/>
      <c r="N2183" s="421"/>
      <c r="O2183" s="415"/>
      <c r="P2183" s="182"/>
      <c r="Q2183" s="415"/>
      <c r="R2183" s="351"/>
      <c r="T2183" s="200">
        <v>1</v>
      </c>
    </row>
    <row r="2184" spans="1:20" ht="15" customHeight="1" thickBot="1" x14ac:dyDescent="0.35">
      <c r="A2184" s="416"/>
      <c r="B2184" s="416"/>
      <c r="C2184" s="109">
        <v>16300</v>
      </c>
      <c r="D2184" s="416"/>
      <c r="E2184" s="416"/>
      <c r="F2184" s="416"/>
      <c r="G2184" s="416"/>
      <c r="H2184" s="416"/>
      <c r="I2184" s="416"/>
      <c r="J2184" s="416"/>
      <c r="K2184" s="416"/>
      <c r="L2184" s="416"/>
      <c r="M2184" s="419"/>
      <c r="N2184" s="422"/>
      <c r="O2184" s="416"/>
      <c r="P2184" s="234">
        <v>44066</v>
      </c>
      <c r="Q2184" s="416"/>
      <c r="R2184" s="351"/>
    </row>
    <row r="2185" spans="1:20" ht="15" hidden="1" customHeight="1" x14ac:dyDescent="0.3">
      <c r="A2185" s="367">
        <v>585</v>
      </c>
      <c r="B2185" s="367" t="s">
        <v>174</v>
      </c>
      <c r="C2185" s="40">
        <v>7679</v>
      </c>
      <c r="D2185" s="370">
        <v>0</v>
      </c>
      <c r="E2185" s="367" t="s">
        <v>13</v>
      </c>
      <c r="F2185" s="367">
        <v>1000</v>
      </c>
      <c r="G2185" s="367">
        <v>1000</v>
      </c>
      <c r="H2185" s="367" t="s">
        <v>50</v>
      </c>
      <c r="I2185" s="367" t="s">
        <v>13</v>
      </c>
      <c r="J2185" s="367" t="s">
        <v>13</v>
      </c>
      <c r="K2185" s="367" t="s">
        <v>13</v>
      </c>
      <c r="L2185" s="367" t="s">
        <v>13</v>
      </c>
      <c r="M2185" s="358" t="s">
        <v>14</v>
      </c>
      <c r="N2185" s="396" t="s">
        <v>369</v>
      </c>
      <c r="O2185" s="367" t="s">
        <v>27</v>
      </c>
      <c r="P2185" s="65"/>
      <c r="Q2185" s="367" t="s">
        <v>184</v>
      </c>
    </row>
    <row r="2186" spans="1:20" ht="15" customHeight="1" x14ac:dyDescent="0.3">
      <c r="A2186" s="368"/>
      <c r="B2186" s="368"/>
      <c r="C2186" s="41">
        <v>11349</v>
      </c>
      <c r="D2186" s="371"/>
      <c r="E2186" s="368"/>
      <c r="F2186" s="368"/>
      <c r="G2186" s="368"/>
      <c r="H2186" s="368"/>
      <c r="I2186" s="368"/>
      <c r="J2186" s="368"/>
      <c r="K2186" s="368"/>
      <c r="L2186" s="368"/>
      <c r="M2186" s="359"/>
      <c r="N2186" s="397"/>
      <c r="O2186" s="368"/>
      <c r="P2186" s="66"/>
      <c r="Q2186" s="368"/>
      <c r="T2186" s="200">
        <v>1</v>
      </c>
    </row>
    <row r="2187" spans="1:20" ht="15" customHeight="1" thickBot="1" x14ac:dyDescent="0.35">
      <c r="A2187" s="369"/>
      <c r="B2187" s="369"/>
      <c r="C2187" s="42">
        <v>24500</v>
      </c>
      <c r="D2187" s="372"/>
      <c r="E2187" s="369"/>
      <c r="F2187" s="369"/>
      <c r="G2187" s="369"/>
      <c r="H2187" s="369"/>
      <c r="I2187" s="369"/>
      <c r="J2187" s="369"/>
      <c r="K2187" s="369"/>
      <c r="L2187" s="369"/>
      <c r="M2187" s="360"/>
      <c r="N2187" s="398"/>
      <c r="O2187" s="369"/>
      <c r="P2187" s="227">
        <v>44066</v>
      </c>
      <c r="Q2187" s="369"/>
    </row>
    <row r="2188" spans="1:20" ht="15" hidden="1" customHeight="1" x14ac:dyDescent="0.3">
      <c r="A2188" s="367">
        <v>586</v>
      </c>
      <c r="B2188" s="367" t="s">
        <v>174</v>
      </c>
      <c r="C2188" s="40">
        <v>7507</v>
      </c>
      <c r="D2188" s="370">
        <v>0</v>
      </c>
      <c r="E2188" s="367" t="s">
        <v>13</v>
      </c>
      <c r="F2188" s="367">
        <v>1000</v>
      </c>
      <c r="G2188" s="367">
        <v>1000</v>
      </c>
      <c r="H2188" s="367" t="s">
        <v>50</v>
      </c>
      <c r="I2188" s="367" t="s">
        <v>13</v>
      </c>
      <c r="J2188" s="367" t="s">
        <v>13</v>
      </c>
      <c r="K2188" s="367" t="s">
        <v>13</v>
      </c>
      <c r="L2188" s="367" t="s">
        <v>13</v>
      </c>
      <c r="M2188" s="358" t="s">
        <v>14</v>
      </c>
      <c r="N2188" s="396" t="s">
        <v>369</v>
      </c>
      <c r="O2188" s="367" t="s">
        <v>27</v>
      </c>
      <c r="P2188" s="65"/>
      <c r="Q2188" s="367" t="s">
        <v>184</v>
      </c>
    </row>
    <row r="2189" spans="1:20" ht="15" customHeight="1" x14ac:dyDescent="0.3">
      <c r="A2189" s="368"/>
      <c r="B2189" s="368"/>
      <c r="C2189" s="41">
        <v>11595</v>
      </c>
      <c r="D2189" s="371"/>
      <c r="E2189" s="368"/>
      <c r="F2189" s="368"/>
      <c r="G2189" s="368"/>
      <c r="H2189" s="368"/>
      <c r="I2189" s="368"/>
      <c r="J2189" s="368"/>
      <c r="K2189" s="368"/>
      <c r="L2189" s="368"/>
      <c r="M2189" s="359"/>
      <c r="N2189" s="397"/>
      <c r="O2189" s="368"/>
      <c r="P2189" s="226">
        <v>44066</v>
      </c>
      <c r="Q2189" s="368"/>
      <c r="T2189" s="200">
        <v>1</v>
      </c>
    </row>
    <row r="2190" spans="1:20" ht="15" customHeight="1" thickBot="1" x14ac:dyDescent="0.35">
      <c r="A2190" s="369"/>
      <c r="B2190" s="369"/>
      <c r="C2190" s="42">
        <v>24500</v>
      </c>
      <c r="D2190" s="372"/>
      <c r="E2190" s="369"/>
      <c r="F2190" s="369"/>
      <c r="G2190" s="369"/>
      <c r="H2190" s="369"/>
      <c r="I2190" s="369"/>
      <c r="J2190" s="369"/>
      <c r="K2190" s="369"/>
      <c r="L2190" s="369"/>
      <c r="M2190" s="360"/>
      <c r="N2190" s="398"/>
      <c r="O2190" s="369"/>
      <c r="P2190" s="67"/>
      <c r="Q2190" s="369"/>
    </row>
    <row r="2191" spans="1:20" ht="15" hidden="1" customHeight="1" x14ac:dyDescent="0.3">
      <c r="A2191" s="367">
        <v>587</v>
      </c>
      <c r="B2191" s="367" t="s">
        <v>174</v>
      </c>
      <c r="C2191" s="40">
        <v>1000</v>
      </c>
      <c r="D2191" s="370">
        <v>0</v>
      </c>
      <c r="E2191" s="367" t="s">
        <v>13</v>
      </c>
      <c r="F2191" s="367">
        <v>1000</v>
      </c>
      <c r="G2191" s="367">
        <v>1000</v>
      </c>
      <c r="H2191" s="367" t="s">
        <v>30</v>
      </c>
      <c r="I2191" s="367" t="s">
        <v>13</v>
      </c>
      <c r="J2191" s="367" t="s">
        <v>13</v>
      </c>
      <c r="K2191" s="367" t="s">
        <v>13</v>
      </c>
      <c r="L2191" s="367" t="s">
        <v>13</v>
      </c>
      <c r="M2191" s="358" t="s">
        <v>14</v>
      </c>
      <c r="N2191" s="396" t="s">
        <v>89</v>
      </c>
      <c r="O2191" s="367" t="s">
        <v>27</v>
      </c>
      <c r="P2191" s="65"/>
      <c r="Q2191" s="367" t="s">
        <v>184</v>
      </c>
    </row>
    <row r="2192" spans="1:20" ht="15" customHeight="1" x14ac:dyDescent="0.3">
      <c r="A2192" s="368"/>
      <c r="B2192" s="368"/>
      <c r="C2192" s="41">
        <v>19800</v>
      </c>
      <c r="D2192" s="371"/>
      <c r="E2192" s="368"/>
      <c r="F2192" s="368"/>
      <c r="G2192" s="368"/>
      <c r="H2192" s="368"/>
      <c r="I2192" s="368"/>
      <c r="J2192" s="368"/>
      <c r="K2192" s="368"/>
      <c r="L2192" s="368"/>
      <c r="M2192" s="359"/>
      <c r="N2192" s="397"/>
      <c r="O2192" s="368"/>
      <c r="P2192" s="226">
        <v>44066</v>
      </c>
      <c r="Q2192" s="368"/>
    </row>
    <row r="2193" spans="1:20" ht="15" customHeight="1" thickBot="1" x14ac:dyDescent="0.35">
      <c r="A2193" s="369"/>
      <c r="B2193" s="369"/>
      <c r="C2193" s="42">
        <v>20000</v>
      </c>
      <c r="D2193" s="372"/>
      <c r="E2193" s="369"/>
      <c r="F2193" s="369"/>
      <c r="G2193" s="369"/>
      <c r="H2193" s="369"/>
      <c r="I2193" s="369"/>
      <c r="J2193" s="369"/>
      <c r="K2193" s="369"/>
      <c r="L2193" s="369"/>
      <c r="M2193" s="360"/>
      <c r="N2193" s="398"/>
      <c r="O2193" s="369"/>
      <c r="P2193" s="67"/>
      <c r="Q2193" s="369"/>
      <c r="T2193" s="200">
        <v>1</v>
      </c>
    </row>
    <row r="2194" spans="1:20" ht="15" hidden="1" customHeight="1" x14ac:dyDescent="0.3">
      <c r="A2194" s="367">
        <v>588</v>
      </c>
      <c r="B2194" s="367" t="s">
        <v>174</v>
      </c>
      <c r="C2194" s="40">
        <v>800</v>
      </c>
      <c r="D2194" s="370">
        <v>0</v>
      </c>
      <c r="E2194" s="367" t="s">
        <v>13</v>
      </c>
      <c r="F2194" s="367">
        <v>1000</v>
      </c>
      <c r="G2194" s="367">
        <v>1000</v>
      </c>
      <c r="H2194" s="367" t="s">
        <v>30</v>
      </c>
      <c r="I2194" s="367" t="s">
        <v>13</v>
      </c>
      <c r="J2194" s="367" t="s">
        <v>13</v>
      </c>
      <c r="K2194" s="367" t="s">
        <v>13</v>
      </c>
      <c r="L2194" s="367" t="s">
        <v>13</v>
      </c>
      <c r="M2194" s="358" t="s">
        <v>14</v>
      </c>
      <c r="N2194" s="396" t="s">
        <v>89</v>
      </c>
      <c r="O2194" s="367" t="s">
        <v>27</v>
      </c>
      <c r="P2194" s="65"/>
      <c r="Q2194" s="367" t="s">
        <v>184</v>
      </c>
    </row>
    <row r="2195" spans="1:20" ht="15" customHeight="1" x14ac:dyDescent="0.3">
      <c r="A2195" s="368"/>
      <c r="B2195" s="368"/>
      <c r="C2195" s="41">
        <v>19800</v>
      </c>
      <c r="D2195" s="371"/>
      <c r="E2195" s="368"/>
      <c r="F2195" s="368"/>
      <c r="G2195" s="368"/>
      <c r="H2195" s="368"/>
      <c r="I2195" s="368"/>
      <c r="J2195" s="368"/>
      <c r="K2195" s="368"/>
      <c r="L2195" s="368"/>
      <c r="M2195" s="359"/>
      <c r="N2195" s="397"/>
      <c r="O2195" s="368"/>
      <c r="P2195" s="226">
        <v>44066</v>
      </c>
      <c r="Q2195" s="368"/>
    </row>
    <row r="2196" spans="1:20" ht="15" customHeight="1" thickBot="1" x14ac:dyDescent="0.35">
      <c r="A2196" s="369"/>
      <c r="B2196" s="369"/>
      <c r="C2196" s="42">
        <v>20000</v>
      </c>
      <c r="D2196" s="372"/>
      <c r="E2196" s="369"/>
      <c r="F2196" s="369"/>
      <c r="G2196" s="369"/>
      <c r="H2196" s="369"/>
      <c r="I2196" s="369"/>
      <c r="J2196" s="369"/>
      <c r="K2196" s="369"/>
      <c r="L2196" s="369"/>
      <c r="M2196" s="360"/>
      <c r="N2196" s="398"/>
      <c r="O2196" s="369"/>
      <c r="P2196" s="67"/>
      <c r="Q2196" s="369"/>
      <c r="T2196" s="200">
        <v>1</v>
      </c>
    </row>
    <row r="2197" spans="1:20" ht="15" hidden="1" customHeight="1" x14ac:dyDescent="0.3">
      <c r="A2197" s="367">
        <v>589</v>
      </c>
      <c r="B2197" s="367" t="s">
        <v>174</v>
      </c>
      <c r="C2197" s="40">
        <v>1000</v>
      </c>
      <c r="D2197" s="370">
        <v>0</v>
      </c>
      <c r="E2197" s="367" t="s">
        <v>13</v>
      </c>
      <c r="F2197" s="367">
        <v>1000</v>
      </c>
      <c r="G2197" s="367">
        <v>1000</v>
      </c>
      <c r="H2197" s="367" t="s">
        <v>30</v>
      </c>
      <c r="I2197" s="367" t="s">
        <v>13</v>
      </c>
      <c r="J2197" s="367" t="s">
        <v>13</v>
      </c>
      <c r="K2197" s="367" t="s">
        <v>13</v>
      </c>
      <c r="L2197" s="367" t="s">
        <v>13</v>
      </c>
      <c r="M2197" s="358" t="s">
        <v>14</v>
      </c>
      <c r="N2197" s="396" t="s">
        <v>89</v>
      </c>
      <c r="O2197" s="367" t="s">
        <v>27</v>
      </c>
      <c r="P2197" s="65"/>
      <c r="Q2197" s="367" t="s">
        <v>184</v>
      </c>
    </row>
    <row r="2198" spans="1:20" ht="15" customHeight="1" x14ac:dyDescent="0.3">
      <c r="A2198" s="368"/>
      <c r="B2198" s="368"/>
      <c r="C2198" s="41">
        <v>19800</v>
      </c>
      <c r="D2198" s="371"/>
      <c r="E2198" s="368"/>
      <c r="F2198" s="368"/>
      <c r="G2198" s="368"/>
      <c r="H2198" s="368"/>
      <c r="I2198" s="368"/>
      <c r="J2198" s="368"/>
      <c r="K2198" s="368"/>
      <c r="L2198" s="368"/>
      <c r="M2198" s="359"/>
      <c r="N2198" s="397"/>
      <c r="O2198" s="368"/>
      <c r="P2198" s="226">
        <v>44066</v>
      </c>
      <c r="Q2198" s="368"/>
      <c r="T2198" s="200">
        <v>1</v>
      </c>
    </row>
    <row r="2199" spans="1:20" ht="15" customHeight="1" thickBot="1" x14ac:dyDescent="0.35">
      <c r="A2199" s="369"/>
      <c r="B2199" s="369"/>
      <c r="C2199" s="42">
        <v>19800</v>
      </c>
      <c r="D2199" s="372"/>
      <c r="E2199" s="369"/>
      <c r="F2199" s="369"/>
      <c r="G2199" s="369"/>
      <c r="H2199" s="369"/>
      <c r="I2199" s="369"/>
      <c r="J2199" s="369"/>
      <c r="K2199" s="369"/>
      <c r="L2199" s="369"/>
      <c r="M2199" s="360"/>
      <c r="N2199" s="398"/>
      <c r="O2199" s="369"/>
      <c r="P2199" s="67"/>
      <c r="Q2199" s="369"/>
    </row>
    <row r="2200" spans="1:20" ht="15" hidden="1" customHeight="1" x14ac:dyDescent="0.3">
      <c r="A2200" s="367">
        <v>590</v>
      </c>
      <c r="B2200" s="367" t="s">
        <v>174</v>
      </c>
      <c r="C2200" s="40">
        <v>800</v>
      </c>
      <c r="D2200" s="370">
        <v>0</v>
      </c>
      <c r="E2200" s="367" t="s">
        <v>13</v>
      </c>
      <c r="F2200" s="367">
        <v>1000</v>
      </c>
      <c r="G2200" s="367">
        <v>1000</v>
      </c>
      <c r="H2200" s="367" t="s">
        <v>30</v>
      </c>
      <c r="I2200" s="367" t="s">
        <v>13</v>
      </c>
      <c r="J2200" s="367" t="s">
        <v>13</v>
      </c>
      <c r="K2200" s="367" t="s">
        <v>13</v>
      </c>
      <c r="L2200" s="367" t="s">
        <v>13</v>
      </c>
      <c r="M2200" s="358" t="s">
        <v>14</v>
      </c>
      <c r="N2200" s="396" t="s">
        <v>89</v>
      </c>
      <c r="O2200" s="367" t="s">
        <v>27</v>
      </c>
      <c r="P2200" s="65"/>
      <c r="Q2200" s="367" t="s">
        <v>184</v>
      </c>
      <c r="T2200" s="200">
        <v>1</v>
      </c>
    </row>
    <row r="2201" spans="1:20" ht="15" customHeight="1" x14ac:dyDescent="0.3">
      <c r="A2201" s="368"/>
      <c r="B2201" s="368"/>
      <c r="C2201" s="41">
        <v>19800</v>
      </c>
      <c r="D2201" s="371"/>
      <c r="E2201" s="368"/>
      <c r="F2201" s="368"/>
      <c r="G2201" s="368"/>
      <c r="H2201" s="368"/>
      <c r="I2201" s="368"/>
      <c r="J2201" s="368"/>
      <c r="K2201" s="368"/>
      <c r="L2201" s="368"/>
      <c r="M2201" s="359"/>
      <c r="N2201" s="397"/>
      <c r="O2201" s="368"/>
      <c r="P2201" s="226">
        <v>44066</v>
      </c>
      <c r="Q2201" s="368"/>
    </row>
    <row r="2202" spans="1:20" ht="15" customHeight="1" thickBot="1" x14ac:dyDescent="0.35">
      <c r="A2202" s="369"/>
      <c r="B2202" s="369"/>
      <c r="C2202" s="42">
        <v>19800</v>
      </c>
      <c r="D2202" s="372"/>
      <c r="E2202" s="369"/>
      <c r="F2202" s="369"/>
      <c r="G2202" s="369"/>
      <c r="H2202" s="369"/>
      <c r="I2202" s="369"/>
      <c r="J2202" s="369"/>
      <c r="K2202" s="369"/>
      <c r="L2202" s="369"/>
      <c r="M2202" s="360"/>
      <c r="N2202" s="398"/>
      <c r="O2202" s="369"/>
      <c r="P2202" s="67"/>
      <c r="Q2202" s="369"/>
    </row>
    <row r="2203" spans="1:20" ht="15" hidden="1" customHeight="1" x14ac:dyDescent="0.3">
      <c r="A2203" s="367">
        <v>591</v>
      </c>
      <c r="B2203" s="367" t="s">
        <v>174</v>
      </c>
      <c r="C2203" s="40">
        <v>1000</v>
      </c>
      <c r="D2203" s="370">
        <v>0</v>
      </c>
      <c r="E2203" s="367" t="s">
        <v>13</v>
      </c>
      <c r="F2203" s="367">
        <v>1000</v>
      </c>
      <c r="G2203" s="367">
        <v>1000</v>
      </c>
      <c r="H2203" s="367" t="s">
        <v>30</v>
      </c>
      <c r="I2203" s="367" t="s">
        <v>13</v>
      </c>
      <c r="J2203" s="367" t="s">
        <v>13</v>
      </c>
      <c r="K2203" s="367" t="s">
        <v>13</v>
      </c>
      <c r="L2203" s="367" t="s">
        <v>13</v>
      </c>
      <c r="M2203" s="358" t="s">
        <v>14</v>
      </c>
      <c r="N2203" s="396" t="s">
        <v>402</v>
      </c>
      <c r="O2203" s="367" t="s">
        <v>27</v>
      </c>
      <c r="P2203" s="65"/>
      <c r="Q2203" s="367" t="s">
        <v>184</v>
      </c>
    </row>
    <row r="2204" spans="1:20" ht="15" customHeight="1" x14ac:dyDescent="0.3">
      <c r="A2204" s="368"/>
      <c r="B2204" s="368"/>
      <c r="C2204" s="41">
        <v>19800</v>
      </c>
      <c r="D2204" s="371"/>
      <c r="E2204" s="368"/>
      <c r="F2204" s="368"/>
      <c r="G2204" s="368"/>
      <c r="H2204" s="368"/>
      <c r="I2204" s="368"/>
      <c r="J2204" s="368"/>
      <c r="K2204" s="368"/>
      <c r="L2204" s="368"/>
      <c r="M2204" s="359"/>
      <c r="N2204" s="397"/>
      <c r="O2204" s="368"/>
      <c r="P2204" s="226">
        <v>44066</v>
      </c>
      <c r="Q2204" s="368"/>
      <c r="T2204" s="200">
        <v>1</v>
      </c>
    </row>
    <row r="2205" spans="1:20" ht="15" customHeight="1" thickBot="1" x14ac:dyDescent="0.35">
      <c r="A2205" s="369"/>
      <c r="B2205" s="369"/>
      <c r="C2205" s="42">
        <v>18000</v>
      </c>
      <c r="D2205" s="372"/>
      <c r="E2205" s="369"/>
      <c r="F2205" s="369"/>
      <c r="G2205" s="369"/>
      <c r="H2205" s="369"/>
      <c r="I2205" s="369"/>
      <c r="J2205" s="369"/>
      <c r="K2205" s="369"/>
      <c r="L2205" s="369"/>
      <c r="M2205" s="360"/>
      <c r="N2205" s="398"/>
      <c r="O2205" s="369"/>
      <c r="P2205" s="67"/>
      <c r="Q2205" s="369"/>
    </row>
    <row r="2206" spans="1:20" ht="15" hidden="1" customHeight="1" x14ac:dyDescent="0.3">
      <c r="A2206" s="367">
        <v>592</v>
      </c>
      <c r="B2206" s="367" t="s">
        <v>174</v>
      </c>
      <c r="C2206" s="40">
        <v>800</v>
      </c>
      <c r="D2206" s="370">
        <v>0</v>
      </c>
      <c r="E2206" s="367" t="s">
        <v>13</v>
      </c>
      <c r="F2206" s="367">
        <v>1000</v>
      </c>
      <c r="G2206" s="367">
        <v>1000</v>
      </c>
      <c r="H2206" s="367" t="s">
        <v>30</v>
      </c>
      <c r="I2206" s="367" t="s">
        <v>13</v>
      </c>
      <c r="J2206" s="367" t="s">
        <v>13</v>
      </c>
      <c r="K2206" s="367" t="s">
        <v>13</v>
      </c>
      <c r="L2206" s="367" t="s">
        <v>13</v>
      </c>
      <c r="M2206" s="358" t="s">
        <v>14</v>
      </c>
      <c r="N2206" s="396" t="s">
        <v>89</v>
      </c>
      <c r="O2206" s="367" t="s">
        <v>27</v>
      </c>
      <c r="P2206" s="65"/>
      <c r="Q2206" s="367" t="s">
        <v>184</v>
      </c>
      <c r="T2206" s="200">
        <v>1</v>
      </c>
    </row>
    <row r="2207" spans="1:20" ht="15" customHeight="1" x14ac:dyDescent="0.3">
      <c r="A2207" s="368"/>
      <c r="B2207" s="368"/>
      <c r="C2207" s="40">
        <v>19800</v>
      </c>
      <c r="D2207" s="371"/>
      <c r="E2207" s="368"/>
      <c r="F2207" s="368"/>
      <c r="G2207" s="368"/>
      <c r="H2207" s="368"/>
      <c r="I2207" s="368"/>
      <c r="J2207" s="368"/>
      <c r="K2207" s="368"/>
      <c r="L2207" s="368"/>
      <c r="M2207" s="359"/>
      <c r="N2207" s="397"/>
      <c r="O2207" s="368"/>
      <c r="P2207" s="226">
        <v>44066</v>
      </c>
      <c r="Q2207" s="368"/>
    </row>
    <row r="2208" spans="1:20" ht="15" customHeight="1" thickBot="1" x14ac:dyDescent="0.35">
      <c r="A2208" s="369"/>
      <c r="B2208" s="369"/>
      <c r="C2208" s="42">
        <v>18000</v>
      </c>
      <c r="D2208" s="372"/>
      <c r="E2208" s="369"/>
      <c r="F2208" s="369"/>
      <c r="G2208" s="369"/>
      <c r="H2208" s="369"/>
      <c r="I2208" s="369"/>
      <c r="J2208" s="369"/>
      <c r="K2208" s="369"/>
      <c r="L2208" s="369"/>
      <c r="M2208" s="360"/>
      <c r="N2208" s="398"/>
      <c r="O2208" s="369"/>
      <c r="P2208" s="67"/>
      <c r="Q2208" s="369"/>
    </row>
    <row r="2209" spans="1:20" ht="15" hidden="1" customHeight="1" x14ac:dyDescent="0.3">
      <c r="A2209" s="367">
        <v>593</v>
      </c>
      <c r="B2209" s="367" t="s">
        <v>174</v>
      </c>
      <c r="C2209" s="40">
        <v>800</v>
      </c>
      <c r="D2209" s="370">
        <v>0</v>
      </c>
      <c r="E2209" s="367" t="s">
        <v>13</v>
      </c>
      <c r="F2209" s="367">
        <v>1000</v>
      </c>
      <c r="G2209" s="367">
        <v>1000</v>
      </c>
      <c r="H2209" s="367" t="s">
        <v>30</v>
      </c>
      <c r="I2209" s="367" t="s">
        <v>13</v>
      </c>
      <c r="J2209" s="367" t="s">
        <v>13</v>
      </c>
      <c r="K2209" s="367" t="s">
        <v>13</v>
      </c>
      <c r="L2209" s="367" t="s">
        <v>13</v>
      </c>
      <c r="M2209" s="358" t="s">
        <v>14</v>
      </c>
      <c r="N2209" s="396" t="s">
        <v>89</v>
      </c>
      <c r="O2209" s="367" t="s">
        <v>27</v>
      </c>
      <c r="P2209" s="65"/>
      <c r="Q2209" s="367" t="s">
        <v>184</v>
      </c>
      <c r="T2209" s="200">
        <v>1</v>
      </c>
    </row>
    <row r="2210" spans="1:20" ht="15" customHeight="1" x14ac:dyDescent="0.3">
      <c r="A2210" s="368"/>
      <c r="B2210" s="368"/>
      <c r="C2210" s="40">
        <v>19800</v>
      </c>
      <c r="D2210" s="371"/>
      <c r="E2210" s="368"/>
      <c r="F2210" s="368"/>
      <c r="G2210" s="368"/>
      <c r="H2210" s="368"/>
      <c r="I2210" s="368"/>
      <c r="J2210" s="368"/>
      <c r="K2210" s="368"/>
      <c r="L2210" s="368"/>
      <c r="M2210" s="359"/>
      <c r="N2210" s="397"/>
      <c r="O2210" s="368"/>
      <c r="P2210" s="226">
        <v>44066</v>
      </c>
      <c r="Q2210" s="368"/>
    </row>
    <row r="2211" spans="1:20" ht="15" customHeight="1" thickBot="1" x14ac:dyDescent="0.35">
      <c r="A2211" s="369"/>
      <c r="B2211" s="369"/>
      <c r="C2211" s="42">
        <v>17800</v>
      </c>
      <c r="D2211" s="372"/>
      <c r="E2211" s="369"/>
      <c r="F2211" s="369"/>
      <c r="G2211" s="369"/>
      <c r="H2211" s="369"/>
      <c r="I2211" s="369"/>
      <c r="J2211" s="369"/>
      <c r="K2211" s="369"/>
      <c r="L2211" s="369"/>
      <c r="M2211" s="360"/>
      <c r="N2211" s="398"/>
      <c r="O2211" s="369"/>
      <c r="P2211" s="67"/>
      <c r="Q2211" s="369"/>
    </row>
    <row r="2212" spans="1:20" ht="15" hidden="1" customHeight="1" x14ac:dyDescent="0.3">
      <c r="A2212" s="367">
        <v>594</v>
      </c>
      <c r="B2212" s="367" t="s">
        <v>174</v>
      </c>
      <c r="C2212" s="40">
        <v>1000</v>
      </c>
      <c r="D2212" s="370">
        <v>0</v>
      </c>
      <c r="E2212" s="367" t="s">
        <v>13</v>
      </c>
      <c r="F2212" s="367">
        <v>1000</v>
      </c>
      <c r="G2212" s="367">
        <v>1000</v>
      </c>
      <c r="H2212" s="367" t="s">
        <v>30</v>
      </c>
      <c r="I2212" s="367" t="s">
        <v>13</v>
      </c>
      <c r="J2212" s="367" t="s">
        <v>13</v>
      </c>
      <c r="K2212" s="367" t="s">
        <v>13</v>
      </c>
      <c r="L2212" s="367" t="s">
        <v>13</v>
      </c>
      <c r="M2212" s="358" t="s">
        <v>14</v>
      </c>
      <c r="N2212" s="396" t="s">
        <v>89</v>
      </c>
      <c r="O2212" s="367" t="s">
        <v>27</v>
      </c>
      <c r="P2212" s="65"/>
      <c r="Q2212" s="367" t="s">
        <v>184</v>
      </c>
    </row>
    <row r="2213" spans="1:20" ht="15" customHeight="1" x14ac:dyDescent="0.3">
      <c r="A2213" s="368"/>
      <c r="B2213" s="368"/>
      <c r="C2213" s="40">
        <v>19800</v>
      </c>
      <c r="D2213" s="371"/>
      <c r="E2213" s="368"/>
      <c r="F2213" s="368"/>
      <c r="G2213" s="368"/>
      <c r="H2213" s="368"/>
      <c r="I2213" s="368"/>
      <c r="J2213" s="368"/>
      <c r="K2213" s="368"/>
      <c r="L2213" s="368"/>
      <c r="M2213" s="359"/>
      <c r="N2213" s="397"/>
      <c r="O2213" s="368"/>
      <c r="P2213" s="66"/>
      <c r="Q2213" s="368"/>
      <c r="T2213" s="200">
        <v>1</v>
      </c>
    </row>
    <row r="2214" spans="1:20" ht="15" customHeight="1" thickBot="1" x14ac:dyDescent="0.35">
      <c r="A2214" s="369"/>
      <c r="B2214" s="369"/>
      <c r="C2214" s="42">
        <v>17800</v>
      </c>
      <c r="D2214" s="372"/>
      <c r="E2214" s="369"/>
      <c r="F2214" s="369"/>
      <c r="G2214" s="369"/>
      <c r="H2214" s="369"/>
      <c r="I2214" s="369"/>
      <c r="J2214" s="369"/>
      <c r="K2214" s="369"/>
      <c r="L2214" s="369"/>
      <c r="M2214" s="360"/>
      <c r="N2214" s="398"/>
      <c r="O2214" s="369"/>
      <c r="P2214" s="227">
        <v>44066</v>
      </c>
      <c r="Q2214" s="369"/>
    </row>
    <row r="2215" spans="1:20" ht="15" hidden="1" customHeight="1" x14ac:dyDescent="0.3">
      <c r="A2215" s="396">
        <v>595</v>
      </c>
      <c r="B2215" s="396" t="s">
        <v>174</v>
      </c>
      <c r="C2215" s="91">
        <v>1200</v>
      </c>
      <c r="D2215" s="399">
        <v>0</v>
      </c>
      <c r="E2215" s="396" t="s">
        <v>13</v>
      </c>
      <c r="F2215" s="396">
        <v>1000</v>
      </c>
      <c r="G2215" s="396">
        <v>1000</v>
      </c>
      <c r="H2215" s="396" t="s">
        <v>30</v>
      </c>
      <c r="I2215" s="396" t="s">
        <v>13</v>
      </c>
      <c r="J2215" s="396" t="s">
        <v>13</v>
      </c>
      <c r="K2215" s="396" t="s">
        <v>13</v>
      </c>
      <c r="L2215" s="396" t="s">
        <v>13</v>
      </c>
      <c r="M2215" s="396" t="s">
        <v>14</v>
      </c>
      <c r="N2215" s="396" t="s">
        <v>89</v>
      </c>
      <c r="O2215" s="396" t="s">
        <v>27</v>
      </c>
      <c r="P2215" s="86"/>
      <c r="Q2215" s="396" t="s">
        <v>184</v>
      </c>
      <c r="T2215" s="200">
        <v>1</v>
      </c>
    </row>
    <row r="2216" spans="1:20" ht="15" customHeight="1" x14ac:dyDescent="0.3">
      <c r="A2216" s="397"/>
      <c r="B2216" s="397"/>
      <c r="C2216" s="92">
        <v>19800</v>
      </c>
      <c r="D2216" s="400"/>
      <c r="E2216" s="397"/>
      <c r="F2216" s="397"/>
      <c r="G2216" s="397"/>
      <c r="H2216" s="397"/>
      <c r="I2216" s="397"/>
      <c r="J2216" s="397"/>
      <c r="K2216" s="397"/>
      <c r="L2216" s="397"/>
      <c r="M2216" s="397"/>
      <c r="N2216" s="397"/>
      <c r="O2216" s="397"/>
      <c r="P2216" s="87"/>
      <c r="Q2216" s="397"/>
    </row>
    <row r="2217" spans="1:20" ht="15" customHeight="1" thickBot="1" x14ac:dyDescent="0.35">
      <c r="A2217" s="398"/>
      <c r="B2217" s="398"/>
      <c r="C2217" s="93">
        <v>19800</v>
      </c>
      <c r="D2217" s="401"/>
      <c r="E2217" s="398"/>
      <c r="F2217" s="398"/>
      <c r="G2217" s="398"/>
      <c r="H2217" s="398"/>
      <c r="I2217" s="398"/>
      <c r="J2217" s="398"/>
      <c r="K2217" s="398"/>
      <c r="L2217" s="398"/>
      <c r="M2217" s="398"/>
      <c r="N2217" s="398"/>
      <c r="O2217" s="398"/>
      <c r="P2217" s="233">
        <v>44066</v>
      </c>
      <c r="Q2217" s="398"/>
    </row>
    <row r="2218" spans="1:20" ht="15" hidden="1" customHeight="1" x14ac:dyDescent="0.3">
      <c r="A2218" s="396">
        <v>596</v>
      </c>
      <c r="B2218" s="396" t="s">
        <v>174</v>
      </c>
      <c r="C2218" s="91">
        <v>10224</v>
      </c>
      <c r="D2218" s="399">
        <v>0</v>
      </c>
      <c r="E2218" s="396" t="s">
        <v>13</v>
      </c>
      <c r="F2218" s="396">
        <v>1000</v>
      </c>
      <c r="G2218" s="396">
        <v>1000</v>
      </c>
      <c r="H2218" s="396" t="s">
        <v>30</v>
      </c>
      <c r="I2218" s="396" t="s">
        <v>13</v>
      </c>
      <c r="J2218" s="396" t="s">
        <v>13</v>
      </c>
      <c r="K2218" s="396" t="s">
        <v>13</v>
      </c>
      <c r="L2218" s="396" t="s">
        <v>13</v>
      </c>
      <c r="M2218" s="396" t="s">
        <v>14</v>
      </c>
      <c r="N2218" s="396" t="s">
        <v>407</v>
      </c>
      <c r="O2218" s="396" t="s">
        <v>27</v>
      </c>
      <c r="P2218" s="86"/>
      <c r="Q2218" s="396" t="s">
        <v>184</v>
      </c>
    </row>
    <row r="2219" spans="1:20" ht="15" customHeight="1" x14ac:dyDescent="0.3">
      <c r="A2219" s="397"/>
      <c r="B2219" s="397"/>
      <c r="C2219" s="92">
        <v>7715</v>
      </c>
      <c r="D2219" s="400"/>
      <c r="E2219" s="397"/>
      <c r="F2219" s="397"/>
      <c r="G2219" s="397"/>
      <c r="H2219" s="397"/>
      <c r="I2219" s="397"/>
      <c r="J2219" s="397"/>
      <c r="K2219" s="397"/>
      <c r="L2219" s="397"/>
      <c r="M2219" s="397"/>
      <c r="N2219" s="397"/>
      <c r="O2219" s="397"/>
      <c r="P2219" s="230">
        <v>44066</v>
      </c>
      <c r="Q2219" s="397"/>
      <c r="T2219" s="200">
        <v>1</v>
      </c>
    </row>
    <row r="2220" spans="1:20" ht="15" customHeight="1" thickBot="1" x14ac:dyDescent="0.35">
      <c r="A2220" s="398"/>
      <c r="B2220" s="398"/>
      <c r="C2220" s="93">
        <v>22000</v>
      </c>
      <c r="D2220" s="401"/>
      <c r="E2220" s="398"/>
      <c r="F2220" s="398"/>
      <c r="G2220" s="398"/>
      <c r="H2220" s="398"/>
      <c r="I2220" s="398"/>
      <c r="J2220" s="398"/>
      <c r="K2220" s="398"/>
      <c r="L2220" s="398"/>
      <c r="M2220" s="398"/>
      <c r="N2220" s="398"/>
      <c r="O2220" s="398"/>
      <c r="P2220" s="88"/>
      <c r="Q2220" s="398"/>
    </row>
    <row r="2221" spans="1:20" ht="15" hidden="1" customHeight="1" x14ac:dyDescent="0.3">
      <c r="A2221" s="396">
        <v>597</v>
      </c>
      <c r="B2221" s="396" t="s">
        <v>174</v>
      </c>
      <c r="C2221" s="91">
        <v>10224</v>
      </c>
      <c r="D2221" s="399">
        <v>0</v>
      </c>
      <c r="E2221" s="396" t="s">
        <v>13</v>
      </c>
      <c r="F2221" s="396">
        <v>1000</v>
      </c>
      <c r="G2221" s="396">
        <v>1000</v>
      </c>
      <c r="H2221" s="396" t="s">
        <v>30</v>
      </c>
      <c r="I2221" s="396" t="s">
        <v>13</v>
      </c>
      <c r="J2221" s="396" t="s">
        <v>13</v>
      </c>
      <c r="K2221" s="396" t="s">
        <v>13</v>
      </c>
      <c r="L2221" s="396" t="s">
        <v>13</v>
      </c>
      <c r="M2221" s="396" t="s">
        <v>14</v>
      </c>
      <c r="N2221" s="396" t="s">
        <v>407</v>
      </c>
      <c r="O2221" s="396" t="s">
        <v>27</v>
      </c>
      <c r="P2221" s="86"/>
      <c r="Q2221" s="396" t="s">
        <v>184</v>
      </c>
    </row>
    <row r="2222" spans="1:20" ht="15" customHeight="1" x14ac:dyDescent="0.3">
      <c r="A2222" s="397"/>
      <c r="B2222" s="397"/>
      <c r="C2222" s="92">
        <v>7715</v>
      </c>
      <c r="D2222" s="400"/>
      <c r="E2222" s="397"/>
      <c r="F2222" s="397"/>
      <c r="G2222" s="397"/>
      <c r="H2222" s="397"/>
      <c r="I2222" s="397"/>
      <c r="J2222" s="397"/>
      <c r="K2222" s="397"/>
      <c r="L2222" s="397"/>
      <c r="M2222" s="397"/>
      <c r="N2222" s="397"/>
      <c r="O2222" s="397"/>
      <c r="P2222" s="230">
        <v>44066</v>
      </c>
      <c r="Q2222" s="397"/>
      <c r="T2222" s="200">
        <v>1</v>
      </c>
    </row>
    <row r="2223" spans="1:20" ht="15" customHeight="1" thickBot="1" x14ac:dyDescent="0.35">
      <c r="A2223" s="398"/>
      <c r="B2223" s="398"/>
      <c r="C2223" s="93">
        <v>22200</v>
      </c>
      <c r="D2223" s="401"/>
      <c r="E2223" s="398"/>
      <c r="F2223" s="398"/>
      <c r="G2223" s="398"/>
      <c r="H2223" s="398"/>
      <c r="I2223" s="398"/>
      <c r="J2223" s="398"/>
      <c r="K2223" s="398"/>
      <c r="L2223" s="398"/>
      <c r="M2223" s="398"/>
      <c r="N2223" s="398"/>
      <c r="O2223" s="398"/>
      <c r="P2223" s="88"/>
      <c r="Q2223" s="398"/>
    </row>
    <row r="2224" spans="1:20" ht="15" hidden="1" customHeight="1" x14ac:dyDescent="0.3">
      <c r="A2224" s="396">
        <v>598</v>
      </c>
      <c r="B2224" s="396" t="s">
        <v>174</v>
      </c>
      <c r="C2224" s="91">
        <v>-3990</v>
      </c>
      <c r="D2224" s="399">
        <v>0</v>
      </c>
      <c r="E2224" s="396" t="s">
        <v>13</v>
      </c>
      <c r="F2224" s="396">
        <v>1000</v>
      </c>
      <c r="G2224" s="396">
        <v>1000</v>
      </c>
      <c r="H2224" s="396" t="s">
        <v>50</v>
      </c>
      <c r="I2224" s="396" t="s">
        <v>13</v>
      </c>
      <c r="J2224" s="396" t="s">
        <v>13</v>
      </c>
      <c r="K2224" s="396" t="s">
        <v>13</v>
      </c>
      <c r="L2224" s="396" t="s">
        <v>13</v>
      </c>
      <c r="M2224" s="396" t="s">
        <v>14</v>
      </c>
      <c r="N2224" s="396" t="s">
        <v>360</v>
      </c>
      <c r="O2224" s="396" t="s">
        <v>27</v>
      </c>
      <c r="P2224" s="86"/>
      <c r="Q2224" s="396" t="s">
        <v>184</v>
      </c>
    </row>
    <row r="2225" spans="1:20" ht="15" customHeight="1" x14ac:dyDescent="0.3">
      <c r="A2225" s="397"/>
      <c r="B2225" s="397"/>
      <c r="C2225" s="92">
        <v>16015</v>
      </c>
      <c r="D2225" s="400"/>
      <c r="E2225" s="397"/>
      <c r="F2225" s="397"/>
      <c r="G2225" s="397"/>
      <c r="H2225" s="397"/>
      <c r="I2225" s="397"/>
      <c r="J2225" s="397"/>
      <c r="K2225" s="397"/>
      <c r="L2225" s="397"/>
      <c r="M2225" s="397"/>
      <c r="N2225" s="397"/>
      <c r="O2225" s="397"/>
      <c r="P2225" s="230">
        <v>44066</v>
      </c>
      <c r="Q2225" s="397"/>
      <c r="T2225" s="200">
        <v>1</v>
      </c>
    </row>
    <row r="2226" spans="1:20" ht="15" customHeight="1" thickBot="1" x14ac:dyDescent="0.35">
      <c r="A2226" s="398"/>
      <c r="B2226" s="398"/>
      <c r="C2226" s="93">
        <v>24500</v>
      </c>
      <c r="D2226" s="401"/>
      <c r="E2226" s="398"/>
      <c r="F2226" s="398"/>
      <c r="G2226" s="398"/>
      <c r="H2226" s="398"/>
      <c r="I2226" s="398"/>
      <c r="J2226" s="398"/>
      <c r="K2226" s="398"/>
      <c r="L2226" s="398"/>
      <c r="M2226" s="398"/>
      <c r="N2226" s="398"/>
      <c r="O2226" s="398"/>
      <c r="P2226" s="88"/>
      <c r="Q2226" s="398"/>
    </row>
    <row r="2227" spans="1:20" ht="15" hidden="1" customHeight="1" x14ac:dyDescent="0.3">
      <c r="A2227" s="396">
        <v>599</v>
      </c>
      <c r="B2227" s="396" t="s">
        <v>174</v>
      </c>
      <c r="C2227" s="91">
        <v>-3990</v>
      </c>
      <c r="D2227" s="399">
        <v>0</v>
      </c>
      <c r="E2227" s="396" t="s">
        <v>13</v>
      </c>
      <c r="F2227" s="396">
        <v>1000</v>
      </c>
      <c r="G2227" s="396">
        <v>1000</v>
      </c>
      <c r="H2227" s="396" t="s">
        <v>50</v>
      </c>
      <c r="I2227" s="396" t="s">
        <v>13</v>
      </c>
      <c r="J2227" s="396" t="s">
        <v>13</v>
      </c>
      <c r="K2227" s="396" t="s">
        <v>13</v>
      </c>
      <c r="L2227" s="396" t="s">
        <v>13</v>
      </c>
      <c r="M2227" s="396" t="s">
        <v>14</v>
      </c>
      <c r="N2227" s="396" t="s">
        <v>360</v>
      </c>
      <c r="O2227" s="396" t="s">
        <v>27</v>
      </c>
      <c r="P2227" s="86"/>
      <c r="Q2227" s="396" t="s">
        <v>184</v>
      </c>
    </row>
    <row r="2228" spans="1:20" ht="15" customHeight="1" x14ac:dyDescent="0.3">
      <c r="A2228" s="397"/>
      <c r="B2228" s="397"/>
      <c r="C2228" s="92">
        <v>15715</v>
      </c>
      <c r="D2228" s="400"/>
      <c r="E2228" s="397"/>
      <c r="F2228" s="397"/>
      <c r="G2228" s="397"/>
      <c r="H2228" s="397"/>
      <c r="I2228" s="397"/>
      <c r="J2228" s="397"/>
      <c r="K2228" s="397"/>
      <c r="L2228" s="397"/>
      <c r="M2228" s="397"/>
      <c r="N2228" s="397"/>
      <c r="O2228" s="397"/>
      <c r="P2228" s="230">
        <v>44066</v>
      </c>
      <c r="Q2228" s="397"/>
      <c r="T2228" s="200">
        <v>1</v>
      </c>
    </row>
    <row r="2229" spans="1:20" ht="15" customHeight="1" thickBot="1" x14ac:dyDescent="0.35">
      <c r="A2229" s="398"/>
      <c r="B2229" s="398"/>
      <c r="C2229" s="93">
        <v>24500</v>
      </c>
      <c r="D2229" s="401"/>
      <c r="E2229" s="398"/>
      <c r="F2229" s="398"/>
      <c r="G2229" s="398"/>
      <c r="H2229" s="398"/>
      <c r="I2229" s="398"/>
      <c r="J2229" s="398"/>
      <c r="K2229" s="398"/>
      <c r="L2229" s="398"/>
      <c r="M2229" s="398"/>
      <c r="N2229" s="398"/>
      <c r="O2229" s="398"/>
      <c r="P2229" s="88"/>
      <c r="Q2229" s="398"/>
    </row>
    <row r="2230" spans="1:20" ht="15" hidden="1" customHeight="1" x14ac:dyDescent="0.3">
      <c r="A2230" s="396">
        <v>600</v>
      </c>
      <c r="B2230" s="396" t="s">
        <v>174</v>
      </c>
      <c r="C2230" s="91">
        <v>10600</v>
      </c>
      <c r="D2230" s="399">
        <v>0</v>
      </c>
      <c r="E2230" s="396" t="s">
        <v>13</v>
      </c>
      <c r="F2230" s="396">
        <v>1000</v>
      </c>
      <c r="G2230" s="396">
        <v>1000</v>
      </c>
      <c r="H2230" s="396" t="s">
        <v>50</v>
      </c>
      <c r="I2230" s="396" t="s">
        <v>13</v>
      </c>
      <c r="J2230" s="396" t="s">
        <v>13</v>
      </c>
      <c r="K2230" s="396" t="s">
        <v>13</v>
      </c>
      <c r="L2230" s="396" t="s">
        <v>13</v>
      </c>
      <c r="M2230" s="396" t="s">
        <v>14</v>
      </c>
      <c r="N2230" s="396" t="s">
        <v>407</v>
      </c>
      <c r="O2230" s="396" t="s">
        <v>27</v>
      </c>
      <c r="P2230" s="86"/>
      <c r="Q2230" s="396" t="s">
        <v>184</v>
      </c>
    </row>
    <row r="2231" spans="1:20" ht="15" customHeight="1" x14ac:dyDescent="0.3">
      <c r="A2231" s="397"/>
      <c r="B2231" s="397"/>
      <c r="C2231" s="92">
        <v>3950</v>
      </c>
      <c r="D2231" s="400"/>
      <c r="E2231" s="397"/>
      <c r="F2231" s="397"/>
      <c r="G2231" s="397"/>
      <c r="H2231" s="397"/>
      <c r="I2231" s="397"/>
      <c r="J2231" s="397"/>
      <c r="K2231" s="397"/>
      <c r="L2231" s="397"/>
      <c r="M2231" s="397"/>
      <c r="N2231" s="397"/>
      <c r="O2231" s="397"/>
      <c r="P2231" s="230">
        <v>44066</v>
      </c>
      <c r="Q2231" s="397"/>
      <c r="T2231" s="200">
        <v>1</v>
      </c>
    </row>
    <row r="2232" spans="1:20" ht="15" customHeight="1" thickBot="1" x14ac:dyDescent="0.35">
      <c r="A2232" s="398"/>
      <c r="B2232" s="398"/>
      <c r="C2232" s="93">
        <v>24000</v>
      </c>
      <c r="D2232" s="401"/>
      <c r="E2232" s="398"/>
      <c r="F2232" s="398"/>
      <c r="G2232" s="398"/>
      <c r="H2232" s="398"/>
      <c r="I2232" s="398"/>
      <c r="J2232" s="398"/>
      <c r="K2232" s="398"/>
      <c r="L2232" s="398"/>
      <c r="M2232" s="398"/>
      <c r="N2232" s="398"/>
      <c r="O2232" s="398"/>
      <c r="P2232" s="88"/>
      <c r="Q2232" s="398"/>
    </row>
    <row r="2233" spans="1:20" ht="15" hidden="1" customHeight="1" x14ac:dyDescent="0.3">
      <c r="A2233" s="396">
        <v>601</v>
      </c>
      <c r="B2233" s="396" t="s">
        <v>174</v>
      </c>
      <c r="C2233" s="91">
        <v>10600</v>
      </c>
      <c r="D2233" s="399">
        <v>0</v>
      </c>
      <c r="E2233" s="396" t="s">
        <v>13</v>
      </c>
      <c r="F2233" s="396">
        <v>1000</v>
      </c>
      <c r="G2233" s="396">
        <v>1000</v>
      </c>
      <c r="H2233" s="396" t="s">
        <v>50</v>
      </c>
      <c r="I2233" s="396" t="s">
        <v>13</v>
      </c>
      <c r="J2233" s="396" t="s">
        <v>13</v>
      </c>
      <c r="K2233" s="396" t="s">
        <v>13</v>
      </c>
      <c r="L2233" s="396" t="s">
        <v>13</v>
      </c>
      <c r="M2233" s="396" t="s">
        <v>14</v>
      </c>
      <c r="N2233" s="396" t="s">
        <v>407</v>
      </c>
      <c r="O2233" s="396" t="s">
        <v>27</v>
      </c>
      <c r="P2233" s="86"/>
      <c r="Q2233" s="396" t="s">
        <v>184</v>
      </c>
    </row>
    <row r="2234" spans="1:20" ht="15" customHeight="1" x14ac:dyDescent="0.3">
      <c r="A2234" s="397"/>
      <c r="B2234" s="397"/>
      <c r="C2234" s="92">
        <v>3200</v>
      </c>
      <c r="D2234" s="400"/>
      <c r="E2234" s="397"/>
      <c r="F2234" s="397"/>
      <c r="G2234" s="397"/>
      <c r="H2234" s="397"/>
      <c r="I2234" s="397"/>
      <c r="J2234" s="397"/>
      <c r="K2234" s="397"/>
      <c r="L2234" s="397"/>
      <c r="M2234" s="397"/>
      <c r="N2234" s="397"/>
      <c r="O2234" s="397"/>
      <c r="P2234" s="230">
        <v>44066</v>
      </c>
      <c r="Q2234" s="397"/>
      <c r="T2234" s="200">
        <v>1</v>
      </c>
    </row>
    <row r="2235" spans="1:20" ht="15" customHeight="1" thickBot="1" x14ac:dyDescent="0.35">
      <c r="A2235" s="398"/>
      <c r="B2235" s="398"/>
      <c r="C2235" s="93">
        <v>22000</v>
      </c>
      <c r="D2235" s="401"/>
      <c r="E2235" s="398"/>
      <c r="F2235" s="398"/>
      <c r="G2235" s="398"/>
      <c r="H2235" s="398"/>
      <c r="I2235" s="398"/>
      <c r="J2235" s="398"/>
      <c r="K2235" s="398"/>
      <c r="L2235" s="398"/>
      <c r="M2235" s="398"/>
      <c r="N2235" s="398"/>
      <c r="O2235" s="398"/>
      <c r="P2235" s="88"/>
      <c r="Q2235" s="398"/>
    </row>
    <row r="2236" spans="1:20" ht="15" hidden="1" customHeight="1" x14ac:dyDescent="0.3">
      <c r="A2236" s="396">
        <v>602</v>
      </c>
      <c r="B2236" s="396" t="s">
        <v>174</v>
      </c>
      <c r="C2236" s="91">
        <v>10600</v>
      </c>
      <c r="D2236" s="399">
        <v>0</v>
      </c>
      <c r="E2236" s="396" t="s">
        <v>13</v>
      </c>
      <c r="F2236" s="396">
        <v>1000</v>
      </c>
      <c r="G2236" s="396">
        <v>1000</v>
      </c>
      <c r="H2236" s="396" t="s">
        <v>50</v>
      </c>
      <c r="I2236" s="396" t="s">
        <v>13</v>
      </c>
      <c r="J2236" s="396" t="s">
        <v>13</v>
      </c>
      <c r="K2236" s="396" t="s">
        <v>13</v>
      </c>
      <c r="L2236" s="396" t="s">
        <v>13</v>
      </c>
      <c r="M2236" s="396" t="s">
        <v>14</v>
      </c>
      <c r="N2236" s="396" t="s">
        <v>407</v>
      </c>
      <c r="O2236" s="396" t="s">
        <v>27</v>
      </c>
      <c r="P2236" s="86"/>
      <c r="Q2236" s="396" t="s">
        <v>184</v>
      </c>
    </row>
    <row r="2237" spans="1:20" ht="15" customHeight="1" x14ac:dyDescent="0.3">
      <c r="A2237" s="397"/>
      <c r="B2237" s="397"/>
      <c r="C2237" s="92">
        <v>3950</v>
      </c>
      <c r="D2237" s="400"/>
      <c r="E2237" s="397"/>
      <c r="F2237" s="397"/>
      <c r="G2237" s="397"/>
      <c r="H2237" s="397"/>
      <c r="I2237" s="397"/>
      <c r="J2237" s="397"/>
      <c r="K2237" s="397"/>
      <c r="L2237" s="397"/>
      <c r="M2237" s="397"/>
      <c r="N2237" s="397"/>
      <c r="O2237" s="397"/>
      <c r="P2237" s="230">
        <v>44066</v>
      </c>
      <c r="Q2237" s="397"/>
      <c r="T2237" s="200">
        <v>1</v>
      </c>
    </row>
    <row r="2238" spans="1:20" ht="15" customHeight="1" thickBot="1" x14ac:dyDescent="0.35">
      <c r="A2238" s="398"/>
      <c r="B2238" s="398"/>
      <c r="C2238" s="93">
        <v>14750</v>
      </c>
      <c r="D2238" s="401"/>
      <c r="E2238" s="398"/>
      <c r="F2238" s="398"/>
      <c r="G2238" s="398"/>
      <c r="H2238" s="398"/>
      <c r="I2238" s="398"/>
      <c r="J2238" s="398"/>
      <c r="K2238" s="398"/>
      <c r="L2238" s="398"/>
      <c r="M2238" s="398"/>
      <c r="N2238" s="398"/>
      <c r="O2238" s="398"/>
      <c r="P2238" s="88"/>
      <c r="Q2238" s="398"/>
    </row>
    <row r="2239" spans="1:20" ht="15" hidden="1" customHeight="1" x14ac:dyDescent="0.3">
      <c r="A2239" s="396">
        <v>603</v>
      </c>
      <c r="B2239" s="396" t="s">
        <v>174</v>
      </c>
      <c r="C2239" s="91">
        <v>10600</v>
      </c>
      <c r="D2239" s="399">
        <v>0</v>
      </c>
      <c r="E2239" s="396" t="s">
        <v>13</v>
      </c>
      <c r="F2239" s="396">
        <v>1000</v>
      </c>
      <c r="G2239" s="396">
        <v>1000</v>
      </c>
      <c r="H2239" s="396" t="s">
        <v>25</v>
      </c>
      <c r="I2239" s="396" t="s">
        <v>13</v>
      </c>
      <c r="J2239" s="396" t="s">
        <v>13</v>
      </c>
      <c r="K2239" s="396" t="s">
        <v>13</v>
      </c>
      <c r="L2239" s="396" t="s">
        <v>13</v>
      </c>
      <c r="M2239" s="396" t="s">
        <v>14</v>
      </c>
      <c r="N2239" s="396" t="s">
        <v>407</v>
      </c>
      <c r="O2239" s="396" t="s">
        <v>27</v>
      </c>
      <c r="P2239" s="86"/>
      <c r="Q2239" s="396" t="s">
        <v>184</v>
      </c>
    </row>
    <row r="2240" spans="1:20" ht="15" customHeight="1" x14ac:dyDescent="0.3">
      <c r="A2240" s="397"/>
      <c r="B2240" s="397"/>
      <c r="C2240" s="92">
        <v>3900</v>
      </c>
      <c r="D2240" s="400"/>
      <c r="E2240" s="397"/>
      <c r="F2240" s="397"/>
      <c r="G2240" s="397"/>
      <c r="H2240" s="397"/>
      <c r="I2240" s="397"/>
      <c r="J2240" s="397"/>
      <c r="K2240" s="397"/>
      <c r="L2240" s="397"/>
      <c r="M2240" s="397"/>
      <c r="N2240" s="397"/>
      <c r="O2240" s="397"/>
      <c r="P2240" s="230">
        <v>44066</v>
      </c>
      <c r="Q2240" s="397"/>
      <c r="T2240" s="200">
        <v>1</v>
      </c>
    </row>
    <row r="2241" spans="1:20" ht="15" customHeight="1" thickBot="1" x14ac:dyDescent="0.35">
      <c r="A2241" s="398"/>
      <c r="B2241" s="398"/>
      <c r="C2241" s="93">
        <v>19000</v>
      </c>
      <c r="D2241" s="401"/>
      <c r="E2241" s="398"/>
      <c r="F2241" s="398"/>
      <c r="G2241" s="398"/>
      <c r="H2241" s="398"/>
      <c r="I2241" s="398"/>
      <c r="J2241" s="398"/>
      <c r="K2241" s="398"/>
      <c r="L2241" s="398"/>
      <c r="M2241" s="398"/>
      <c r="N2241" s="398"/>
      <c r="O2241" s="398"/>
      <c r="P2241" s="88"/>
      <c r="Q2241" s="398"/>
    </row>
    <row r="2242" spans="1:20" ht="15" hidden="1" customHeight="1" x14ac:dyDescent="0.3">
      <c r="A2242" s="396">
        <v>604</v>
      </c>
      <c r="B2242" s="396" t="s">
        <v>174</v>
      </c>
      <c r="C2242" s="91">
        <v>10600</v>
      </c>
      <c r="D2242" s="399">
        <v>0</v>
      </c>
      <c r="E2242" s="396" t="s">
        <v>13</v>
      </c>
      <c r="F2242" s="396">
        <v>1000</v>
      </c>
      <c r="G2242" s="396">
        <v>1000</v>
      </c>
      <c r="H2242" s="396" t="s">
        <v>25</v>
      </c>
      <c r="I2242" s="396" t="s">
        <v>13</v>
      </c>
      <c r="J2242" s="396" t="s">
        <v>13</v>
      </c>
      <c r="K2242" s="396" t="s">
        <v>13</v>
      </c>
      <c r="L2242" s="396" t="s">
        <v>13</v>
      </c>
      <c r="M2242" s="396" t="s">
        <v>14</v>
      </c>
      <c r="N2242" s="396" t="s">
        <v>407</v>
      </c>
      <c r="O2242" s="396" t="s">
        <v>27</v>
      </c>
      <c r="P2242" s="86"/>
      <c r="Q2242" s="396" t="s">
        <v>184</v>
      </c>
    </row>
    <row r="2243" spans="1:20" ht="15" customHeight="1" x14ac:dyDescent="0.3">
      <c r="A2243" s="397"/>
      <c r="B2243" s="397"/>
      <c r="C2243" s="92">
        <v>4400</v>
      </c>
      <c r="D2243" s="400"/>
      <c r="E2243" s="397"/>
      <c r="F2243" s="397"/>
      <c r="G2243" s="397"/>
      <c r="H2243" s="397"/>
      <c r="I2243" s="397"/>
      <c r="J2243" s="397"/>
      <c r="K2243" s="397"/>
      <c r="L2243" s="397"/>
      <c r="M2243" s="397"/>
      <c r="N2243" s="397"/>
      <c r="O2243" s="397"/>
      <c r="P2243" s="230">
        <v>44066</v>
      </c>
      <c r="Q2243" s="397"/>
      <c r="T2243" s="200">
        <v>1</v>
      </c>
    </row>
    <row r="2244" spans="1:20" ht="15" customHeight="1" thickBot="1" x14ac:dyDescent="0.35">
      <c r="A2244" s="398"/>
      <c r="B2244" s="398"/>
      <c r="C2244" s="93">
        <v>19000</v>
      </c>
      <c r="D2244" s="401"/>
      <c r="E2244" s="398"/>
      <c r="F2244" s="398"/>
      <c r="G2244" s="398"/>
      <c r="H2244" s="398"/>
      <c r="I2244" s="398"/>
      <c r="J2244" s="398"/>
      <c r="K2244" s="398"/>
      <c r="L2244" s="398"/>
      <c r="M2244" s="398"/>
      <c r="N2244" s="398"/>
      <c r="O2244" s="398"/>
      <c r="P2244" s="88"/>
      <c r="Q2244" s="398"/>
    </row>
    <row r="2245" spans="1:20" ht="15" hidden="1" customHeight="1" x14ac:dyDescent="0.3">
      <c r="A2245" s="396">
        <v>605</v>
      </c>
      <c r="B2245" s="396" t="s">
        <v>174</v>
      </c>
      <c r="C2245" s="91">
        <v>16000</v>
      </c>
      <c r="D2245" s="399">
        <v>0</v>
      </c>
      <c r="E2245" s="396" t="s">
        <v>13</v>
      </c>
      <c r="F2245" s="396">
        <v>1000</v>
      </c>
      <c r="G2245" s="396">
        <v>1000</v>
      </c>
      <c r="H2245" s="396" t="s">
        <v>25</v>
      </c>
      <c r="I2245" s="396" t="s">
        <v>13</v>
      </c>
      <c r="J2245" s="396" t="s">
        <v>13</v>
      </c>
      <c r="K2245" s="396" t="s">
        <v>13</v>
      </c>
      <c r="L2245" s="396" t="s">
        <v>13</v>
      </c>
      <c r="M2245" s="396" t="s">
        <v>14</v>
      </c>
      <c r="N2245" s="396" t="s">
        <v>408</v>
      </c>
      <c r="O2245" s="396" t="s">
        <v>27</v>
      </c>
      <c r="P2245" s="86"/>
      <c r="Q2245" s="396" t="s">
        <v>184</v>
      </c>
    </row>
    <row r="2246" spans="1:20" ht="15" customHeight="1" x14ac:dyDescent="0.3">
      <c r="A2246" s="397"/>
      <c r="B2246" s="397"/>
      <c r="C2246" s="92">
        <v>-9210</v>
      </c>
      <c r="D2246" s="400"/>
      <c r="E2246" s="397"/>
      <c r="F2246" s="397"/>
      <c r="G2246" s="397"/>
      <c r="H2246" s="397"/>
      <c r="I2246" s="397"/>
      <c r="J2246" s="397"/>
      <c r="K2246" s="397"/>
      <c r="L2246" s="397"/>
      <c r="M2246" s="397"/>
      <c r="N2246" s="397"/>
      <c r="O2246" s="397"/>
      <c r="P2246" s="230">
        <v>44066</v>
      </c>
      <c r="Q2246" s="397"/>
      <c r="T2246" s="200">
        <v>1</v>
      </c>
    </row>
    <row r="2247" spans="1:20" ht="15" customHeight="1" thickBot="1" x14ac:dyDescent="0.35">
      <c r="A2247" s="398"/>
      <c r="B2247" s="398"/>
      <c r="C2247" s="93">
        <v>19900</v>
      </c>
      <c r="D2247" s="401"/>
      <c r="E2247" s="398"/>
      <c r="F2247" s="398"/>
      <c r="G2247" s="398"/>
      <c r="H2247" s="398"/>
      <c r="I2247" s="398"/>
      <c r="J2247" s="398"/>
      <c r="K2247" s="398"/>
      <c r="L2247" s="398"/>
      <c r="M2247" s="398"/>
      <c r="N2247" s="398"/>
      <c r="O2247" s="398"/>
      <c r="P2247" s="88"/>
      <c r="Q2247" s="398"/>
    </row>
    <row r="2248" spans="1:20" ht="15" hidden="1" customHeight="1" x14ac:dyDescent="0.3">
      <c r="A2248" s="367">
        <v>606</v>
      </c>
      <c r="B2248" s="367" t="s">
        <v>174</v>
      </c>
      <c r="C2248" s="40">
        <v>16000</v>
      </c>
      <c r="D2248" s="370">
        <v>0</v>
      </c>
      <c r="E2248" s="367" t="s">
        <v>13</v>
      </c>
      <c r="F2248" s="367">
        <v>1000</v>
      </c>
      <c r="G2248" s="367">
        <v>1000</v>
      </c>
      <c r="H2248" s="367" t="s">
        <v>25</v>
      </c>
      <c r="I2248" s="367" t="s">
        <v>13</v>
      </c>
      <c r="J2248" s="367" t="s">
        <v>13</v>
      </c>
      <c r="K2248" s="367" t="s">
        <v>13</v>
      </c>
      <c r="L2248" s="367" t="s">
        <v>13</v>
      </c>
      <c r="M2248" s="358" t="s">
        <v>14</v>
      </c>
      <c r="N2248" s="396" t="s">
        <v>408</v>
      </c>
      <c r="O2248" s="367" t="s">
        <v>27</v>
      </c>
      <c r="P2248" s="65"/>
      <c r="Q2248" s="367" t="s">
        <v>184</v>
      </c>
      <c r="T2248" s="200">
        <v>1</v>
      </c>
    </row>
    <row r="2249" spans="1:20" ht="15" customHeight="1" x14ac:dyDescent="0.3">
      <c r="A2249" s="368"/>
      <c r="B2249" s="368"/>
      <c r="C2249" s="41">
        <v>-9810</v>
      </c>
      <c r="D2249" s="371"/>
      <c r="E2249" s="368"/>
      <c r="F2249" s="368"/>
      <c r="G2249" s="368"/>
      <c r="H2249" s="368"/>
      <c r="I2249" s="368"/>
      <c r="J2249" s="368"/>
      <c r="K2249" s="368"/>
      <c r="L2249" s="368"/>
      <c r="M2249" s="359"/>
      <c r="N2249" s="397"/>
      <c r="O2249" s="368"/>
      <c r="P2249" s="226">
        <v>44066</v>
      </c>
      <c r="Q2249" s="368"/>
    </row>
    <row r="2250" spans="1:20" ht="15" customHeight="1" thickBot="1" x14ac:dyDescent="0.35">
      <c r="A2250" s="369"/>
      <c r="B2250" s="369"/>
      <c r="C2250" s="42">
        <v>19900</v>
      </c>
      <c r="D2250" s="372"/>
      <c r="E2250" s="369"/>
      <c r="F2250" s="369"/>
      <c r="G2250" s="369"/>
      <c r="H2250" s="369"/>
      <c r="I2250" s="369"/>
      <c r="J2250" s="369"/>
      <c r="K2250" s="369"/>
      <c r="L2250" s="369"/>
      <c r="M2250" s="360"/>
      <c r="N2250" s="398"/>
      <c r="O2250" s="369"/>
      <c r="P2250" s="67"/>
      <c r="Q2250" s="369"/>
    </row>
    <row r="2251" spans="1:20" ht="15" hidden="1" customHeight="1" x14ac:dyDescent="0.3">
      <c r="A2251" s="367">
        <v>607</v>
      </c>
      <c r="B2251" s="367" t="s">
        <v>48</v>
      </c>
      <c r="C2251" s="40">
        <v>14057</v>
      </c>
      <c r="D2251" s="367">
        <v>1</v>
      </c>
      <c r="E2251" s="367" t="s">
        <v>269</v>
      </c>
      <c r="F2251" s="370">
        <v>1000</v>
      </c>
      <c r="G2251" s="367">
        <v>1000</v>
      </c>
      <c r="H2251" s="367" t="s">
        <v>96</v>
      </c>
      <c r="I2251" s="367">
        <v>300</v>
      </c>
      <c r="J2251" s="370" t="s">
        <v>45</v>
      </c>
      <c r="K2251" s="367">
        <v>100</v>
      </c>
      <c r="L2251" s="367">
        <v>103</v>
      </c>
      <c r="M2251" s="358" t="s">
        <v>14</v>
      </c>
      <c r="N2251" s="396" t="s">
        <v>408</v>
      </c>
      <c r="O2251" s="367" t="s">
        <v>27</v>
      </c>
      <c r="P2251" s="316"/>
      <c r="Q2251" s="370" t="s">
        <v>406</v>
      </c>
      <c r="R2251" s="186">
        <v>44096</v>
      </c>
      <c r="T2251" s="200">
        <v>1</v>
      </c>
    </row>
    <row r="2252" spans="1:20" ht="15" customHeight="1" x14ac:dyDescent="0.3">
      <c r="A2252" s="368"/>
      <c r="B2252" s="368"/>
      <c r="C2252" s="41">
        <v>-12800</v>
      </c>
      <c r="D2252" s="368"/>
      <c r="E2252" s="368"/>
      <c r="F2252" s="371"/>
      <c r="G2252" s="368"/>
      <c r="H2252" s="368"/>
      <c r="I2252" s="368"/>
      <c r="J2252" s="371"/>
      <c r="K2252" s="368"/>
      <c r="L2252" s="368"/>
      <c r="M2252" s="359"/>
      <c r="N2252" s="397"/>
      <c r="O2252" s="368"/>
      <c r="P2252" s="226">
        <v>44096</v>
      </c>
      <c r="Q2252" s="371"/>
    </row>
    <row r="2253" spans="1:20" ht="15" customHeight="1" thickBot="1" x14ac:dyDescent="0.35">
      <c r="A2253" s="369"/>
      <c r="B2253" s="369"/>
      <c r="C2253" s="42">
        <v>16300</v>
      </c>
      <c r="D2253" s="369"/>
      <c r="E2253" s="369"/>
      <c r="F2253" s="372"/>
      <c r="G2253" s="369"/>
      <c r="H2253" s="369"/>
      <c r="I2253" s="369"/>
      <c r="J2253" s="372"/>
      <c r="K2253" s="369"/>
      <c r="L2253" s="369"/>
      <c r="M2253" s="360"/>
      <c r="N2253" s="398"/>
      <c r="O2253" s="369"/>
      <c r="P2253" s="317"/>
      <c r="Q2253" s="372"/>
    </row>
    <row r="2254" spans="1:20" ht="15" hidden="1" customHeight="1" x14ac:dyDescent="0.3">
      <c r="A2254" s="414">
        <v>608</v>
      </c>
      <c r="B2254" s="414" t="s">
        <v>174</v>
      </c>
      <c r="C2254" s="106">
        <v>3990</v>
      </c>
      <c r="D2254" s="414">
        <v>0</v>
      </c>
      <c r="E2254" s="414" t="s">
        <v>13</v>
      </c>
      <c r="F2254" s="414">
        <v>1000</v>
      </c>
      <c r="G2254" s="414">
        <v>1000</v>
      </c>
      <c r="H2254" s="414" t="s">
        <v>50</v>
      </c>
      <c r="I2254" s="414" t="s">
        <v>13</v>
      </c>
      <c r="J2254" s="414" t="s">
        <v>13</v>
      </c>
      <c r="K2254" s="414" t="s">
        <v>13</v>
      </c>
      <c r="L2254" s="414" t="s">
        <v>13</v>
      </c>
      <c r="M2254" s="417" t="s">
        <v>14</v>
      </c>
      <c r="N2254" s="420" t="s">
        <v>90</v>
      </c>
      <c r="O2254" s="414" t="s">
        <v>27</v>
      </c>
      <c r="P2254" s="105"/>
      <c r="Q2254" s="414" t="s">
        <v>184</v>
      </c>
      <c r="T2254" s="200">
        <v>1</v>
      </c>
    </row>
    <row r="2255" spans="1:20" ht="15" customHeight="1" x14ac:dyDescent="0.3">
      <c r="A2255" s="415"/>
      <c r="B2255" s="415"/>
      <c r="C2255" s="107">
        <v>-15920</v>
      </c>
      <c r="D2255" s="415"/>
      <c r="E2255" s="415"/>
      <c r="F2255" s="415"/>
      <c r="G2255" s="415"/>
      <c r="H2255" s="415"/>
      <c r="I2255" s="415"/>
      <c r="J2255" s="415"/>
      <c r="K2255" s="415"/>
      <c r="L2255" s="415"/>
      <c r="M2255" s="418"/>
      <c r="N2255" s="421"/>
      <c r="O2255" s="415"/>
      <c r="P2255" s="229">
        <v>44066</v>
      </c>
      <c r="Q2255" s="415"/>
    </row>
    <row r="2256" spans="1:20" ht="15" customHeight="1" thickBot="1" x14ac:dyDescent="0.35">
      <c r="A2256" s="416"/>
      <c r="B2256" s="416"/>
      <c r="C2256" s="109">
        <v>24500</v>
      </c>
      <c r="D2256" s="416"/>
      <c r="E2256" s="416"/>
      <c r="F2256" s="416"/>
      <c r="G2256" s="416"/>
      <c r="H2256" s="416"/>
      <c r="I2256" s="416"/>
      <c r="J2256" s="416"/>
      <c r="K2256" s="416"/>
      <c r="L2256" s="416"/>
      <c r="M2256" s="419"/>
      <c r="N2256" s="422"/>
      <c r="O2256" s="416"/>
      <c r="P2256" s="108"/>
      <c r="Q2256" s="416"/>
    </row>
    <row r="2257" spans="1:20" ht="15" hidden="1" customHeight="1" x14ac:dyDescent="0.3">
      <c r="A2257" s="414">
        <v>609</v>
      </c>
      <c r="B2257" s="414" t="s">
        <v>174</v>
      </c>
      <c r="C2257" s="106">
        <v>3990</v>
      </c>
      <c r="D2257" s="414">
        <v>0</v>
      </c>
      <c r="E2257" s="414" t="s">
        <v>13</v>
      </c>
      <c r="F2257" s="414">
        <v>1000</v>
      </c>
      <c r="G2257" s="414">
        <v>1000</v>
      </c>
      <c r="H2257" s="414" t="s">
        <v>50</v>
      </c>
      <c r="I2257" s="414" t="s">
        <v>13</v>
      </c>
      <c r="J2257" s="414" t="s">
        <v>13</v>
      </c>
      <c r="K2257" s="414" t="s">
        <v>13</v>
      </c>
      <c r="L2257" s="414" t="s">
        <v>13</v>
      </c>
      <c r="M2257" s="417" t="s">
        <v>14</v>
      </c>
      <c r="N2257" s="420" t="s">
        <v>90</v>
      </c>
      <c r="O2257" s="414" t="s">
        <v>27</v>
      </c>
      <c r="P2257" s="105"/>
      <c r="Q2257" s="414" t="s">
        <v>184</v>
      </c>
      <c r="T2257" s="200">
        <v>1</v>
      </c>
    </row>
    <row r="2258" spans="1:20" ht="15" customHeight="1" x14ac:dyDescent="0.3">
      <c r="A2258" s="415"/>
      <c r="B2258" s="415"/>
      <c r="C2258" s="107">
        <v>-15620</v>
      </c>
      <c r="D2258" s="415"/>
      <c r="E2258" s="415"/>
      <c r="F2258" s="415"/>
      <c r="G2258" s="415"/>
      <c r="H2258" s="415"/>
      <c r="I2258" s="415"/>
      <c r="J2258" s="415"/>
      <c r="K2258" s="415"/>
      <c r="L2258" s="415"/>
      <c r="M2258" s="418"/>
      <c r="N2258" s="421"/>
      <c r="O2258" s="415"/>
      <c r="P2258" s="229">
        <v>44066</v>
      </c>
      <c r="Q2258" s="415"/>
    </row>
    <row r="2259" spans="1:20" ht="15" customHeight="1" thickBot="1" x14ac:dyDescent="0.35">
      <c r="A2259" s="416"/>
      <c r="B2259" s="416"/>
      <c r="C2259" s="109">
        <v>24500</v>
      </c>
      <c r="D2259" s="416"/>
      <c r="E2259" s="416"/>
      <c r="F2259" s="416"/>
      <c r="G2259" s="416"/>
      <c r="H2259" s="416"/>
      <c r="I2259" s="416"/>
      <c r="J2259" s="416"/>
      <c r="K2259" s="416"/>
      <c r="L2259" s="416"/>
      <c r="M2259" s="419"/>
      <c r="N2259" s="422"/>
      <c r="O2259" s="416"/>
      <c r="P2259" s="108"/>
      <c r="Q2259" s="416"/>
    </row>
    <row r="2260" spans="1:20" ht="15" hidden="1" customHeight="1" x14ac:dyDescent="0.3">
      <c r="A2260" s="414">
        <v>610</v>
      </c>
      <c r="B2260" s="414" t="s">
        <v>174</v>
      </c>
      <c r="C2260" s="106">
        <v>-1000</v>
      </c>
      <c r="D2260" s="414">
        <v>0</v>
      </c>
      <c r="E2260" s="414" t="s">
        <v>13</v>
      </c>
      <c r="F2260" s="414">
        <v>1000</v>
      </c>
      <c r="G2260" s="414">
        <v>1000</v>
      </c>
      <c r="H2260" s="414" t="s">
        <v>30</v>
      </c>
      <c r="I2260" s="414" t="s">
        <v>13</v>
      </c>
      <c r="J2260" s="414" t="s">
        <v>13</v>
      </c>
      <c r="K2260" s="414" t="s">
        <v>13</v>
      </c>
      <c r="L2260" s="414" t="s">
        <v>13</v>
      </c>
      <c r="M2260" s="417" t="s">
        <v>14</v>
      </c>
      <c r="N2260" s="420" t="s">
        <v>408</v>
      </c>
      <c r="O2260" s="414" t="s">
        <v>27</v>
      </c>
      <c r="P2260" s="105"/>
      <c r="Q2260" s="414" t="s">
        <v>184</v>
      </c>
      <c r="T2260" s="200">
        <v>1</v>
      </c>
    </row>
    <row r="2261" spans="1:20" ht="15" customHeight="1" x14ac:dyDescent="0.3">
      <c r="A2261" s="415"/>
      <c r="B2261" s="415"/>
      <c r="C2261" s="107">
        <v>-19800</v>
      </c>
      <c r="D2261" s="415"/>
      <c r="E2261" s="415"/>
      <c r="F2261" s="415"/>
      <c r="G2261" s="415"/>
      <c r="H2261" s="415"/>
      <c r="I2261" s="415"/>
      <c r="J2261" s="415"/>
      <c r="K2261" s="415"/>
      <c r="L2261" s="415"/>
      <c r="M2261" s="418"/>
      <c r="N2261" s="421"/>
      <c r="O2261" s="415"/>
      <c r="P2261" s="229">
        <v>44066</v>
      </c>
      <c r="Q2261" s="415"/>
    </row>
    <row r="2262" spans="1:20" ht="15" customHeight="1" thickBot="1" x14ac:dyDescent="0.35">
      <c r="A2262" s="416"/>
      <c r="B2262" s="416"/>
      <c r="C2262" s="109">
        <v>18000</v>
      </c>
      <c r="D2262" s="416"/>
      <c r="E2262" s="416"/>
      <c r="F2262" s="416"/>
      <c r="G2262" s="416"/>
      <c r="H2262" s="416"/>
      <c r="I2262" s="416"/>
      <c r="J2262" s="416"/>
      <c r="K2262" s="416"/>
      <c r="L2262" s="416"/>
      <c r="M2262" s="419"/>
      <c r="N2262" s="422"/>
      <c r="O2262" s="416"/>
      <c r="P2262" s="108"/>
      <c r="Q2262" s="416"/>
    </row>
    <row r="2263" spans="1:20" ht="15" hidden="1" customHeight="1" x14ac:dyDescent="0.3">
      <c r="A2263" s="414">
        <v>611</v>
      </c>
      <c r="B2263" s="414" t="s">
        <v>174</v>
      </c>
      <c r="C2263" s="106">
        <v>-800</v>
      </c>
      <c r="D2263" s="414">
        <v>0</v>
      </c>
      <c r="E2263" s="414" t="s">
        <v>13</v>
      </c>
      <c r="F2263" s="414">
        <v>1000</v>
      </c>
      <c r="G2263" s="414">
        <v>1000</v>
      </c>
      <c r="H2263" s="414" t="s">
        <v>30</v>
      </c>
      <c r="I2263" s="414" t="s">
        <v>13</v>
      </c>
      <c r="J2263" s="414" t="s">
        <v>13</v>
      </c>
      <c r="K2263" s="414" t="s">
        <v>13</v>
      </c>
      <c r="L2263" s="414" t="s">
        <v>13</v>
      </c>
      <c r="M2263" s="417" t="s">
        <v>14</v>
      </c>
      <c r="N2263" s="420" t="s">
        <v>408</v>
      </c>
      <c r="O2263" s="414" t="s">
        <v>27</v>
      </c>
      <c r="P2263" s="105"/>
      <c r="Q2263" s="414" t="s">
        <v>184</v>
      </c>
    </row>
    <row r="2264" spans="1:20" ht="15" customHeight="1" x14ac:dyDescent="0.3">
      <c r="A2264" s="415"/>
      <c r="B2264" s="415"/>
      <c r="C2264" s="107">
        <v>-19800</v>
      </c>
      <c r="D2264" s="415"/>
      <c r="E2264" s="415"/>
      <c r="F2264" s="415"/>
      <c r="G2264" s="415"/>
      <c r="H2264" s="415"/>
      <c r="I2264" s="415"/>
      <c r="J2264" s="415"/>
      <c r="K2264" s="415"/>
      <c r="L2264" s="415"/>
      <c r="M2264" s="418"/>
      <c r="N2264" s="421"/>
      <c r="O2264" s="415"/>
      <c r="P2264" s="229">
        <v>44066</v>
      </c>
      <c r="Q2264" s="415"/>
      <c r="T2264" s="200">
        <v>1</v>
      </c>
    </row>
    <row r="2265" spans="1:20" ht="15" customHeight="1" thickBot="1" x14ac:dyDescent="0.35">
      <c r="A2265" s="416"/>
      <c r="B2265" s="416"/>
      <c r="C2265" s="109">
        <v>17800</v>
      </c>
      <c r="D2265" s="416"/>
      <c r="E2265" s="416"/>
      <c r="F2265" s="416"/>
      <c r="G2265" s="416"/>
      <c r="H2265" s="416"/>
      <c r="I2265" s="416"/>
      <c r="J2265" s="416"/>
      <c r="K2265" s="416"/>
      <c r="L2265" s="416"/>
      <c r="M2265" s="419"/>
      <c r="N2265" s="422"/>
      <c r="O2265" s="416"/>
      <c r="P2265" s="108"/>
      <c r="Q2265" s="416"/>
    </row>
    <row r="2266" spans="1:20" ht="15" hidden="1" customHeight="1" x14ac:dyDescent="0.3">
      <c r="A2266" s="414">
        <v>612</v>
      </c>
      <c r="B2266" s="414" t="s">
        <v>174</v>
      </c>
      <c r="C2266" s="106">
        <v>-800</v>
      </c>
      <c r="D2266" s="414">
        <v>0</v>
      </c>
      <c r="E2266" s="414" t="s">
        <v>13</v>
      </c>
      <c r="F2266" s="414">
        <v>1000</v>
      </c>
      <c r="G2266" s="414">
        <v>1000</v>
      </c>
      <c r="H2266" s="414" t="s">
        <v>30</v>
      </c>
      <c r="I2266" s="414" t="s">
        <v>13</v>
      </c>
      <c r="J2266" s="414" t="s">
        <v>13</v>
      </c>
      <c r="K2266" s="414" t="s">
        <v>13</v>
      </c>
      <c r="L2266" s="414" t="s">
        <v>13</v>
      </c>
      <c r="M2266" s="417" t="s">
        <v>14</v>
      </c>
      <c r="N2266" s="420" t="s">
        <v>408</v>
      </c>
      <c r="O2266" s="414" t="s">
        <v>27</v>
      </c>
      <c r="P2266" s="105"/>
      <c r="Q2266" s="414" t="s">
        <v>184</v>
      </c>
    </row>
    <row r="2267" spans="1:20" ht="15" customHeight="1" x14ac:dyDescent="0.3">
      <c r="A2267" s="415"/>
      <c r="B2267" s="415"/>
      <c r="C2267" s="107">
        <v>-19800</v>
      </c>
      <c r="D2267" s="415"/>
      <c r="E2267" s="415"/>
      <c r="F2267" s="415"/>
      <c r="G2267" s="415"/>
      <c r="H2267" s="415"/>
      <c r="I2267" s="415"/>
      <c r="J2267" s="415"/>
      <c r="K2267" s="415"/>
      <c r="L2267" s="415"/>
      <c r="M2267" s="418"/>
      <c r="N2267" s="421"/>
      <c r="O2267" s="415"/>
      <c r="P2267" s="229">
        <v>44066</v>
      </c>
      <c r="Q2267" s="415"/>
      <c r="T2267" s="200">
        <v>1</v>
      </c>
    </row>
    <row r="2268" spans="1:20" ht="15" customHeight="1" thickBot="1" x14ac:dyDescent="0.35">
      <c r="A2268" s="416"/>
      <c r="B2268" s="416"/>
      <c r="C2268" s="109">
        <v>18000</v>
      </c>
      <c r="D2268" s="416"/>
      <c r="E2268" s="416"/>
      <c r="F2268" s="416"/>
      <c r="G2268" s="416"/>
      <c r="H2268" s="416"/>
      <c r="I2268" s="416"/>
      <c r="J2268" s="416"/>
      <c r="K2268" s="416"/>
      <c r="L2268" s="416"/>
      <c r="M2268" s="419"/>
      <c r="N2268" s="422"/>
      <c r="O2268" s="416"/>
      <c r="P2268" s="108"/>
      <c r="Q2268" s="416"/>
    </row>
    <row r="2269" spans="1:20" ht="15" hidden="1" customHeight="1" x14ac:dyDescent="0.3">
      <c r="A2269" s="414">
        <v>613</v>
      </c>
      <c r="B2269" s="414" t="s">
        <v>174</v>
      </c>
      <c r="C2269" s="106">
        <v>-1000</v>
      </c>
      <c r="D2269" s="414">
        <v>0</v>
      </c>
      <c r="E2269" s="414" t="s">
        <v>13</v>
      </c>
      <c r="F2269" s="414">
        <v>1000</v>
      </c>
      <c r="G2269" s="414">
        <v>1000</v>
      </c>
      <c r="H2269" s="414" t="s">
        <v>30</v>
      </c>
      <c r="I2269" s="414" t="s">
        <v>13</v>
      </c>
      <c r="J2269" s="414" t="s">
        <v>13</v>
      </c>
      <c r="K2269" s="414" t="s">
        <v>13</v>
      </c>
      <c r="L2269" s="414" t="s">
        <v>13</v>
      </c>
      <c r="M2269" s="417" t="s">
        <v>14</v>
      </c>
      <c r="N2269" s="420" t="s">
        <v>408</v>
      </c>
      <c r="O2269" s="414" t="s">
        <v>27</v>
      </c>
      <c r="P2269" s="105"/>
      <c r="Q2269" s="414" t="s">
        <v>184</v>
      </c>
      <c r="T2269" s="200">
        <v>1</v>
      </c>
    </row>
    <row r="2270" spans="1:20" ht="15" customHeight="1" x14ac:dyDescent="0.3">
      <c r="A2270" s="415"/>
      <c r="B2270" s="415"/>
      <c r="C2270" s="107">
        <v>-19800</v>
      </c>
      <c r="D2270" s="415"/>
      <c r="E2270" s="415"/>
      <c r="F2270" s="415"/>
      <c r="G2270" s="415"/>
      <c r="H2270" s="415"/>
      <c r="I2270" s="415"/>
      <c r="J2270" s="415"/>
      <c r="K2270" s="415"/>
      <c r="L2270" s="415"/>
      <c r="M2270" s="418"/>
      <c r="N2270" s="421"/>
      <c r="O2270" s="415"/>
      <c r="P2270" s="229">
        <v>44066</v>
      </c>
      <c r="Q2270" s="415"/>
    </row>
    <row r="2271" spans="1:20" ht="15" customHeight="1" thickBot="1" x14ac:dyDescent="0.35">
      <c r="A2271" s="416"/>
      <c r="B2271" s="416"/>
      <c r="C2271" s="109">
        <v>17800</v>
      </c>
      <c r="D2271" s="416"/>
      <c r="E2271" s="416"/>
      <c r="F2271" s="416"/>
      <c r="G2271" s="416"/>
      <c r="H2271" s="416"/>
      <c r="I2271" s="416"/>
      <c r="J2271" s="416"/>
      <c r="K2271" s="416"/>
      <c r="L2271" s="416"/>
      <c r="M2271" s="419"/>
      <c r="N2271" s="422"/>
      <c r="O2271" s="416"/>
      <c r="P2271" s="108"/>
      <c r="Q2271" s="416"/>
    </row>
    <row r="2272" spans="1:20" ht="15" hidden="1" customHeight="1" x14ac:dyDescent="0.3">
      <c r="A2272" s="414">
        <v>614</v>
      </c>
      <c r="B2272" s="414" t="s">
        <v>327</v>
      </c>
      <c r="C2272" s="106">
        <v>-800</v>
      </c>
      <c r="D2272" s="414">
        <v>1</v>
      </c>
      <c r="E2272" s="414" t="s">
        <v>168</v>
      </c>
      <c r="F2272" s="414">
        <v>1000</v>
      </c>
      <c r="G2272" s="414">
        <v>1000</v>
      </c>
      <c r="H2272" s="414" t="s">
        <v>30</v>
      </c>
      <c r="I2272" s="414">
        <v>296</v>
      </c>
      <c r="J2272" s="414" t="s">
        <v>45</v>
      </c>
      <c r="K2272" s="414">
        <v>40</v>
      </c>
      <c r="L2272" s="414">
        <v>-6</v>
      </c>
      <c r="M2272" s="417" t="s">
        <v>14</v>
      </c>
      <c r="N2272" s="420" t="s">
        <v>408</v>
      </c>
      <c r="O2272" s="414" t="s">
        <v>27</v>
      </c>
      <c r="P2272" s="131"/>
      <c r="Q2272" s="414" t="s">
        <v>409</v>
      </c>
      <c r="R2272" s="350">
        <v>44042</v>
      </c>
      <c r="T2272" s="200">
        <v>1</v>
      </c>
    </row>
    <row r="2273" spans="1:20" ht="15" customHeight="1" x14ac:dyDescent="0.3">
      <c r="A2273" s="415"/>
      <c r="B2273" s="415"/>
      <c r="C2273" s="107">
        <v>-19800</v>
      </c>
      <c r="D2273" s="415"/>
      <c r="E2273" s="415"/>
      <c r="F2273" s="415"/>
      <c r="G2273" s="415"/>
      <c r="H2273" s="415"/>
      <c r="I2273" s="415"/>
      <c r="J2273" s="415"/>
      <c r="K2273" s="415"/>
      <c r="L2273" s="415"/>
      <c r="M2273" s="418"/>
      <c r="N2273" s="421"/>
      <c r="O2273" s="415"/>
      <c r="P2273" s="229">
        <v>44066</v>
      </c>
      <c r="Q2273" s="415"/>
      <c r="R2273" s="351"/>
    </row>
    <row r="2274" spans="1:20" ht="15" customHeight="1" thickBot="1" x14ac:dyDescent="0.35">
      <c r="A2274" s="416"/>
      <c r="B2274" s="416"/>
      <c r="C2274" s="109">
        <v>19800</v>
      </c>
      <c r="D2274" s="416"/>
      <c r="E2274" s="416"/>
      <c r="F2274" s="416"/>
      <c r="G2274" s="416"/>
      <c r="H2274" s="416"/>
      <c r="I2274" s="416"/>
      <c r="J2274" s="416"/>
      <c r="K2274" s="416"/>
      <c r="L2274" s="416"/>
      <c r="M2274" s="419"/>
      <c r="N2274" s="422"/>
      <c r="O2274" s="416"/>
      <c r="P2274" s="132"/>
      <c r="Q2274" s="416"/>
      <c r="R2274" s="351"/>
    </row>
    <row r="2275" spans="1:20" ht="15" hidden="1" customHeight="1" x14ac:dyDescent="0.3">
      <c r="A2275" s="414">
        <v>615</v>
      </c>
      <c r="B2275" s="414" t="s">
        <v>174</v>
      </c>
      <c r="C2275" s="106">
        <v>-800</v>
      </c>
      <c r="D2275" s="414">
        <v>0</v>
      </c>
      <c r="E2275" s="414" t="s">
        <v>13</v>
      </c>
      <c r="F2275" s="414">
        <v>1000</v>
      </c>
      <c r="G2275" s="414">
        <v>1000</v>
      </c>
      <c r="H2275" s="414" t="s">
        <v>30</v>
      </c>
      <c r="I2275" s="414" t="s">
        <v>13</v>
      </c>
      <c r="J2275" s="414" t="s">
        <v>13</v>
      </c>
      <c r="K2275" s="414" t="s">
        <v>13</v>
      </c>
      <c r="L2275" s="414" t="s">
        <v>13</v>
      </c>
      <c r="M2275" s="417" t="s">
        <v>14</v>
      </c>
      <c r="N2275" s="420" t="s">
        <v>408</v>
      </c>
      <c r="O2275" s="414" t="s">
        <v>27</v>
      </c>
      <c r="P2275" s="105"/>
      <c r="Q2275" s="414" t="s">
        <v>184</v>
      </c>
      <c r="T2275" s="200">
        <v>1</v>
      </c>
    </row>
    <row r="2276" spans="1:20" ht="15" customHeight="1" x14ac:dyDescent="0.3">
      <c r="A2276" s="415"/>
      <c r="B2276" s="415"/>
      <c r="C2276" s="107">
        <v>-19800</v>
      </c>
      <c r="D2276" s="415"/>
      <c r="E2276" s="415"/>
      <c r="F2276" s="415"/>
      <c r="G2276" s="415"/>
      <c r="H2276" s="415"/>
      <c r="I2276" s="415"/>
      <c r="J2276" s="415"/>
      <c r="K2276" s="415"/>
      <c r="L2276" s="415"/>
      <c r="M2276" s="418"/>
      <c r="N2276" s="421"/>
      <c r="O2276" s="415"/>
      <c r="P2276" s="229">
        <v>44066</v>
      </c>
      <c r="Q2276" s="415"/>
    </row>
    <row r="2277" spans="1:20" ht="15" customHeight="1" thickBot="1" x14ac:dyDescent="0.35">
      <c r="A2277" s="416"/>
      <c r="B2277" s="416"/>
      <c r="C2277" s="109">
        <v>20000</v>
      </c>
      <c r="D2277" s="416"/>
      <c r="E2277" s="416"/>
      <c r="F2277" s="416"/>
      <c r="G2277" s="416"/>
      <c r="H2277" s="416"/>
      <c r="I2277" s="416"/>
      <c r="J2277" s="416"/>
      <c r="K2277" s="416"/>
      <c r="L2277" s="416"/>
      <c r="M2277" s="419"/>
      <c r="N2277" s="422"/>
      <c r="O2277" s="416"/>
      <c r="P2277" s="108"/>
      <c r="Q2277" s="416"/>
    </row>
    <row r="2278" spans="1:20" ht="15" hidden="1" customHeight="1" x14ac:dyDescent="0.3">
      <c r="A2278" s="414">
        <v>616</v>
      </c>
      <c r="B2278" s="414" t="s">
        <v>174</v>
      </c>
      <c r="C2278" s="106">
        <v>-1000</v>
      </c>
      <c r="D2278" s="414">
        <v>0</v>
      </c>
      <c r="E2278" s="414" t="s">
        <v>13</v>
      </c>
      <c r="F2278" s="414">
        <v>1000</v>
      </c>
      <c r="G2278" s="414">
        <v>1000</v>
      </c>
      <c r="H2278" s="414" t="s">
        <v>30</v>
      </c>
      <c r="I2278" s="414" t="s">
        <v>13</v>
      </c>
      <c r="J2278" s="414" t="s">
        <v>13</v>
      </c>
      <c r="K2278" s="414" t="s">
        <v>13</v>
      </c>
      <c r="L2278" s="414" t="s">
        <v>13</v>
      </c>
      <c r="M2278" s="417" t="s">
        <v>14</v>
      </c>
      <c r="N2278" s="420" t="s">
        <v>408</v>
      </c>
      <c r="O2278" s="414" t="s">
        <v>27</v>
      </c>
      <c r="P2278" s="105"/>
      <c r="Q2278" s="414" t="s">
        <v>184</v>
      </c>
    </row>
    <row r="2279" spans="1:20" ht="15" customHeight="1" x14ac:dyDescent="0.3">
      <c r="A2279" s="415"/>
      <c r="B2279" s="415"/>
      <c r="C2279" s="107">
        <v>-19800</v>
      </c>
      <c r="D2279" s="415"/>
      <c r="E2279" s="415"/>
      <c r="F2279" s="415"/>
      <c r="G2279" s="415"/>
      <c r="H2279" s="415"/>
      <c r="I2279" s="415"/>
      <c r="J2279" s="415"/>
      <c r="K2279" s="415"/>
      <c r="L2279" s="415"/>
      <c r="M2279" s="418"/>
      <c r="N2279" s="421"/>
      <c r="O2279" s="415"/>
      <c r="P2279" s="229">
        <v>44066</v>
      </c>
      <c r="Q2279" s="415"/>
      <c r="T2279" s="200">
        <v>1</v>
      </c>
    </row>
    <row r="2280" spans="1:20" ht="15" customHeight="1" thickBot="1" x14ac:dyDescent="0.35">
      <c r="A2280" s="416"/>
      <c r="B2280" s="416"/>
      <c r="C2280" s="109">
        <v>20000</v>
      </c>
      <c r="D2280" s="416"/>
      <c r="E2280" s="416"/>
      <c r="F2280" s="416"/>
      <c r="G2280" s="416"/>
      <c r="H2280" s="416"/>
      <c r="I2280" s="416"/>
      <c r="J2280" s="416"/>
      <c r="K2280" s="416"/>
      <c r="L2280" s="416"/>
      <c r="M2280" s="419"/>
      <c r="N2280" s="422"/>
      <c r="O2280" s="416"/>
      <c r="P2280" s="108"/>
      <c r="Q2280" s="416"/>
    </row>
    <row r="2281" spans="1:20" ht="15" hidden="1" customHeight="1" x14ac:dyDescent="0.3">
      <c r="A2281" s="367">
        <v>617</v>
      </c>
      <c r="B2281" s="367" t="s">
        <v>327</v>
      </c>
      <c r="C2281" s="40">
        <v>-1000</v>
      </c>
      <c r="D2281" s="367">
        <v>1</v>
      </c>
      <c r="E2281" s="367" t="s">
        <v>168</v>
      </c>
      <c r="F2281" s="367">
        <v>1000</v>
      </c>
      <c r="G2281" s="367">
        <v>1000</v>
      </c>
      <c r="H2281" s="367" t="s">
        <v>30</v>
      </c>
      <c r="I2281" s="367">
        <v>296</v>
      </c>
      <c r="J2281" s="370" t="s">
        <v>45</v>
      </c>
      <c r="K2281" s="367">
        <v>40</v>
      </c>
      <c r="L2281" s="367">
        <v>-6</v>
      </c>
      <c r="M2281" s="358" t="s">
        <v>14</v>
      </c>
      <c r="N2281" s="396" t="s">
        <v>408</v>
      </c>
      <c r="O2281" s="367" t="s">
        <v>27</v>
      </c>
      <c r="P2281" s="128"/>
      <c r="Q2281" s="367" t="s">
        <v>409</v>
      </c>
      <c r="R2281" s="350">
        <v>44042</v>
      </c>
    </row>
    <row r="2282" spans="1:20" ht="15" customHeight="1" x14ac:dyDescent="0.3">
      <c r="A2282" s="368"/>
      <c r="B2282" s="368"/>
      <c r="C2282" s="41">
        <v>-19800</v>
      </c>
      <c r="D2282" s="368"/>
      <c r="E2282" s="368"/>
      <c r="F2282" s="368"/>
      <c r="G2282" s="368"/>
      <c r="H2282" s="368"/>
      <c r="I2282" s="368"/>
      <c r="J2282" s="371"/>
      <c r="K2282" s="368"/>
      <c r="L2282" s="368"/>
      <c r="M2282" s="359"/>
      <c r="N2282" s="397"/>
      <c r="O2282" s="368"/>
      <c r="P2282" s="226">
        <v>44066</v>
      </c>
      <c r="Q2282" s="368"/>
      <c r="R2282" s="351"/>
      <c r="T2282" s="200">
        <v>1</v>
      </c>
    </row>
    <row r="2283" spans="1:20" ht="15" customHeight="1" thickBot="1" x14ac:dyDescent="0.35">
      <c r="A2283" s="369"/>
      <c r="B2283" s="369"/>
      <c r="C2283" s="42">
        <v>19800</v>
      </c>
      <c r="D2283" s="369"/>
      <c r="E2283" s="369"/>
      <c r="F2283" s="369"/>
      <c r="G2283" s="369"/>
      <c r="H2283" s="369"/>
      <c r="I2283" s="369"/>
      <c r="J2283" s="372"/>
      <c r="K2283" s="369"/>
      <c r="L2283" s="369"/>
      <c r="M2283" s="360"/>
      <c r="N2283" s="398"/>
      <c r="O2283" s="369"/>
      <c r="P2283" s="130"/>
      <c r="Q2283" s="369"/>
      <c r="R2283" s="351"/>
    </row>
    <row r="2284" spans="1:20" ht="15" hidden="1" customHeight="1" x14ac:dyDescent="0.3">
      <c r="A2284" s="367">
        <v>618</v>
      </c>
      <c r="B2284" s="367" t="s">
        <v>327</v>
      </c>
      <c r="C2284" s="40">
        <v>-1200</v>
      </c>
      <c r="D2284" s="367">
        <v>1</v>
      </c>
      <c r="E2284" s="367" t="s">
        <v>168</v>
      </c>
      <c r="F2284" s="367">
        <v>1000</v>
      </c>
      <c r="G2284" s="367">
        <v>1000</v>
      </c>
      <c r="H2284" s="367" t="s">
        <v>30</v>
      </c>
      <c r="I2284" s="367">
        <v>296</v>
      </c>
      <c r="J2284" s="370" t="s">
        <v>45</v>
      </c>
      <c r="K2284" s="367">
        <v>40</v>
      </c>
      <c r="L2284" s="367">
        <v>-6</v>
      </c>
      <c r="M2284" s="358" t="s">
        <v>14</v>
      </c>
      <c r="N2284" s="396" t="s">
        <v>408</v>
      </c>
      <c r="O2284" s="367" t="s">
        <v>27</v>
      </c>
      <c r="P2284" s="128"/>
      <c r="Q2284" s="367" t="s">
        <v>409</v>
      </c>
      <c r="R2284" s="350">
        <v>44042</v>
      </c>
    </row>
    <row r="2285" spans="1:20" ht="15" customHeight="1" x14ac:dyDescent="0.3">
      <c r="A2285" s="368"/>
      <c r="B2285" s="368"/>
      <c r="C2285" s="41">
        <v>-19800</v>
      </c>
      <c r="D2285" s="368"/>
      <c r="E2285" s="368"/>
      <c r="F2285" s="368"/>
      <c r="G2285" s="368"/>
      <c r="H2285" s="368"/>
      <c r="I2285" s="368"/>
      <c r="J2285" s="371"/>
      <c r="K2285" s="368"/>
      <c r="L2285" s="368"/>
      <c r="M2285" s="359"/>
      <c r="N2285" s="397"/>
      <c r="O2285" s="368"/>
      <c r="P2285" s="226">
        <v>44066</v>
      </c>
      <c r="Q2285" s="368"/>
      <c r="R2285" s="351"/>
    </row>
    <row r="2286" spans="1:20" ht="15" customHeight="1" thickBot="1" x14ac:dyDescent="0.35">
      <c r="A2286" s="369"/>
      <c r="B2286" s="369"/>
      <c r="C2286" s="42">
        <v>19800</v>
      </c>
      <c r="D2286" s="369"/>
      <c r="E2286" s="369"/>
      <c r="F2286" s="369"/>
      <c r="G2286" s="369"/>
      <c r="H2286" s="369"/>
      <c r="I2286" s="369"/>
      <c r="J2286" s="372"/>
      <c r="K2286" s="369"/>
      <c r="L2286" s="369"/>
      <c r="M2286" s="360"/>
      <c r="N2286" s="398"/>
      <c r="O2286" s="369"/>
      <c r="P2286" s="130"/>
      <c r="Q2286" s="369"/>
      <c r="R2286" s="351"/>
      <c r="T2286" s="200">
        <v>1</v>
      </c>
    </row>
    <row r="2287" spans="1:20" ht="15" hidden="1" customHeight="1" x14ac:dyDescent="0.3">
      <c r="A2287" s="367">
        <v>619</v>
      </c>
      <c r="B2287" s="367" t="s">
        <v>174</v>
      </c>
      <c r="C2287" s="40">
        <v>-7564</v>
      </c>
      <c r="D2287" s="370">
        <v>0</v>
      </c>
      <c r="E2287" s="367" t="s">
        <v>13</v>
      </c>
      <c r="F2287" s="367">
        <v>1000</v>
      </c>
      <c r="G2287" s="367">
        <v>1000</v>
      </c>
      <c r="H2287" s="367" t="s">
        <v>50</v>
      </c>
      <c r="I2287" s="367" t="s">
        <v>13</v>
      </c>
      <c r="J2287" s="367" t="s">
        <v>13</v>
      </c>
      <c r="K2287" s="367" t="s">
        <v>13</v>
      </c>
      <c r="L2287" s="367" t="s">
        <v>13</v>
      </c>
      <c r="M2287" s="358" t="s">
        <v>14</v>
      </c>
      <c r="N2287" s="396" t="s">
        <v>91</v>
      </c>
      <c r="O2287" s="367" t="s">
        <v>27</v>
      </c>
      <c r="P2287" s="65"/>
      <c r="Q2287" s="367" t="s">
        <v>184</v>
      </c>
    </row>
    <row r="2288" spans="1:20" ht="15" customHeight="1" x14ac:dyDescent="0.3">
      <c r="A2288" s="368"/>
      <c r="B2288" s="368"/>
      <c r="C2288" s="41">
        <v>-11514</v>
      </c>
      <c r="D2288" s="371"/>
      <c r="E2288" s="368"/>
      <c r="F2288" s="368"/>
      <c r="G2288" s="368"/>
      <c r="H2288" s="368"/>
      <c r="I2288" s="368"/>
      <c r="J2288" s="368"/>
      <c r="K2288" s="368"/>
      <c r="L2288" s="368"/>
      <c r="M2288" s="359"/>
      <c r="N2288" s="397"/>
      <c r="O2288" s="368"/>
      <c r="P2288" s="66"/>
      <c r="Q2288" s="368"/>
      <c r="T2288" s="200">
        <v>1</v>
      </c>
    </row>
    <row r="2289" spans="1:20" ht="15" customHeight="1" thickBot="1" x14ac:dyDescent="0.35">
      <c r="A2289" s="369"/>
      <c r="B2289" s="369"/>
      <c r="C2289" s="42">
        <v>24500</v>
      </c>
      <c r="D2289" s="372"/>
      <c r="E2289" s="369"/>
      <c r="F2289" s="369"/>
      <c r="G2289" s="369"/>
      <c r="H2289" s="369"/>
      <c r="I2289" s="369"/>
      <c r="J2289" s="369"/>
      <c r="K2289" s="369"/>
      <c r="L2289" s="369"/>
      <c r="M2289" s="360"/>
      <c r="N2289" s="398"/>
      <c r="O2289" s="369"/>
      <c r="P2289" s="227">
        <v>44066</v>
      </c>
      <c r="Q2289" s="369"/>
    </row>
    <row r="2290" spans="1:20" ht="15" hidden="1" customHeight="1" x14ac:dyDescent="0.3">
      <c r="A2290" s="367">
        <v>620</v>
      </c>
      <c r="B2290" s="367" t="s">
        <v>174</v>
      </c>
      <c r="C2290" s="40">
        <v>-4881</v>
      </c>
      <c r="D2290" s="370">
        <v>0</v>
      </c>
      <c r="E2290" s="367" t="s">
        <v>13</v>
      </c>
      <c r="F2290" s="367">
        <v>1000</v>
      </c>
      <c r="G2290" s="367">
        <v>1000</v>
      </c>
      <c r="H2290" s="367" t="s">
        <v>25</v>
      </c>
      <c r="I2290" s="367" t="s">
        <v>13</v>
      </c>
      <c r="J2290" s="367" t="s">
        <v>13</v>
      </c>
      <c r="K2290" s="367" t="s">
        <v>13</v>
      </c>
      <c r="L2290" s="367" t="s">
        <v>13</v>
      </c>
      <c r="M2290" s="358" t="s">
        <v>14</v>
      </c>
      <c r="N2290" s="396" t="s">
        <v>383</v>
      </c>
      <c r="O2290" s="367" t="s">
        <v>27</v>
      </c>
      <c r="P2290" s="65"/>
      <c r="Q2290" s="367" t="s">
        <v>184</v>
      </c>
      <c r="T2290" s="200">
        <v>1</v>
      </c>
    </row>
    <row r="2291" spans="1:20" ht="15" customHeight="1" x14ac:dyDescent="0.3">
      <c r="A2291" s="368"/>
      <c r="B2291" s="368"/>
      <c r="C2291" s="41">
        <v>-17786</v>
      </c>
      <c r="D2291" s="371"/>
      <c r="E2291" s="368"/>
      <c r="F2291" s="368"/>
      <c r="G2291" s="368"/>
      <c r="H2291" s="368"/>
      <c r="I2291" s="368"/>
      <c r="J2291" s="368"/>
      <c r="K2291" s="368"/>
      <c r="L2291" s="368"/>
      <c r="M2291" s="359"/>
      <c r="N2291" s="397"/>
      <c r="O2291" s="368"/>
      <c r="P2291" s="66"/>
      <c r="Q2291" s="368"/>
    </row>
    <row r="2292" spans="1:20" ht="15" customHeight="1" thickBot="1" x14ac:dyDescent="0.35">
      <c r="A2292" s="369"/>
      <c r="B2292" s="369"/>
      <c r="C2292" s="42">
        <v>19000</v>
      </c>
      <c r="D2292" s="372"/>
      <c r="E2292" s="369"/>
      <c r="F2292" s="369"/>
      <c r="G2292" s="369"/>
      <c r="H2292" s="369"/>
      <c r="I2292" s="369"/>
      <c r="J2292" s="369"/>
      <c r="K2292" s="369"/>
      <c r="L2292" s="369"/>
      <c r="M2292" s="360"/>
      <c r="N2292" s="398"/>
      <c r="O2292" s="369"/>
      <c r="P2292" s="227">
        <v>44066</v>
      </c>
      <c r="Q2292" s="369"/>
    </row>
    <row r="2293" spans="1:20" ht="15" hidden="1" customHeight="1" x14ac:dyDescent="0.3">
      <c r="A2293" s="367">
        <v>621</v>
      </c>
      <c r="B2293" s="367" t="s">
        <v>174</v>
      </c>
      <c r="C2293" s="40">
        <v>-5111</v>
      </c>
      <c r="D2293" s="370">
        <v>0</v>
      </c>
      <c r="E2293" s="367" t="s">
        <v>13</v>
      </c>
      <c r="F2293" s="367">
        <v>1000</v>
      </c>
      <c r="G2293" s="367">
        <v>1000</v>
      </c>
      <c r="H2293" s="367" t="s">
        <v>25</v>
      </c>
      <c r="I2293" s="367" t="s">
        <v>13</v>
      </c>
      <c r="J2293" s="367" t="s">
        <v>13</v>
      </c>
      <c r="K2293" s="367" t="s">
        <v>13</v>
      </c>
      <c r="L2293" s="367" t="s">
        <v>13</v>
      </c>
      <c r="M2293" s="358" t="s">
        <v>14</v>
      </c>
      <c r="N2293" s="396" t="s">
        <v>383</v>
      </c>
      <c r="O2293" s="367" t="s">
        <v>27</v>
      </c>
      <c r="P2293" s="65"/>
      <c r="Q2293" s="367" t="s">
        <v>184</v>
      </c>
      <c r="T2293" s="200">
        <v>1</v>
      </c>
    </row>
    <row r="2294" spans="1:20" ht="15" customHeight="1" x14ac:dyDescent="0.3">
      <c r="A2294" s="368"/>
      <c r="B2294" s="368"/>
      <c r="C2294" s="41">
        <v>-17458</v>
      </c>
      <c r="D2294" s="371"/>
      <c r="E2294" s="368"/>
      <c r="F2294" s="368"/>
      <c r="G2294" s="368"/>
      <c r="H2294" s="368"/>
      <c r="I2294" s="368"/>
      <c r="J2294" s="368"/>
      <c r="K2294" s="368"/>
      <c r="L2294" s="368"/>
      <c r="M2294" s="359"/>
      <c r="N2294" s="397"/>
      <c r="O2294" s="368"/>
      <c r="P2294" s="226">
        <v>44066</v>
      </c>
      <c r="Q2294" s="368"/>
    </row>
    <row r="2295" spans="1:20" ht="15" customHeight="1" thickBot="1" x14ac:dyDescent="0.35">
      <c r="A2295" s="369"/>
      <c r="B2295" s="369"/>
      <c r="C2295" s="42">
        <v>19000</v>
      </c>
      <c r="D2295" s="372"/>
      <c r="E2295" s="369"/>
      <c r="F2295" s="369"/>
      <c r="G2295" s="369"/>
      <c r="H2295" s="369"/>
      <c r="I2295" s="369"/>
      <c r="J2295" s="369"/>
      <c r="K2295" s="369"/>
      <c r="L2295" s="369"/>
      <c r="M2295" s="360"/>
      <c r="N2295" s="398"/>
      <c r="O2295" s="369"/>
      <c r="P2295" s="67"/>
      <c r="Q2295" s="369"/>
    </row>
    <row r="2296" spans="1:20" ht="15" hidden="1" customHeight="1" x14ac:dyDescent="0.3">
      <c r="A2296" s="367">
        <v>622</v>
      </c>
      <c r="B2296" s="367" t="s">
        <v>174</v>
      </c>
      <c r="C2296" s="40">
        <v>-5143</v>
      </c>
      <c r="D2296" s="370">
        <v>0</v>
      </c>
      <c r="E2296" s="367" t="s">
        <v>13</v>
      </c>
      <c r="F2296" s="367">
        <v>600</v>
      </c>
      <c r="G2296" s="367">
        <v>600</v>
      </c>
      <c r="H2296" s="367" t="s">
        <v>25</v>
      </c>
      <c r="I2296" s="367" t="s">
        <v>13</v>
      </c>
      <c r="J2296" s="367" t="s">
        <v>13</v>
      </c>
      <c r="K2296" s="367" t="s">
        <v>13</v>
      </c>
      <c r="L2296" s="367" t="s">
        <v>13</v>
      </c>
      <c r="M2296" s="358" t="s">
        <v>14</v>
      </c>
      <c r="N2296" s="396" t="s">
        <v>410</v>
      </c>
      <c r="O2296" s="367" t="s">
        <v>27</v>
      </c>
      <c r="P2296" s="65"/>
      <c r="Q2296" s="367" t="s">
        <v>184</v>
      </c>
      <c r="T2296" s="200">
        <v>1</v>
      </c>
    </row>
    <row r="2297" spans="1:20" ht="15" customHeight="1" x14ac:dyDescent="0.3">
      <c r="A2297" s="368"/>
      <c r="B2297" s="368"/>
      <c r="C2297" s="41">
        <v>-16541</v>
      </c>
      <c r="D2297" s="371"/>
      <c r="E2297" s="368"/>
      <c r="F2297" s="368"/>
      <c r="G2297" s="368"/>
      <c r="H2297" s="368"/>
      <c r="I2297" s="368"/>
      <c r="J2297" s="368"/>
      <c r="K2297" s="368"/>
      <c r="L2297" s="368"/>
      <c r="M2297" s="359"/>
      <c r="N2297" s="397"/>
      <c r="O2297" s="368"/>
      <c r="P2297" s="226">
        <v>44066</v>
      </c>
      <c r="Q2297" s="368"/>
    </row>
    <row r="2298" spans="1:20" ht="15" customHeight="1" thickBot="1" x14ac:dyDescent="0.35">
      <c r="A2298" s="369"/>
      <c r="B2298" s="369"/>
      <c r="C2298" s="42">
        <v>24538</v>
      </c>
      <c r="D2298" s="372"/>
      <c r="E2298" s="369"/>
      <c r="F2298" s="369"/>
      <c r="G2298" s="369"/>
      <c r="H2298" s="369"/>
      <c r="I2298" s="369"/>
      <c r="J2298" s="369"/>
      <c r="K2298" s="369"/>
      <c r="L2298" s="369"/>
      <c r="M2298" s="360"/>
      <c r="N2298" s="398"/>
      <c r="O2298" s="369"/>
      <c r="P2298" s="67"/>
      <c r="Q2298" s="369"/>
    </row>
    <row r="2299" spans="1:20" ht="15" hidden="1" customHeight="1" x14ac:dyDescent="0.3">
      <c r="A2299" s="367">
        <v>623</v>
      </c>
      <c r="B2299" s="367" t="s">
        <v>174</v>
      </c>
      <c r="C2299" s="40">
        <v>-15887</v>
      </c>
      <c r="D2299" s="370">
        <v>0</v>
      </c>
      <c r="E2299" s="367" t="s">
        <v>13</v>
      </c>
      <c r="F2299" s="367">
        <v>1000</v>
      </c>
      <c r="G2299" s="367">
        <v>1000</v>
      </c>
      <c r="H2299" s="367" t="s">
        <v>61</v>
      </c>
      <c r="I2299" s="367" t="s">
        <v>13</v>
      </c>
      <c r="J2299" s="367" t="s">
        <v>13</v>
      </c>
      <c r="K2299" s="367" t="s">
        <v>13</v>
      </c>
      <c r="L2299" s="367" t="s">
        <v>13</v>
      </c>
      <c r="M2299" s="358" t="s">
        <v>14</v>
      </c>
      <c r="N2299" s="396" t="s">
        <v>411</v>
      </c>
      <c r="O2299" s="367" t="s">
        <v>27</v>
      </c>
      <c r="P2299" s="65"/>
      <c r="Q2299" s="367" t="s">
        <v>188</v>
      </c>
      <c r="T2299" s="200">
        <v>1</v>
      </c>
    </row>
    <row r="2300" spans="1:20" ht="15" customHeight="1" x14ac:dyDescent="0.3">
      <c r="A2300" s="368"/>
      <c r="B2300" s="368"/>
      <c r="C2300" s="41">
        <v>-6241</v>
      </c>
      <c r="D2300" s="371"/>
      <c r="E2300" s="368"/>
      <c r="F2300" s="368"/>
      <c r="G2300" s="368"/>
      <c r="H2300" s="368"/>
      <c r="I2300" s="368"/>
      <c r="J2300" s="368"/>
      <c r="K2300" s="368"/>
      <c r="L2300" s="368"/>
      <c r="M2300" s="359"/>
      <c r="N2300" s="397"/>
      <c r="O2300" s="368"/>
      <c r="P2300" s="226">
        <v>44066</v>
      </c>
      <c r="Q2300" s="368"/>
    </row>
    <row r="2301" spans="1:20" ht="15" customHeight="1" thickBot="1" x14ac:dyDescent="0.35">
      <c r="A2301" s="369"/>
      <c r="B2301" s="369"/>
      <c r="C2301" s="42">
        <v>23750</v>
      </c>
      <c r="D2301" s="372"/>
      <c r="E2301" s="369"/>
      <c r="F2301" s="369"/>
      <c r="G2301" s="369"/>
      <c r="H2301" s="369"/>
      <c r="I2301" s="369"/>
      <c r="J2301" s="369"/>
      <c r="K2301" s="369"/>
      <c r="L2301" s="369"/>
      <c r="M2301" s="360"/>
      <c r="N2301" s="398"/>
      <c r="O2301" s="369"/>
      <c r="P2301" s="67"/>
      <c r="Q2301" s="369"/>
    </row>
    <row r="2302" spans="1:20" ht="15" hidden="1" customHeight="1" x14ac:dyDescent="0.3">
      <c r="A2302" s="367">
        <v>624</v>
      </c>
      <c r="B2302" s="367" t="s">
        <v>174</v>
      </c>
      <c r="C2302" s="40">
        <v>-14995</v>
      </c>
      <c r="D2302" s="370">
        <v>0</v>
      </c>
      <c r="E2302" s="367" t="s">
        <v>13</v>
      </c>
      <c r="F2302" s="367">
        <v>1000</v>
      </c>
      <c r="G2302" s="367">
        <v>1000</v>
      </c>
      <c r="H2302" s="367" t="s">
        <v>61</v>
      </c>
      <c r="I2302" s="367" t="s">
        <v>13</v>
      </c>
      <c r="J2302" s="367" t="s">
        <v>13</v>
      </c>
      <c r="K2302" s="367" t="s">
        <v>13</v>
      </c>
      <c r="L2302" s="367" t="s">
        <v>13</v>
      </c>
      <c r="M2302" s="358" t="s">
        <v>14</v>
      </c>
      <c r="N2302" s="396" t="s">
        <v>411</v>
      </c>
      <c r="O2302" s="367" t="s">
        <v>27</v>
      </c>
      <c r="P2302" s="65"/>
      <c r="Q2302" s="367" t="s">
        <v>188</v>
      </c>
    </row>
    <row r="2303" spans="1:20" ht="15" customHeight="1" x14ac:dyDescent="0.3">
      <c r="A2303" s="368"/>
      <c r="B2303" s="368"/>
      <c r="C2303" s="41">
        <v>-5616</v>
      </c>
      <c r="D2303" s="371"/>
      <c r="E2303" s="368"/>
      <c r="F2303" s="368"/>
      <c r="G2303" s="368"/>
      <c r="H2303" s="368"/>
      <c r="I2303" s="368"/>
      <c r="J2303" s="368"/>
      <c r="K2303" s="368"/>
      <c r="L2303" s="368"/>
      <c r="M2303" s="359"/>
      <c r="N2303" s="397"/>
      <c r="O2303" s="368"/>
      <c r="P2303" s="226">
        <v>44066</v>
      </c>
      <c r="Q2303" s="368"/>
      <c r="T2303" s="200">
        <v>1</v>
      </c>
    </row>
    <row r="2304" spans="1:20" ht="15" customHeight="1" thickBot="1" x14ac:dyDescent="0.35">
      <c r="A2304" s="369"/>
      <c r="B2304" s="369"/>
      <c r="C2304" s="42">
        <v>23764</v>
      </c>
      <c r="D2304" s="372"/>
      <c r="E2304" s="369"/>
      <c r="F2304" s="369"/>
      <c r="G2304" s="369"/>
      <c r="H2304" s="369"/>
      <c r="I2304" s="369"/>
      <c r="J2304" s="369"/>
      <c r="K2304" s="369"/>
      <c r="L2304" s="369"/>
      <c r="M2304" s="360"/>
      <c r="N2304" s="398"/>
      <c r="O2304" s="369"/>
      <c r="P2304" s="67"/>
      <c r="Q2304" s="369"/>
    </row>
    <row r="2305" spans="1:20" ht="15" hidden="1" customHeight="1" x14ac:dyDescent="0.3">
      <c r="A2305" s="367">
        <v>625</v>
      </c>
      <c r="B2305" s="367" t="s">
        <v>174</v>
      </c>
      <c r="C2305" s="40">
        <v>-14659</v>
      </c>
      <c r="D2305" s="370">
        <v>0</v>
      </c>
      <c r="E2305" s="367" t="s">
        <v>13</v>
      </c>
      <c r="F2305" s="367">
        <v>1000</v>
      </c>
      <c r="G2305" s="367">
        <v>1000</v>
      </c>
      <c r="H2305" s="367" t="s">
        <v>50</v>
      </c>
      <c r="I2305" s="367" t="s">
        <v>13</v>
      </c>
      <c r="J2305" s="367" t="s">
        <v>13</v>
      </c>
      <c r="K2305" s="367" t="s">
        <v>13</v>
      </c>
      <c r="L2305" s="367" t="s">
        <v>13</v>
      </c>
      <c r="M2305" s="358" t="s">
        <v>14</v>
      </c>
      <c r="N2305" s="396" t="s">
        <v>411</v>
      </c>
      <c r="O2305" s="367" t="s">
        <v>27</v>
      </c>
      <c r="P2305" s="65"/>
      <c r="Q2305" s="367" t="s">
        <v>184</v>
      </c>
    </row>
    <row r="2306" spans="1:20" ht="15" customHeight="1" x14ac:dyDescent="0.3">
      <c r="A2306" s="368"/>
      <c r="B2306" s="368"/>
      <c r="C2306" s="41">
        <v>-5381</v>
      </c>
      <c r="D2306" s="371"/>
      <c r="E2306" s="368"/>
      <c r="F2306" s="368"/>
      <c r="G2306" s="368"/>
      <c r="H2306" s="368"/>
      <c r="I2306" s="368"/>
      <c r="J2306" s="368"/>
      <c r="K2306" s="368"/>
      <c r="L2306" s="368"/>
      <c r="M2306" s="359"/>
      <c r="N2306" s="397"/>
      <c r="O2306" s="368"/>
      <c r="P2306" s="226">
        <v>44066</v>
      </c>
      <c r="Q2306" s="368"/>
      <c r="T2306" s="200">
        <v>1</v>
      </c>
    </row>
    <row r="2307" spans="1:20" ht="15" customHeight="1" thickBot="1" x14ac:dyDescent="0.35">
      <c r="A2307" s="369"/>
      <c r="B2307" s="369"/>
      <c r="C2307" s="42">
        <v>23500</v>
      </c>
      <c r="D2307" s="372"/>
      <c r="E2307" s="369"/>
      <c r="F2307" s="369"/>
      <c r="G2307" s="369"/>
      <c r="H2307" s="369"/>
      <c r="I2307" s="369"/>
      <c r="J2307" s="369"/>
      <c r="K2307" s="369"/>
      <c r="L2307" s="369"/>
      <c r="M2307" s="360"/>
      <c r="N2307" s="398"/>
      <c r="O2307" s="369"/>
      <c r="P2307" s="67"/>
      <c r="Q2307" s="369"/>
    </row>
    <row r="2308" spans="1:20" ht="15" hidden="1" customHeight="1" x14ac:dyDescent="0.3">
      <c r="A2308" s="367">
        <v>626</v>
      </c>
      <c r="B2308" s="367" t="s">
        <v>174</v>
      </c>
      <c r="C2308" s="40">
        <v>-14657</v>
      </c>
      <c r="D2308" s="370">
        <v>0</v>
      </c>
      <c r="E2308" s="367" t="s">
        <v>13</v>
      </c>
      <c r="F2308" s="367">
        <v>1000</v>
      </c>
      <c r="G2308" s="367">
        <v>1000</v>
      </c>
      <c r="H2308" s="367" t="s">
        <v>50</v>
      </c>
      <c r="I2308" s="367" t="s">
        <v>13</v>
      </c>
      <c r="J2308" s="367" t="s">
        <v>13</v>
      </c>
      <c r="K2308" s="367" t="s">
        <v>13</v>
      </c>
      <c r="L2308" s="367" t="s">
        <v>13</v>
      </c>
      <c r="M2308" s="358" t="s">
        <v>14</v>
      </c>
      <c r="N2308" s="396" t="s">
        <v>411</v>
      </c>
      <c r="O2308" s="367" t="s">
        <v>27</v>
      </c>
      <c r="P2308" s="65"/>
      <c r="Q2308" s="367" t="s">
        <v>184</v>
      </c>
      <c r="T2308" s="200">
        <v>1</v>
      </c>
    </row>
    <row r="2309" spans="1:20" ht="15" customHeight="1" x14ac:dyDescent="0.3">
      <c r="A2309" s="368"/>
      <c r="B2309" s="368"/>
      <c r="C2309" s="41">
        <v>-5380</v>
      </c>
      <c r="D2309" s="371"/>
      <c r="E2309" s="368"/>
      <c r="F2309" s="368"/>
      <c r="G2309" s="368"/>
      <c r="H2309" s="368"/>
      <c r="I2309" s="368"/>
      <c r="J2309" s="368"/>
      <c r="K2309" s="368"/>
      <c r="L2309" s="368"/>
      <c r="M2309" s="359"/>
      <c r="N2309" s="397"/>
      <c r="O2309" s="368"/>
      <c r="P2309" s="226">
        <v>44066</v>
      </c>
      <c r="Q2309" s="368"/>
    </row>
    <row r="2310" spans="1:20" ht="15" customHeight="1" thickBot="1" x14ac:dyDescent="0.35">
      <c r="A2310" s="369"/>
      <c r="B2310" s="369"/>
      <c r="C2310" s="42">
        <v>21500</v>
      </c>
      <c r="D2310" s="372"/>
      <c r="E2310" s="369"/>
      <c r="F2310" s="369"/>
      <c r="G2310" s="369"/>
      <c r="H2310" s="369"/>
      <c r="I2310" s="369"/>
      <c r="J2310" s="369"/>
      <c r="K2310" s="369"/>
      <c r="L2310" s="369"/>
      <c r="M2310" s="360"/>
      <c r="N2310" s="398"/>
      <c r="O2310" s="369"/>
      <c r="P2310" s="67"/>
      <c r="Q2310" s="369"/>
    </row>
    <row r="2311" spans="1:20" ht="15" hidden="1" customHeight="1" x14ac:dyDescent="0.3">
      <c r="A2311" s="367">
        <v>627</v>
      </c>
      <c r="B2311" s="367" t="s">
        <v>174</v>
      </c>
      <c r="C2311" s="40">
        <v>-15045</v>
      </c>
      <c r="D2311" s="370">
        <v>0</v>
      </c>
      <c r="E2311" s="367" t="s">
        <v>13</v>
      </c>
      <c r="F2311" s="367">
        <v>700</v>
      </c>
      <c r="G2311" s="367">
        <v>700</v>
      </c>
      <c r="H2311" s="367" t="s">
        <v>55</v>
      </c>
      <c r="I2311" s="367" t="s">
        <v>13</v>
      </c>
      <c r="J2311" s="367" t="s">
        <v>13</v>
      </c>
      <c r="K2311" s="367" t="s">
        <v>13</v>
      </c>
      <c r="L2311" s="367" t="s">
        <v>13</v>
      </c>
      <c r="M2311" s="358" t="s">
        <v>14</v>
      </c>
      <c r="N2311" s="396" t="s">
        <v>411</v>
      </c>
      <c r="O2311" s="367" t="s">
        <v>27</v>
      </c>
      <c r="P2311" s="65"/>
      <c r="Q2311" s="367" t="s">
        <v>184</v>
      </c>
      <c r="T2311" s="200">
        <v>1</v>
      </c>
    </row>
    <row r="2312" spans="1:20" ht="15" customHeight="1" x14ac:dyDescent="0.3">
      <c r="A2312" s="368"/>
      <c r="B2312" s="368"/>
      <c r="C2312" s="41">
        <v>-5468</v>
      </c>
      <c r="D2312" s="371"/>
      <c r="E2312" s="368"/>
      <c r="F2312" s="368"/>
      <c r="G2312" s="368"/>
      <c r="H2312" s="368"/>
      <c r="I2312" s="368"/>
      <c r="J2312" s="368"/>
      <c r="K2312" s="368"/>
      <c r="L2312" s="368"/>
      <c r="M2312" s="359"/>
      <c r="N2312" s="397"/>
      <c r="O2312" s="368"/>
      <c r="P2312" s="226">
        <v>44066</v>
      </c>
      <c r="Q2312" s="368"/>
    </row>
    <row r="2313" spans="1:20" ht="15" customHeight="1" thickBot="1" x14ac:dyDescent="0.35">
      <c r="A2313" s="369"/>
      <c r="B2313" s="369"/>
      <c r="C2313" s="42">
        <v>19600</v>
      </c>
      <c r="D2313" s="372"/>
      <c r="E2313" s="369"/>
      <c r="F2313" s="369"/>
      <c r="G2313" s="369"/>
      <c r="H2313" s="369"/>
      <c r="I2313" s="369"/>
      <c r="J2313" s="369"/>
      <c r="K2313" s="369"/>
      <c r="L2313" s="369"/>
      <c r="M2313" s="360"/>
      <c r="N2313" s="398"/>
      <c r="O2313" s="369"/>
      <c r="P2313" s="67"/>
      <c r="Q2313" s="369"/>
    </row>
    <row r="2314" spans="1:20" ht="15" hidden="1" customHeight="1" x14ac:dyDescent="0.3">
      <c r="A2314" s="367">
        <v>628</v>
      </c>
      <c r="B2314" s="367" t="s">
        <v>270</v>
      </c>
      <c r="C2314" s="40">
        <v>-21276</v>
      </c>
      <c r="D2314" s="367">
        <v>1</v>
      </c>
      <c r="E2314" s="367" t="s">
        <v>255</v>
      </c>
      <c r="F2314" s="367">
        <v>500</v>
      </c>
      <c r="G2314" s="367">
        <v>500</v>
      </c>
      <c r="H2314" s="367" t="s">
        <v>50</v>
      </c>
      <c r="I2314" s="367">
        <v>30</v>
      </c>
      <c r="J2314" s="370" t="s">
        <v>412</v>
      </c>
      <c r="K2314" s="367">
        <v>0</v>
      </c>
      <c r="L2314" s="367">
        <v>36.5</v>
      </c>
      <c r="M2314" s="358" t="s">
        <v>14</v>
      </c>
      <c r="N2314" s="396" t="s">
        <v>413</v>
      </c>
      <c r="O2314" s="367" t="s">
        <v>27</v>
      </c>
      <c r="P2314" s="65"/>
      <c r="Q2314" s="367" t="s">
        <v>414</v>
      </c>
      <c r="T2314" s="200">
        <v>1</v>
      </c>
    </row>
    <row r="2315" spans="1:20" ht="15" customHeight="1" x14ac:dyDescent="0.3">
      <c r="A2315" s="368"/>
      <c r="B2315" s="368"/>
      <c r="C2315" s="41">
        <v>-3250</v>
      </c>
      <c r="D2315" s="368"/>
      <c r="E2315" s="368"/>
      <c r="F2315" s="368"/>
      <c r="G2315" s="368"/>
      <c r="H2315" s="368"/>
      <c r="I2315" s="368"/>
      <c r="J2315" s="371"/>
      <c r="K2315" s="368"/>
      <c r="L2315" s="368"/>
      <c r="M2315" s="359"/>
      <c r="N2315" s="397"/>
      <c r="O2315" s="368"/>
      <c r="P2315" s="226">
        <v>44066</v>
      </c>
      <c r="Q2315" s="368"/>
    </row>
    <row r="2316" spans="1:20" ht="15" customHeight="1" thickBot="1" x14ac:dyDescent="0.35">
      <c r="A2316" s="369"/>
      <c r="B2316" s="369"/>
      <c r="C2316" s="42">
        <v>24550</v>
      </c>
      <c r="D2316" s="369"/>
      <c r="E2316" s="369"/>
      <c r="F2316" s="369"/>
      <c r="G2316" s="369"/>
      <c r="H2316" s="369"/>
      <c r="I2316" s="369"/>
      <c r="J2316" s="372"/>
      <c r="K2316" s="369"/>
      <c r="L2316" s="369"/>
      <c r="M2316" s="360"/>
      <c r="N2316" s="398"/>
      <c r="O2316" s="369"/>
      <c r="P2316" s="67"/>
      <c r="Q2316" s="369"/>
    </row>
    <row r="2317" spans="1:20" ht="15" hidden="1" customHeight="1" x14ac:dyDescent="0.3">
      <c r="A2317" s="367">
        <v>629</v>
      </c>
      <c r="B2317" s="367" t="s">
        <v>174</v>
      </c>
      <c r="C2317" s="40">
        <v>-15101</v>
      </c>
      <c r="D2317" s="370">
        <v>0</v>
      </c>
      <c r="E2317" s="367" t="s">
        <v>13</v>
      </c>
      <c r="F2317" s="367">
        <v>500</v>
      </c>
      <c r="G2317" s="367">
        <v>500</v>
      </c>
      <c r="H2317" s="367" t="s">
        <v>50</v>
      </c>
      <c r="I2317" s="367" t="s">
        <v>13</v>
      </c>
      <c r="J2317" s="367" t="s">
        <v>13</v>
      </c>
      <c r="K2317" s="367" t="s">
        <v>13</v>
      </c>
      <c r="L2317" s="367" t="s">
        <v>13</v>
      </c>
      <c r="M2317" s="358" t="s">
        <v>14</v>
      </c>
      <c r="N2317" s="396" t="s">
        <v>415</v>
      </c>
      <c r="O2317" s="367" t="s">
        <v>27</v>
      </c>
      <c r="P2317" s="65"/>
      <c r="Q2317" s="367" t="s">
        <v>184</v>
      </c>
    </row>
    <row r="2318" spans="1:20" ht="15" customHeight="1" x14ac:dyDescent="0.3">
      <c r="A2318" s="368"/>
      <c r="B2318" s="368"/>
      <c r="C2318" s="41">
        <v>-3250</v>
      </c>
      <c r="D2318" s="371"/>
      <c r="E2318" s="368"/>
      <c r="F2318" s="368"/>
      <c r="G2318" s="368"/>
      <c r="H2318" s="368"/>
      <c r="I2318" s="368"/>
      <c r="J2318" s="368"/>
      <c r="K2318" s="368"/>
      <c r="L2318" s="368"/>
      <c r="M2318" s="359"/>
      <c r="N2318" s="397"/>
      <c r="O2318" s="368"/>
      <c r="P2318" s="226">
        <v>44066</v>
      </c>
      <c r="Q2318" s="368"/>
      <c r="T2318" s="200">
        <v>1</v>
      </c>
    </row>
    <row r="2319" spans="1:20" ht="15" customHeight="1" thickBot="1" x14ac:dyDescent="0.35">
      <c r="A2319" s="369"/>
      <c r="B2319" s="369"/>
      <c r="C2319" s="42">
        <v>19800</v>
      </c>
      <c r="D2319" s="372"/>
      <c r="E2319" s="369"/>
      <c r="F2319" s="369"/>
      <c r="G2319" s="369"/>
      <c r="H2319" s="369"/>
      <c r="I2319" s="369"/>
      <c r="J2319" s="369"/>
      <c r="K2319" s="369"/>
      <c r="L2319" s="369"/>
      <c r="M2319" s="360"/>
      <c r="N2319" s="398"/>
      <c r="O2319" s="369"/>
      <c r="P2319" s="67"/>
      <c r="Q2319" s="369"/>
    </row>
    <row r="2320" spans="1:20" ht="15" hidden="1" customHeight="1" x14ac:dyDescent="0.3">
      <c r="A2320" s="367">
        <v>630</v>
      </c>
      <c r="B2320" s="367" t="s">
        <v>174</v>
      </c>
      <c r="C2320" s="40">
        <v>-15800</v>
      </c>
      <c r="D2320" s="370">
        <v>0</v>
      </c>
      <c r="E2320" s="367" t="s">
        <v>13</v>
      </c>
      <c r="F2320" s="367">
        <v>500</v>
      </c>
      <c r="G2320" s="367">
        <v>500</v>
      </c>
      <c r="H2320" s="367" t="s">
        <v>25</v>
      </c>
      <c r="I2320" s="367" t="s">
        <v>13</v>
      </c>
      <c r="J2320" s="367" t="s">
        <v>13</v>
      </c>
      <c r="K2320" s="367" t="s">
        <v>13</v>
      </c>
      <c r="L2320" s="367" t="s">
        <v>13</v>
      </c>
      <c r="M2320" s="358" t="s">
        <v>14</v>
      </c>
      <c r="N2320" s="396" t="s">
        <v>415</v>
      </c>
      <c r="O2320" s="367" t="s">
        <v>27</v>
      </c>
      <c r="P2320" s="65"/>
      <c r="Q2320" s="367" t="s">
        <v>184</v>
      </c>
    </row>
    <row r="2321" spans="1:20" ht="15" customHeight="1" x14ac:dyDescent="0.3">
      <c r="A2321" s="368"/>
      <c r="B2321" s="368"/>
      <c r="C2321" s="41">
        <v>-3250</v>
      </c>
      <c r="D2321" s="371"/>
      <c r="E2321" s="368"/>
      <c r="F2321" s="368"/>
      <c r="G2321" s="368"/>
      <c r="H2321" s="368"/>
      <c r="I2321" s="368"/>
      <c r="J2321" s="368"/>
      <c r="K2321" s="368"/>
      <c r="L2321" s="368"/>
      <c r="M2321" s="359"/>
      <c r="N2321" s="397"/>
      <c r="O2321" s="368"/>
      <c r="P2321" s="226">
        <v>44066</v>
      </c>
      <c r="Q2321" s="368"/>
      <c r="T2321" s="200">
        <v>1</v>
      </c>
    </row>
    <row r="2322" spans="1:20" ht="15" customHeight="1" thickBot="1" x14ac:dyDescent="0.35">
      <c r="A2322" s="369"/>
      <c r="B2322" s="369"/>
      <c r="C2322" s="42">
        <v>19000</v>
      </c>
      <c r="D2322" s="372"/>
      <c r="E2322" s="369"/>
      <c r="F2322" s="369"/>
      <c r="G2322" s="369"/>
      <c r="H2322" s="369"/>
      <c r="I2322" s="369"/>
      <c r="J2322" s="369"/>
      <c r="K2322" s="369"/>
      <c r="L2322" s="369"/>
      <c r="M2322" s="360"/>
      <c r="N2322" s="398"/>
      <c r="O2322" s="369"/>
      <c r="P2322" s="67"/>
      <c r="Q2322" s="369"/>
    </row>
    <row r="2323" spans="1:20" ht="15" hidden="1" customHeight="1" x14ac:dyDescent="0.3">
      <c r="A2323" s="367">
        <v>631</v>
      </c>
      <c r="B2323" s="367" t="s">
        <v>174</v>
      </c>
      <c r="C2323" s="40">
        <v>-15300</v>
      </c>
      <c r="D2323" s="370">
        <v>0</v>
      </c>
      <c r="E2323" s="367" t="s">
        <v>13</v>
      </c>
      <c r="F2323" s="367">
        <v>500</v>
      </c>
      <c r="G2323" s="367">
        <v>500</v>
      </c>
      <c r="H2323" s="367" t="s">
        <v>25</v>
      </c>
      <c r="I2323" s="367" t="s">
        <v>13</v>
      </c>
      <c r="J2323" s="367" t="s">
        <v>13</v>
      </c>
      <c r="K2323" s="367" t="s">
        <v>13</v>
      </c>
      <c r="L2323" s="367" t="s">
        <v>13</v>
      </c>
      <c r="M2323" s="358" t="s">
        <v>14</v>
      </c>
      <c r="N2323" s="396" t="s">
        <v>415</v>
      </c>
      <c r="O2323" s="367" t="s">
        <v>27</v>
      </c>
      <c r="P2323" s="228">
        <v>44066</v>
      </c>
      <c r="Q2323" s="367" t="s">
        <v>184</v>
      </c>
    </row>
    <row r="2324" spans="1:20" ht="15" customHeight="1" x14ac:dyDescent="0.3">
      <c r="A2324" s="368"/>
      <c r="B2324" s="368"/>
      <c r="C2324" s="41">
        <v>-3250</v>
      </c>
      <c r="D2324" s="371"/>
      <c r="E2324" s="368"/>
      <c r="F2324" s="368"/>
      <c r="G2324" s="368"/>
      <c r="H2324" s="368"/>
      <c r="I2324" s="368"/>
      <c r="J2324" s="368"/>
      <c r="K2324" s="368"/>
      <c r="L2324" s="368"/>
      <c r="M2324" s="359"/>
      <c r="N2324" s="397"/>
      <c r="O2324" s="368"/>
      <c r="P2324" s="66"/>
      <c r="Q2324" s="368"/>
      <c r="T2324" s="200">
        <v>1</v>
      </c>
    </row>
    <row r="2325" spans="1:20" ht="15" customHeight="1" thickBot="1" x14ac:dyDescent="0.35">
      <c r="A2325" s="369"/>
      <c r="B2325" s="369"/>
      <c r="C2325" s="42">
        <v>19000</v>
      </c>
      <c r="D2325" s="372"/>
      <c r="E2325" s="369"/>
      <c r="F2325" s="369"/>
      <c r="G2325" s="369"/>
      <c r="H2325" s="369"/>
      <c r="I2325" s="369"/>
      <c r="J2325" s="369"/>
      <c r="K2325" s="369"/>
      <c r="L2325" s="369"/>
      <c r="M2325" s="360"/>
      <c r="N2325" s="398"/>
      <c r="O2325" s="369"/>
      <c r="P2325" s="67"/>
      <c r="Q2325" s="369"/>
    </row>
    <row r="2326" spans="1:20" ht="15" hidden="1" customHeight="1" x14ac:dyDescent="0.3">
      <c r="A2326" s="367">
        <v>632</v>
      </c>
      <c r="B2326" s="367" t="s">
        <v>174</v>
      </c>
      <c r="C2326" s="40">
        <v>-15800</v>
      </c>
      <c r="D2326" s="370">
        <v>0</v>
      </c>
      <c r="E2326" s="367" t="s">
        <v>13</v>
      </c>
      <c r="F2326" s="367">
        <v>500</v>
      </c>
      <c r="G2326" s="367">
        <v>500</v>
      </c>
      <c r="H2326" s="367" t="s">
        <v>55</v>
      </c>
      <c r="I2326" s="367" t="s">
        <v>13</v>
      </c>
      <c r="J2326" s="367" t="s">
        <v>13</v>
      </c>
      <c r="K2326" s="367" t="s">
        <v>13</v>
      </c>
      <c r="L2326" s="367" t="s">
        <v>13</v>
      </c>
      <c r="M2326" s="358" t="s">
        <v>14</v>
      </c>
      <c r="N2326" s="396" t="s">
        <v>415</v>
      </c>
      <c r="O2326" s="367" t="s">
        <v>27</v>
      </c>
      <c r="P2326" s="65"/>
      <c r="Q2326" s="367" t="s">
        <v>184</v>
      </c>
    </row>
    <row r="2327" spans="1:20" ht="15" customHeight="1" x14ac:dyDescent="0.3">
      <c r="A2327" s="368"/>
      <c r="B2327" s="368"/>
      <c r="C2327" s="41">
        <v>-3250</v>
      </c>
      <c r="D2327" s="371"/>
      <c r="E2327" s="368"/>
      <c r="F2327" s="368"/>
      <c r="G2327" s="368"/>
      <c r="H2327" s="368"/>
      <c r="I2327" s="368"/>
      <c r="J2327" s="368"/>
      <c r="K2327" s="368"/>
      <c r="L2327" s="368"/>
      <c r="M2327" s="359"/>
      <c r="N2327" s="397"/>
      <c r="O2327" s="368"/>
      <c r="P2327" s="226">
        <v>44066</v>
      </c>
      <c r="Q2327" s="368"/>
      <c r="T2327" s="200">
        <v>1</v>
      </c>
    </row>
    <row r="2328" spans="1:20" ht="15" customHeight="1" thickBot="1" x14ac:dyDescent="0.35">
      <c r="A2328" s="369"/>
      <c r="B2328" s="369"/>
      <c r="C2328" s="42">
        <v>19600</v>
      </c>
      <c r="D2328" s="372"/>
      <c r="E2328" s="369"/>
      <c r="F2328" s="369"/>
      <c r="G2328" s="369"/>
      <c r="H2328" s="369"/>
      <c r="I2328" s="369"/>
      <c r="J2328" s="369"/>
      <c r="K2328" s="369"/>
      <c r="L2328" s="369"/>
      <c r="M2328" s="360"/>
      <c r="N2328" s="398"/>
      <c r="O2328" s="369"/>
      <c r="P2328" s="67"/>
      <c r="Q2328" s="369"/>
    </row>
    <row r="2329" spans="1:20" ht="15" hidden="1" customHeight="1" x14ac:dyDescent="0.3">
      <c r="A2329" s="367">
        <v>633</v>
      </c>
      <c r="B2329" s="367" t="s">
        <v>324</v>
      </c>
      <c r="C2329" s="40">
        <v>-14950</v>
      </c>
      <c r="D2329" s="367">
        <v>1</v>
      </c>
      <c r="E2329" s="367" t="s">
        <v>245</v>
      </c>
      <c r="F2329" s="367">
        <v>500</v>
      </c>
      <c r="G2329" s="367">
        <v>500</v>
      </c>
      <c r="H2329" s="367" t="s">
        <v>44</v>
      </c>
      <c r="I2329" s="367">
        <v>300</v>
      </c>
      <c r="J2329" s="370" t="s">
        <v>45</v>
      </c>
      <c r="K2329" s="367">
        <v>90</v>
      </c>
      <c r="L2329" s="367">
        <v>20</v>
      </c>
      <c r="M2329" s="358" t="s">
        <v>14</v>
      </c>
      <c r="N2329" s="396" t="s">
        <v>415</v>
      </c>
      <c r="O2329" s="367" t="s">
        <v>27</v>
      </c>
      <c r="P2329" s="316"/>
      <c r="Q2329" s="367" t="s">
        <v>325</v>
      </c>
      <c r="R2329" s="186">
        <v>44096</v>
      </c>
      <c r="T2329" s="200">
        <v>1</v>
      </c>
    </row>
    <row r="2330" spans="1:20" ht="15" customHeight="1" x14ac:dyDescent="0.3">
      <c r="A2330" s="368"/>
      <c r="B2330" s="368"/>
      <c r="C2330" s="41">
        <v>-3250</v>
      </c>
      <c r="D2330" s="368"/>
      <c r="E2330" s="368"/>
      <c r="F2330" s="368"/>
      <c r="G2330" s="368"/>
      <c r="H2330" s="368"/>
      <c r="I2330" s="368"/>
      <c r="J2330" s="371"/>
      <c r="K2330" s="368"/>
      <c r="L2330" s="368"/>
      <c r="M2330" s="359"/>
      <c r="N2330" s="397"/>
      <c r="O2330" s="368"/>
      <c r="P2330" s="226">
        <v>44096</v>
      </c>
      <c r="Q2330" s="368"/>
    </row>
    <row r="2331" spans="1:20" ht="15" customHeight="1" thickBot="1" x14ac:dyDescent="0.35">
      <c r="A2331" s="369"/>
      <c r="B2331" s="369"/>
      <c r="C2331" s="42">
        <v>16570</v>
      </c>
      <c r="D2331" s="369"/>
      <c r="E2331" s="369"/>
      <c r="F2331" s="369"/>
      <c r="G2331" s="369"/>
      <c r="H2331" s="369"/>
      <c r="I2331" s="369"/>
      <c r="J2331" s="372"/>
      <c r="K2331" s="369"/>
      <c r="L2331" s="369"/>
      <c r="M2331" s="360"/>
      <c r="N2331" s="398"/>
      <c r="O2331" s="369"/>
      <c r="P2331" s="317"/>
      <c r="Q2331" s="369"/>
    </row>
    <row r="2332" spans="1:20" ht="15" hidden="1" customHeight="1" x14ac:dyDescent="0.3">
      <c r="A2332" s="367">
        <v>634</v>
      </c>
      <c r="B2332" s="367" t="s">
        <v>324</v>
      </c>
      <c r="C2332" s="40">
        <v>-15044</v>
      </c>
      <c r="D2332" s="367">
        <v>1</v>
      </c>
      <c r="E2332" s="367" t="s">
        <v>245</v>
      </c>
      <c r="F2332" s="367">
        <v>500</v>
      </c>
      <c r="G2332" s="367">
        <v>500</v>
      </c>
      <c r="H2332" s="367" t="s">
        <v>44</v>
      </c>
      <c r="I2332" s="367">
        <v>300</v>
      </c>
      <c r="J2332" s="370" t="s">
        <v>45</v>
      </c>
      <c r="K2332" s="367">
        <v>90</v>
      </c>
      <c r="L2332" s="367">
        <v>20</v>
      </c>
      <c r="M2332" s="358" t="s">
        <v>14</v>
      </c>
      <c r="N2332" s="396" t="s">
        <v>415</v>
      </c>
      <c r="O2332" s="367" t="s">
        <v>27</v>
      </c>
      <c r="P2332" s="316"/>
      <c r="Q2332" s="367" t="s">
        <v>325</v>
      </c>
    </row>
    <row r="2333" spans="1:20" ht="15" customHeight="1" x14ac:dyDescent="0.3">
      <c r="A2333" s="368"/>
      <c r="B2333" s="368"/>
      <c r="C2333" s="41">
        <v>-3250</v>
      </c>
      <c r="D2333" s="368"/>
      <c r="E2333" s="368"/>
      <c r="F2333" s="368"/>
      <c r="G2333" s="368"/>
      <c r="H2333" s="368"/>
      <c r="I2333" s="368"/>
      <c r="J2333" s="371"/>
      <c r="K2333" s="368"/>
      <c r="L2333" s="368"/>
      <c r="M2333" s="359"/>
      <c r="N2333" s="397"/>
      <c r="O2333" s="368"/>
      <c r="P2333" s="226">
        <v>44096</v>
      </c>
      <c r="Q2333" s="368"/>
      <c r="R2333" s="186">
        <v>44096</v>
      </c>
    </row>
    <row r="2334" spans="1:20" ht="15" customHeight="1" thickBot="1" x14ac:dyDescent="0.35">
      <c r="A2334" s="369"/>
      <c r="B2334" s="369"/>
      <c r="C2334" s="42">
        <v>14750</v>
      </c>
      <c r="D2334" s="369"/>
      <c r="E2334" s="369"/>
      <c r="F2334" s="369"/>
      <c r="G2334" s="369"/>
      <c r="H2334" s="369"/>
      <c r="I2334" s="369"/>
      <c r="J2334" s="372"/>
      <c r="K2334" s="369"/>
      <c r="L2334" s="369"/>
      <c r="M2334" s="360"/>
      <c r="N2334" s="398"/>
      <c r="O2334" s="369"/>
      <c r="P2334" s="317"/>
      <c r="Q2334" s="369"/>
      <c r="T2334" s="200">
        <v>1</v>
      </c>
    </row>
    <row r="2335" spans="1:20" ht="15" hidden="1" customHeight="1" x14ac:dyDescent="0.3">
      <c r="A2335" s="367">
        <v>635</v>
      </c>
      <c r="B2335" s="367" t="s">
        <v>48</v>
      </c>
      <c r="C2335" s="40">
        <v>-14200</v>
      </c>
      <c r="D2335" s="367">
        <v>1</v>
      </c>
      <c r="E2335" s="367" t="s">
        <v>133</v>
      </c>
      <c r="F2335" s="367">
        <v>1000</v>
      </c>
      <c r="G2335" s="367">
        <v>1000</v>
      </c>
      <c r="H2335" s="367" t="s">
        <v>416</v>
      </c>
      <c r="I2335" s="367">
        <v>300</v>
      </c>
      <c r="J2335" s="370" t="s">
        <v>45</v>
      </c>
      <c r="K2335" s="367">
        <v>60</v>
      </c>
      <c r="L2335" s="367">
        <v>170.5</v>
      </c>
      <c r="M2335" s="358" t="s">
        <v>14</v>
      </c>
      <c r="N2335" s="396" t="s">
        <v>417</v>
      </c>
      <c r="O2335" s="367" t="s">
        <v>27</v>
      </c>
      <c r="P2335" s="290"/>
      <c r="Q2335" s="370" t="s">
        <v>418</v>
      </c>
      <c r="R2335" s="350">
        <v>44041</v>
      </c>
    </row>
    <row r="2336" spans="1:20" ht="15" customHeight="1" x14ac:dyDescent="0.3">
      <c r="A2336" s="368"/>
      <c r="B2336" s="368"/>
      <c r="C2336" s="41">
        <v>-4189</v>
      </c>
      <c r="D2336" s="368"/>
      <c r="E2336" s="368"/>
      <c r="F2336" s="368"/>
      <c r="G2336" s="368"/>
      <c r="H2336" s="368"/>
      <c r="I2336" s="368"/>
      <c r="J2336" s="371"/>
      <c r="K2336" s="368"/>
      <c r="L2336" s="368"/>
      <c r="M2336" s="359"/>
      <c r="N2336" s="397"/>
      <c r="O2336" s="368"/>
      <c r="P2336" s="226">
        <v>44095</v>
      </c>
      <c r="Q2336" s="371"/>
      <c r="R2336" s="351"/>
      <c r="T2336" s="200">
        <v>1</v>
      </c>
    </row>
    <row r="2337" spans="1:20" ht="15" customHeight="1" thickBot="1" x14ac:dyDescent="0.35">
      <c r="A2337" s="369"/>
      <c r="B2337" s="369"/>
      <c r="C2337" s="42">
        <v>24500</v>
      </c>
      <c r="D2337" s="369"/>
      <c r="E2337" s="369"/>
      <c r="F2337" s="369"/>
      <c r="G2337" s="369"/>
      <c r="H2337" s="369"/>
      <c r="I2337" s="369"/>
      <c r="J2337" s="372"/>
      <c r="K2337" s="369"/>
      <c r="L2337" s="369"/>
      <c r="M2337" s="360"/>
      <c r="N2337" s="398"/>
      <c r="O2337" s="369"/>
      <c r="P2337" s="292"/>
      <c r="Q2337" s="372"/>
      <c r="R2337" s="351"/>
    </row>
    <row r="2338" spans="1:20" ht="15" hidden="1" customHeight="1" x14ac:dyDescent="0.3">
      <c r="A2338" s="367">
        <v>636</v>
      </c>
      <c r="B2338" s="367" t="s">
        <v>174</v>
      </c>
      <c r="C2338" s="40">
        <v>-14200</v>
      </c>
      <c r="D2338" s="370">
        <v>0</v>
      </c>
      <c r="E2338" s="367" t="s">
        <v>13</v>
      </c>
      <c r="F2338" s="367">
        <v>1000</v>
      </c>
      <c r="G2338" s="367">
        <v>1000</v>
      </c>
      <c r="H2338" s="367" t="s">
        <v>25</v>
      </c>
      <c r="I2338" s="367" t="s">
        <v>13</v>
      </c>
      <c r="J2338" s="367" t="s">
        <v>13</v>
      </c>
      <c r="K2338" s="367" t="s">
        <v>13</v>
      </c>
      <c r="L2338" s="367" t="s">
        <v>13</v>
      </c>
      <c r="M2338" s="358" t="s">
        <v>14</v>
      </c>
      <c r="N2338" s="396" t="s">
        <v>417</v>
      </c>
      <c r="O2338" s="367" t="s">
        <v>27</v>
      </c>
      <c r="P2338" s="65"/>
      <c r="Q2338" s="367" t="s">
        <v>184</v>
      </c>
    </row>
    <row r="2339" spans="1:20" ht="15" customHeight="1" x14ac:dyDescent="0.3">
      <c r="A2339" s="368"/>
      <c r="B2339" s="368"/>
      <c r="C2339" s="41">
        <v>-3750</v>
      </c>
      <c r="D2339" s="371"/>
      <c r="E2339" s="368"/>
      <c r="F2339" s="368"/>
      <c r="G2339" s="368"/>
      <c r="H2339" s="368"/>
      <c r="I2339" s="368"/>
      <c r="J2339" s="368"/>
      <c r="K2339" s="368"/>
      <c r="L2339" s="368"/>
      <c r="M2339" s="359"/>
      <c r="N2339" s="397"/>
      <c r="O2339" s="368"/>
      <c r="P2339" s="226">
        <v>44066</v>
      </c>
      <c r="Q2339" s="368"/>
      <c r="T2339" s="200">
        <v>1</v>
      </c>
    </row>
    <row r="2340" spans="1:20" ht="15" customHeight="1" thickBot="1" x14ac:dyDescent="0.35">
      <c r="A2340" s="369"/>
      <c r="B2340" s="369"/>
      <c r="C2340" s="42">
        <v>18700</v>
      </c>
      <c r="D2340" s="372"/>
      <c r="E2340" s="369"/>
      <c r="F2340" s="369"/>
      <c r="G2340" s="369"/>
      <c r="H2340" s="369"/>
      <c r="I2340" s="369"/>
      <c r="J2340" s="369"/>
      <c r="K2340" s="369"/>
      <c r="L2340" s="369"/>
      <c r="M2340" s="360"/>
      <c r="N2340" s="398"/>
      <c r="O2340" s="369"/>
      <c r="P2340" s="67"/>
      <c r="Q2340" s="369"/>
    </row>
    <row r="2341" spans="1:20" ht="15" hidden="1" customHeight="1" x14ac:dyDescent="0.3">
      <c r="A2341" s="367">
        <v>637</v>
      </c>
      <c r="B2341" s="367" t="s">
        <v>327</v>
      </c>
      <c r="C2341" s="40">
        <v>-14200</v>
      </c>
      <c r="D2341" s="367">
        <v>1</v>
      </c>
      <c r="E2341" s="367" t="s">
        <v>168</v>
      </c>
      <c r="F2341" s="367">
        <v>1000</v>
      </c>
      <c r="G2341" s="367">
        <v>1000</v>
      </c>
      <c r="H2341" s="367" t="s">
        <v>25</v>
      </c>
      <c r="I2341" s="367">
        <v>296</v>
      </c>
      <c r="J2341" s="370" t="s">
        <v>45</v>
      </c>
      <c r="K2341" s="367">
        <v>40</v>
      </c>
      <c r="L2341" s="367">
        <v>26.5</v>
      </c>
      <c r="M2341" s="358" t="s">
        <v>14</v>
      </c>
      <c r="N2341" s="396" t="s">
        <v>417</v>
      </c>
      <c r="O2341" s="367" t="s">
        <v>27</v>
      </c>
      <c r="P2341" s="290"/>
      <c r="Q2341" s="367" t="s">
        <v>419</v>
      </c>
      <c r="R2341" s="351"/>
    </row>
    <row r="2342" spans="1:20" ht="15" customHeight="1" x14ac:dyDescent="0.3">
      <c r="A2342" s="368"/>
      <c r="B2342" s="368"/>
      <c r="C2342" s="40">
        <v>-3750</v>
      </c>
      <c r="D2342" s="368"/>
      <c r="E2342" s="368"/>
      <c r="F2342" s="368"/>
      <c r="G2342" s="368"/>
      <c r="H2342" s="368"/>
      <c r="I2342" s="368"/>
      <c r="J2342" s="371"/>
      <c r="K2342" s="368"/>
      <c r="L2342" s="368"/>
      <c r="M2342" s="359"/>
      <c r="N2342" s="397"/>
      <c r="O2342" s="368"/>
      <c r="P2342" s="226">
        <v>44095</v>
      </c>
      <c r="Q2342" s="368"/>
      <c r="R2342" s="351"/>
      <c r="T2342" s="200">
        <v>1</v>
      </c>
    </row>
    <row r="2343" spans="1:20" ht="15" customHeight="1" thickBot="1" x14ac:dyDescent="0.35">
      <c r="A2343" s="369"/>
      <c r="B2343" s="369"/>
      <c r="C2343" s="42">
        <v>19200</v>
      </c>
      <c r="D2343" s="369"/>
      <c r="E2343" s="369"/>
      <c r="F2343" s="369"/>
      <c r="G2343" s="369"/>
      <c r="H2343" s="369"/>
      <c r="I2343" s="369"/>
      <c r="J2343" s="372"/>
      <c r="K2343" s="369"/>
      <c r="L2343" s="369"/>
      <c r="M2343" s="360"/>
      <c r="N2343" s="398"/>
      <c r="O2343" s="369"/>
      <c r="P2343" s="292"/>
      <c r="Q2343" s="369"/>
      <c r="R2343" s="351"/>
    </row>
    <row r="2344" spans="1:20" ht="15" hidden="1" customHeight="1" x14ac:dyDescent="0.3">
      <c r="A2344" s="367">
        <v>638</v>
      </c>
      <c r="B2344" s="367" t="s">
        <v>420</v>
      </c>
      <c r="C2344" s="40">
        <v>-14200</v>
      </c>
      <c r="D2344" s="367">
        <v>1</v>
      </c>
      <c r="E2344" s="367" t="s">
        <v>421</v>
      </c>
      <c r="F2344" s="367">
        <v>1000</v>
      </c>
      <c r="G2344" s="367">
        <v>1000</v>
      </c>
      <c r="H2344" s="367" t="s">
        <v>422</v>
      </c>
      <c r="I2344" s="367">
        <v>303</v>
      </c>
      <c r="J2344" s="370" t="s">
        <v>45</v>
      </c>
      <c r="K2344" s="367">
        <v>30</v>
      </c>
      <c r="L2344" s="367">
        <v>155</v>
      </c>
      <c r="M2344" s="358" t="s">
        <v>14</v>
      </c>
      <c r="N2344" s="396" t="s">
        <v>417</v>
      </c>
      <c r="O2344" s="367" t="s">
        <v>27</v>
      </c>
      <c r="P2344" s="128"/>
      <c r="Q2344" s="370" t="s">
        <v>423</v>
      </c>
      <c r="R2344" s="351"/>
    </row>
    <row r="2345" spans="1:20" ht="15" customHeight="1" x14ac:dyDescent="0.3">
      <c r="A2345" s="368"/>
      <c r="B2345" s="368"/>
      <c r="C2345" s="40">
        <v>-4300</v>
      </c>
      <c r="D2345" s="368"/>
      <c r="E2345" s="368"/>
      <c r="F2345" s="368"/>
      <c r="G2345" s="368"/>
      <c r="H2345" s="368"/>
      <c r="I2345" s="368"/>
      <c r="J2345" s="371"/>
      <c r="K2345" s="368"/>
      <c r="L2345" s="368"/>
      <c r="M2345" s="359"/>
      <c r="N2345" s="397"/>
      <c r="O2345" s="368"/>
      <c r="P2345" s="226">
        <v>44066</v>
      </c>
      <c r="Q2345" s="371"/>
      <c r="R2345" s="351"/>
      <c r="T2345" s="200">
        <v>1</v>
      </c>
    </row>
    <row r="2346" spans="1:20" ht="15" customHeight="1" thickBot="1" x14ac:dyDescent="0.35">
      <c r="A2346" s="369"/>
      <c r="B2346" s="369"/>
      <c r="C2346" s="42">
        <v>17500</v>
      </c>
      <c r="D2346" s="369"/>
      <c r="E2346" s="369"/>
      <c r="F2346" s="369"/>
      <c r="G2346" s="369"/>
      <c r="H2346" s="369"/>
      <c r="I2346" s="369"/>
      <c r="J2346" s="372"/>
      <c r="K2346" s="369"/>
      <c r="L2346" s="369"/>
      <c r="M2346" s="360"/>
      <c r="N2346" s="398"/>
      <c r="O2346" s="369"/>
      <c r="P2346" s="130"/>
      <c r="Q2346" s="372"/>
      <c r="R2346" s="351"/>
    </row>
    <row r="2347" spans="1:20" ht="15" hidden="1" customHeight="1" x14ac:dyDescent="0.3">
      <c r="A2347" s="367">
        <v>639</v>
      </c>
      <c r="B2347" s="367" t="s">
        <v>324</v>
      </c>
      <c r="C2347" s="40">
        <v>-14200</v>
      </c>
      <c r="D2347" s="367">
        <v>1</v>
      </c>
      <c r="E2347" s="367" t="s">
        <v>245</v>
      </c>
      <c r="F2347" s="367">
        <v>1000</v>
      </c>
      <c r="G2347" s="367">
        <v>1000</v>
      </c>
      <c r="H2347" s="367" t="s">
        <v>44</v>
      </c>
      <c r="I2347" s="367">
        <v>300</v>
      </c>
      <c r="J2347" s="370" t="s">
        <v>45</v>
      </c>
      <c r="K2347" s="367">
        <v>90</v>
      </c>
      <c r="L2347" s="367">
        <v>20</v>
      </c>
      <c r="M2347" s="358" t="s">
        <v>14</v>
      </c>
      <c r="N2347" s="396" t="s">
        <v>417</v>
      </c>
      <c r="O2347" s="367" t="s">
        <v>27</v>
      </c>
      <c r="P2347" s="316"/>
      <c r="Q2347" s="367" t="s">
        <v>325</v>
      </c>
      <c r="T2347" s="200">
        <v>1</v>
      </c>
    </row>
    <row r="2348" spans="1:20" ht="15" customHeight="1" x14ac:dyDescent="0.3">
      <c r="A2348" s="368"/>
      <c r="B2348" s="368"/>
      <c r="C2348" s="41">
        <v>-4600</v>
      </c>
      <c r="D2348" s="368"/>
      <c r="E2348" s="368"/>
      <c r="F2348" s="368"/>
      <c r="G2348" s="368"/>
      <c r="H2348" s="368"/>
      <c r="I2348" s="368"/>
      <c r="J2348" s="371"/>
      <c r="K2348" s="368"/>
      <c r="L2348" s="368"/>
      <c r="M2348" s="359"/>
      <c r="N2348" s="397"/>
      <c r="O2348" s="368"/>
      <c r="P2348" s="226">
        <v>44096</v>
      </c>
      <c r="Q2348" s="368"/>
      <c r="R2348" s="186">
        <v>44096</v>
      </c>
    </row>
    <row r="2349" spans="1:20" ht="15" customHeight="1" thickBot="1" x14ac:dyDescent="0.35">
      <c r="A2349" s="369"/>
      <c r="B2349" s="369"/>
      <c r="C2349" s="42">
        <v>16820</v>
      </c>
      <c r="D2349" s="369"/>
      <c r="E2349" s="369"/>
      <c r="F2349" s="369"/>
      <c r="G2349" s="369"/>
      <c r="H2349" s="369"/>
      <c r="I2349" s="369"/>
      <c r="J2349" s="372"/>
      <c r="K2349" s="369"/>
      <c r="L2349" s="369"/>
      <c r="M2349" s="360"/>
      <c r="N2349" s="398"/>
      <c r="O2349" s="369"/>
      <c r="P2349" s="317"/>
      <c r="Q2349" s="369"/>
    </row>
    <row r="2350" spans="1:20" ht="15" hidden="1" customHeight="1" x14ac:dyDescent="0.3">
      <c r="A2350" s="367">
        <v>640</v>
      </c>
      <c r="B2350" s="367" t="s">
        <v>324</v>
      </c>
      <c r="C2350" s="40">
        <v>-14200</v>
      </c>
      <c r="D2350" s="367">
        <v>1</v>
      </c>
      <c r="E2350" s="367" t="s">
        <v>245</v>
      </c>
      <c r="F2350" s="367">
        <v>1000</v>
      </c>
      <c r="G2350" s="367">
        <v>1000</v>
      </c>
      <c r="H2350" s="367" t="s">
        <v>44</v>
      </c>
      <c r="I2350" s="367">
        <v>300</v>
      </c>
      <c r="J2350" s="370" t="s">
        <v>45</v>
      </c>
      <c r="K2350" s="367">
        <v>90</v>
      </c>
      <c r="L2350" s="367">
        <v>20</v>
      </c>
      <c r="M2350" s="358" t="s">
        <v>14</v>
      </c>
      <c r="N2350" s="396" t="s">
        <v>417</v>
      </c>
      <c r="O2350" s="367" t="s">
        <v>27</v>
      </c>
      <c r="P2350" s="316"/>
      <c r="Q2350" s="367" t="s">
        <v>325</v>
      </c>
      <c r="T2350" s="200">
        <v>1</v>
      </c>
    </row>
    <row r="2351" spans="1:20" ht="15" customHeight="1" x14ac:dyDescent="0.3">
      <c r="A2351" s="368"/>
      <c r="B2351" s="368"/>
      <c r="C2351" s="41">
        <v>-4053</v>
      </c>
      <c r="D2351" s="368"/>
      <c r="E2351" s="368"/>
      <c r="F2351" s="368"/>
      <c r="G2351" s="368"/>
      <c r="H2351" s="368"/>
      <c r="I2351" s="368"/>
      <c r="J2351" s="371"/>
      <c r="K2351" s="368"/>
      <c r="L2351" s="368"/>
      <c r="M2351" s="359"/>
      <c r="N2351" s="397"/>
      <c r="O2351" s="368"/>
      <c r="P2351" s="226">
        <v>44096</v>
      </c>
      <c r="Q2351" s="368"/>
      <c r="R2351" s="186">
        <v>44096</v>
      </c>
    </row>
    <row r="2352" spans="1:20" ht="15" customHeight="1" thickBot="1" x14ac:dyDescent="0.35">
      <c r="A2352" s="369"/>
      <c r="B2352" s="369"/>
      <c r="C2352" s="42">
        <v>16570</v>
      </c>
      <c r="D2352" s="369"/>
      <c r="E2352" s="369"/>
      <c r="F2352" s="369"/>
      <c r="G2352" s="369"/>
      <c r="H2352" s="369"/>
      <c r="I2352" s="369"/>
      <c r="J2352" s="372"/>
      <c r="K2352" s="369"/>
      <c r="L2352" s="369"/>
      <c r="M2352" s="360"/>
      <c r="N2352" s="398"/>
      <c r="O2352" s="369"/>
      <c r="P2352" s="317"/>
      <c r="Q2352" s="369"/>
    </row>
    <row r="2353" spans="1:20" ht="15" hidden="1" customHeight="1" x14ac:dyDescent="0.3">
      <c r="A2353" s="367">
        <v>641</v>
      </c>
      <c r="B2353" s="367" t="s">
        <v>174</v>
      </c>
      <c r="C2353" s="40">
        <v>-14200</v>
      </c>
      <c r="D2353" s="370">
        <v>0</v>
      </c>
      <c r="E2353" s="367" t="s">
        <v>13</v>
      </c>
      <c r="F2353" s="367">
        <v>1000</v>
      </c>
      <c r="G2353" s="367">
        <v>1000</v>
      </c>
      <c r="H2353" s="367" t="s">
        <v>50</v>
      </c>
      <c r="I2353" s="367" t="s">
        <v>13</v>
      </c>
      <c r="J2353" s="367" t="s">
        <v>13</v>
      </c>
      <c r="K2353" s="367" t="s">
        <v>13</v>
      </c>
      <c r="L2353" s="367" t="s">
        <v>13</v>
      </c>
      <c r="M2353" s="358" t="s">
        <v>14</v>
      </c>
      <c r="N2353" s="396" t="s">
        <v>417</v>
      </c>
      <c r="O2353" s="367" t="s">
        <v>27</v>
      </c>
      <c r="P2353" s="65"/>
      <c r="Q2353" s="367" t="s">
        <v>184</v>
      </c>
      <c r="T2353" s="200">
        <v>1</v>
      </c>
    </row>
    <row r="2354" spans="1:20" ht="15" customHeight="1" x14ac:dyDescent="0.3">
      <c r="A2354" s="368"/>
      <c r="B2354" s="368"/>
      <c r="C2354" s="41">
        <v>-3750</v>
      </c>
      <c r="D2354" s="371"/>
      <c r="E2354" s="368"/>
      <c r="F2354" s="368"/>
      <c r="G2354" s="368"/>
      <c r="H2354" s="368"/>
      <c r="I2354" s="368"/>
      <c r="J2354" s="368"/>
      <c r="K2354" s="368"/>
      <c r="L2354" s="368"/>
      <c r="M2354" s="359"/>
      <c r="N2354" s="397"/>
      <c r="O2354" s="368"/>
      <c r="P2354" s="66"/>
      <c r="Q2354" s="368"/>
    </row>
    <row r="2355" spans="1:20" ht="15" customHeight="1" thickBot="1" x14ac:dyDescent="0.35">
      <c r="A2355" s="369"/>
      <c r="B2355" s="369"/>
      <c r="C2355" s="42">
        <v>14900</v>
      </c>
      <c r="D2355" s="372"/>
      <c r="E2355" s="369"/>
      <c r="F2355" s="369"/>
      <c r="G2355" s="369"/>
      <c r="H2355" s="369"/>
      <c r="I2355" s="369"/>
      <c r="J2355" s="369"/>
      <c r="K2355" s="369"/>
      <c r="L2355" s="369"/>
      <c r="M2355" s="360"/>
      <c r="N2355" s="398"/>
      <c r="O2355" s="369"/>
      <c r="P2355" s="227">
        <v>44066</v>
      </c>
      <c r="Q2355" s="369"/>
    </row>
    <row r="2356" spans="1:20" ht="15" hidden="1" customHeight="1" x14ac:dyDescent="0.3">
      <c r="A2356" s="367">
        <v>642</v>
      </c>
      <c r="B2356" s="367" t="s">
        <v>174</v>
      </c>
      <c r="C2356" s="40">
        <v>-18900</v>
      </c>
      <c r="D2356" s="370">
        <v>0</v>
      </c>
      <c r="E2356" s="367" t="s">
        <v>13</v>
      </c>
      <c r="F2356" s="367">
        <v>600</v>
      </c>
      <c r="G2356" s="367">
        <v>600</v>
      </c>
      <c r="H2356" s="367" t="s">
        <v>107</v>
      </c>
      <c r="I2356" s="367" t="s">
        <v>13</v>
      </c>
      <c r="J2356" s="367" t="s">
        <v>13</v>
      </c>
      <c r="K2356" s="367" t="s">
        <v>13</v>
      </c>
      <c r="L2356" s="367" t="s">
        <v>13</v>
      </c>
      <c r="M2356" s="358" t="s">
        <v>14</v>
      </c>
      <c r="N2356" s="396" t="s">
        <v>89</v>
      </c>
      <c r="O2356" s="367" t="s">
        <v>27</v>
      </c>
      <c r="P2356" s="65"/>
      <c r="Q2356" s="367" t="s">
        <v>184</v>
      </c>
      <c r="T2356" s="200">
        <v>1</v>
      </c>
    </row>
    <row r="2357" spans="1:20" ht="15" customHeight="1" x14ac:dyDescent="0.3">
      <c r="A2357" s="368"/>
      <c r="B2357" s="368"/>
      <c r="C2357" s="41">
        <v>1130</v>
      </c>
      <c r="D2357" s="371"/>
      <c r="E2357" s="368"/>
      <c r="F2357" s="368"/>
      <c r="G2357" s="368"/>
      <c r="H2357" s="368"/>
      <c r="I2357" s="368"/>
      <c r="J2357" s="368"/>
      <c r="K2357" s="368"/>
      <c r="L2357" s="368"/>
      <c r="M2357" s="359"/>
      <c r="N2357" s="397"/>
      <c r="O2357" s="368"/>
      <c r="P2357" s="66"/>
      <c r="Q2357" s="368"/>
    </row>
    <row r="2358" spans="1:20" ht="15" customHeight="1" thickBot="1" x14ac:dyDescent="0.35">
      <c r="A2358" s="369"/>
      <c r="B2358" s="369"/>
      <c r="C2358" s="42">
        <v>19897</v>
      </c>
      <c r="D2358" s="372"/>
      <c r="E2358" s="369"/>
      <c r="F2358" s="369"/>
      <c r="G2358" s="369"/>
      <c r="H2358" s="369"/>
      <c r="I2358" s="369"/>
      <c r="J2358" s="369"/>
      <c r="K2358" s="369"/>
      <c r="L2358" s="369"/>
      <c r="M2358" s="360"/>
      <c r="N2358" s="398"/>
      <c r="O2358" s="369"/>
      <c r="P2358" s="227">
        <v>44066</v>
      </c>
      <c r="Q2358" s="369"/>
    </row>
    <row r="2359" spans="1:20" ht="15" hidden="1" customHeight="1" x14ac:dyDescent="0.3">
      <c r="A2359" s="367">
        <v>643</v>
      </c>
      <c r="B2359" s="367" t="s">
        <v>174</v>
      </c>
      <c r="C2359" s="40">
        <v>-16877</v>
      </c>
      <c r="D2359" s="370">
        <v>0</v>
      </c>
      <c r="E2359" s="367" t="s">
        <v>13</v>
      </c>
      <c r="F2359" s="367">
        <v>500</v>
      </c>
      <c r="G2359" s="367">
        <v>500</v>
      </c>
      <c r="H2359" s="367" t="s">
        <v>30</v>
      </c>
      <c r="I2359" s="367" t="s">
        <v>13</v>
      </c>
      <c r="J2359" s="367" t="s">
        <v>13</v>
      </c>
      <c r="K2359" s="367" t="s">
        <v>13</v>
      </c>
      <c r="L2359" s="367" t="s">
        <v>13</v>
      </c>
      <c r="M2359" s="358" t="s">
        <v>14</v>
      </c>
      <c r="N2359" s="396" t="s">
        <v>402</v>
      </c>
      <c r="O2359" s="367" t="s">
        <v>27</v>
      </c>
      <c r="P2359" s="65"/>
      <c r="Q2359" s="367" t="s">
        <v>184</v>
      </c>
      <c r="T2359" s="200">
        <v>1</v>
      </c>
    </row>
    <row r="2360" spans="1:20" ht="15" customHeight="1" x14ac:dyDescent="0.3">
      <c r="A2360" s="368"/>
      <c r="B2360" s="368"/>
      <c r="C2360" s="41">
        <v>3250</v>
      </c>
      <c r="D2360" s="371"/>
      <c r="E2360" s="368"/>
      <c r="F2360" s="368"/>
      <c r="G2360" s="368"/>
      <c r="H2360" s="368"/>
      <c r="I2360" s="368"/>
      <c r="J2360" s="368"/>
      <c r="K2360" s="368"/>
      <c r="L2360" s="368"/>
      <c r="M2360" s="359"/>
      <c r="N2360" s="397"/>
      <c r="O2360" s="368"/>
      <c r="P2360" s="66"/>
      <c r="Q2360" s="368"/>
    </row>
    <row r="2361" spans="1:20" ht="15" customHeight="1" thickBot="1" x14ac:dyDescent="0.35">
      <c r="A2361" s="369"/>
      <c r="B2361" s="369"/>
      <c r="C2361" s="42">
        <v>19800</v>
      </c>
      <c r="D2361" s="372"/>
      <c r="E2361" s="369"/>
      <c r="F2361" s="369"/>
      <c r="G2361" s="369"/>
      <c r="H2361" s="369"/>
      <c r="I2361" s="369"/>
      <c r="J2361" s="369"/>
      <c r="K2361" s="369"/>
      <c r="L2361" s="369"/>
      <c r="M2361" s="360"/>
      <c r="N2361" s="398"/>
      <c r="O2361" s="369"/>
      <c r="P2361" s="227">
        <v>44066</v>
      </c>
      <c r="Q2361" s="369"/>
    </row>
    <row r="2362" spans="1:20" ht="15" hidden="1" customHeight="1" x14ac:dyDescent="0.3">
      <c r="A2362" s="367">
        <v>644</v>
      </c>
      <c r="B2362" s="367" t="s">
        <v>174</v>
      </c>
      <c r="C2362" s="40">
        <v>-17385</v>
      </c>
      <c r="D2362" s="370">
        <v>0</v>
      </c>
      <c r="E2362" s="367" t="s">
        <v>13</v>
      </c>
      <c r="F2362" s="367">
        <v>500</v>
      </c>
      <c r="G2362" s="367">
        <v>500</v>
      </c>
      <c r="H2362" s="367" t="s">
        <v>30</v>
      </c>
      <c r="I2362" s="367" t="s">
        <v>13</v>
      </c>
      <c r="J2362" s="367" t="s">
        <v>13</v>
      </c>
      <c r="K2362" s="367" t="s">
        <v>13</v>
      </c>
      <c r="L2362" s="367" t="s">
        <v>13</v>
      </c>
      <c r="M2362" s="358" t="s">
        <v>14</v>
      </c>
      <c r="N2362" s="396" t="s">
        <v>402</v>
      </c>
      <c r="O2362" s="367" t="s">
        <v>27</v>
      </c>
      <c r="P2362" s="65"/>
      <c r="Q2362" s="367" t="s">
        <v>184</v>
      </c>
    </row>
    <row r="2363" spans="1:20" ht="15" customHeight="1" x14ac:dyDescent="0.3">
      <c r="A2363" s="368"/>
      <c r="B2363" s="368"/>
      <c r="C2363" s="41">
        <v>3250</v>
      </c>
      <c r="D2363" s="371"/>
      <c r="E2363" s="368"/>
      <c r="F2363" s="368"/>
      <c r="G2363" s="368"/>
      <c r="H2363" s="368"/>
      <c r="I2363" s="368"/>
      <c r="J2363" s="368"/>
      <c r="K2363" s="368"/>
      <c r="L2363" s="368"/>
      <c r="M2363" s="359"/>
      <c r="N2363" s="397"/>
      <c r="O2363" s="368"/>
      <c r="P2363" s="66"/>
      <c r="Q2363" s="368"/>
      <c r="T2363" s="200">
        <v>1</v>
      </c>
    </row>
    <row r="2364" spans="1:20" ht="15" customHeight="1" thickBot="1" x14ac:dyDescent="0.35">
      <c r="A2364" s="369"/>
      <c r="B2364" s="369"/>
      <c r="C2364" s="42">
        <v>19260</v>
      </c>
      <c r="D2364" s="372"/>
      <c r="E2364" s="369"/>
      <c r="F2364" s="369"/>
      <c r="G2364" s="369"/>
      <c r="H2364" s="369"/>
      <c r="I2364" s="369"/>
      <c r="J2364" s="369"/>
      <c r="K2364" s="369"/>
      <c r="L2364" s="369"/>
      <c r="M2364" s="360"/>
      <c r="N2364" s="398"/>
      <c r="O2364" s="369"/>
      <c r="P2364" s="227">
        <v>44066</v>
      </c>
      <c r="Q2364" s="369"/>
    </row>
    <row r="2365" spans="1:20" ht="15" hidden="1" customHeight="1" x14ac:dyDescent="0.3">
      <c r="A2365" s="367">
        <v>645</v>
      </c>
      <c r="B2365" s="367" t="s">
        <v>424</v>
      </c>
      <c r="C2365" s="40">
        <v>-17897</v>
      </c>
      <c r="D2365" s="367">
        <v>1</v>
      </c>
      <c r="E2365" s="367" t="s">
        <v>271</v>
      </c>
      <c r="F2365" s="367">
        <v>500</v>
      </c>
      <c r="G2365" s="367">
        <v>500</v>
      </c>
      <c r="H2365" s="367" t="s">
        <v>30</v>
      </c>
      <c r="I2365" s="367">
        <v>95</v>
      </c>
      <c r="J2365" s="370" t="s">
        <v>45</v>
      </c>
      <c r="K2365" s="367">
        <v>30</v>
      </c>
      <c r="L2365" s="367">
        <v>-8</v>
      </c>
      <c r="M2365" s="358" t="s">
        <v>14</v>
      </c>
      <c r="N2365" s="396" t="s">
        <v>402</v>
      </c>
      <c r="O2365" s="367" t="s">
        <v>27</v>
      </c>
      <c r="P2365" s="261"/>
      <c r="Q2365" s="367" t="s">
        <v>425</v>
      </c>
      <c r="T2365" s="200">
        <v>1</v>
      </c>
    </row>
    <row r="2366" spans="1:20" ht="15" customHeight="1" x14ac:dyDescent="0.3">
      <c r="A2366" s="368"/>
      <c r="B2366" s="368"/>
      <c r="C2366" s="41">
        <v>3250</v>
      </c>
      <c r="D2366" s="368"/>
      <c r="E2366" s="368"/>
      <c r="F2366" s="368"/>
      <c r="G2366" s="368"/>
      <c r="H2366" s="368"/>
      <c r="I2366" s="368"/>
      <c r="J2366" s="371"/>
      <c r="K2366" s="368"/>
      <c r="L2366" s="368"/>
      <c r="M2366" s="359"/>
      <c r="N2366" s="397"/>
      <c r="O2366" s="368"/>
      <c r="P2366" s="226">
        <v>44090</v>
      </c>
      <c r="Q2366" s="368"/>
    </row>
    <row r="2367" spans="1:20" ht="15" customHeight="1" thickBot="1" x14ac:dyDescent="0.35">
      <c r="A2367" s="369"/>
      <c r="B2367" s="369"/>
      <c r="C2367" s="42">
        <v>19800</v>
      </c>
      <c r="D2367" s="369"/>
      <c r="E2367" s="369"/>
      <c r="F2367" s="369"/>
      <c r="G2367" s="369"/>
      <c r="H2367" s="369"/>
      <c r="I2367" s="369"/>
      <c r="J2367" s="372"/>
      <c r="K2367" s="369"/>
      <c r="L2367" s="369"/>
      <c r="M2367" s="360"/>
      <c r="N2367" s="398"/>
      <c r="O2367" s="369"/>
      <c r="P2367" s="262"/>
      <c r="Q2367" s="369"/>
    </row>
    <row r="2368" spans="1:20" ht="15" hidden="1" customHeight="1" x14ac:dyDescent="0.3">
      <c r="A2368" s="367">
        <v>646</v>
      </c>
      <c r="B2368" s="367" t="s">
        <v>174</v>
      </c>
      <c r="C2368" s="40">
        <v>-17897</v>
      </c>
      <c r="D2368" s="370">
        <v>0</v>
      </c>
      <c r="E2368" s="367" t="s">
        <v>13</v>
      </c>
      <c r="F2368" s="367">
        <v>500</v>
      </c>
      <c r="G2368" s="367">
        <v>500</v>
      </c>
      <c r="H2368" s="367" t="s">
        <v>175</v>
      </c>
      <c r="I2368" s="367" t="s">
        <v>13</v>
      </c>
      <c r="J2368" s="367" t="s">
        <v>13</v>
      </c>
      <c r="K2368" s="367" t="s">
        <v>13</v>
      </c>
      <c r="L2368" s="367" t="s">
        <v>13</v>
      </c>
      <c r="M2368" s="358" t="s">
        <v>14</v>
      </c>
      <c r="N2368" s="396" t="s">
        <v>402</v>
      </c>
      <c r="O2368" s="367" t="s">
        <v>27</v>
      </c>
      <c r="P2368" s="65"/>
      <c r="Q2368" s="367" t="s">
        <v>184</v>
      </c>
    </row>
    <row r="2369" spans="1:20" ht="15" customHeight="1" x14ac:dyDescent="0.3">
      <c r="A2369" s="368"/>
      <c r="B2369" s="368"/>
      <c r="C2369" s="41">
        <v>3250</v>
      </c>
      <c r="D2369" s="371"/>
      <c r="E2369" s="368"/>
      <c r="F2369" s="368"/>
      <c r="G2369" s="368"/>
      <c r="H2369" s="368"/>
      <c r="I2369" s="368"/>
      <c r="J2369" s="368"/>
      <c r="K2369" s="368"/>
      <c r="L2369" s="368"/>
      <c r="M2369" s="359"/>
      <c r="N2369" s="397"/>
      <c r="O2369" s="368"/>
      <c r="P2369" s="226">
        <v>44066</v>
      </c>
      <c r="Q2369" s="368"/>
      <c r="T2369" s="200">
        <v>1</v>
      </c>
    </row>
    <row r="2370" spans="1:20" ht="15" customHeight="1" thickBot="1" x14ac:dyDescent="0.35">
      <c r="A2370" s="369"/>
      <c r="B2370" s="369"/>
      <c r="C2370" s="42">
        <v>19500</v>
      </c>
      <c r="D2370" s="372"/>
      <c r="E2370" s="369"/>
      <c r="F2370" s="369"/>
      <c r="G2370" s="369"/>
      <c r="H2370" s="369"/>
      <c r="I2370" s="369"/>
      <c r="J2370" s="369"/>
      <c r="K2370" s="369"/>
      <c r="L2370" s="369"/>
      <c r="M2370" s="360"/>
      <c r="N2370" s="398"/>
      <c r="O2370" s="369"/>
      <c r="P2370" s="67"/>
      <c r="Q2370" s="369"/>
    </row>
    <row r="2371" spans="1:20" ht="15" hidden="1" customHeight="1" x14ac:dyDescent="0.3">
      <c r="A2371" s="367">
        <v>647</v>
      </c>
      <c r="B2371" s="367" t="s">
        <v>174</v>
      </c>
      <c r="C2371" s="40">
        <v>-17590</v>
      </c>
      <c r="D2371" s="370">
        <v>0</v>
      </c>
      <c r="E2371" s="367" t="s">
        <v>13</v>
      </c>
      <c r="F2371" s="367">
        <v>500</v>
      </c>
      <c r="G2371" s="367">
        <v>500</v>
      </c>
      <c r="H2371" s="367" t="s">
        <v>175</v>
      </c>
      <c r="I2371" s="367" t="s">
        <v>13</v>
      </c>
      <c r="J2371" s="367" t="s">
        <v>13</v>
      </c>
      <c r="K2371" s="367" t="s">
        <v>13</v>
      </c>
      <c r="L2371" s="367" t="s">
        <v>13</v>
      </c>
      <c r="M2371" s="358" t="s">
        <v>14</v>
      </c>
      <c r="N2371" s="396" t="s">
        <v>402</v>
      </c>
      <c r="O2371" s="367" t="s">
        <v>27</v>
      </c>
      <c r="P2371" s="65"/>
      <c r="Q2371" s="367" t="s">
        <v>184</v>
      </c>
      <c r="T2371" s="200">
        <v>1</v>
      </c>
    </row>
    <row r="2372" spans="1:20" ht="15" customHeight="1" x14ac:dyDescent="0.3">
      <c r="A2372" s="368"/>
      <c r="B2372" s="368"/>
      <c r="C2372" s="41">
        <v>3250</v>
      </c>
      <c r="D2372" s="371"/>
      <c r="E2372" s="368"/>
      <c r="F2372" s="368"/>
      <c r="G2372" s="368"/>
      <c r="H2372" s="368"/>
      <c r="I2372" s="368"/>
      <c r="J2372" s="368"/>
      <c r="K2372" s="368"/>
      <c r="L2372" s="368"/>
      <c r="M2372" s="359"/>
      <c r="N2372" s="397"/>
      <c r="O2372" s="368"/>
      <c r="P2372" s="226">
        <v>44066</v>
      </c>
      <c r="Q2372" s="368"/>
    </row>
    <row r="2373" spans="1:20" ht="15" customHeight="1" thickBot="1" x14ac:dyDescent="0.35">
      <c r="A2373" s="369"/>
      <c r="B2373" s="369"/>
      <c r="C2373" s="42">
        <v>19500</v>
      </c>
      <c r="D2373" s="372"/>
      <c r="E2373" s="369"/>
      <c r="F2373" s="369"/>
      <c r="G2373" s="369"/>
      <c r="H2373" s="369"/>
      <c r="I2373" s="369"/>
      <c r="J2373" s="369"/>
      <c r="K2373" s="369"/>
      <c r="L2373" s="369"/>
      <c r="M2373" s="360"/>
      <c r="N2373" s="398"/>
      <c r="O2373" s="369"/>
      <c r="P2373" s="67"/>
      <c r="Q2373" s="369"/>
    </row>
    <row r="2374" spans="1:20" ht="15" hidden="1" customHeight="1" x14ac:dyDescent="0.3">
      <c r="A2374" s="367">
        <v>648</v>
      </c>
      <c r="B2374" s="367" t="s">
        <v>270</v>
      </c>
      <c r="C2374" s="40">
        <v>-21276</v>
      </c>
      <c r="D2374" s="367">
        <v>1</v>
      </c>
      <c r="E2374" s="367" t="s">
        <v>255</v>
      </c>
      <c r="F2374" s="367">
        <v>500</v>
      </c>
      <c r="G2374" s="367">
        <v>500</v>
      </c>
      <c r="H2374" s="367" t="s">
        <v>50</v>
      </c>
      <c r="I2374" s="367">
        <v>30</v>
      </c>
      <c r="J2374" s="370" t="s">
        <v>426</v>
      </c>
      <c r="K2374" s="367">
        <v>0</v>
      </c>
      <c r="L2374" s="367">
        <v>36.5</v>
      </c>
      <c r="M2374" s="358" t="s">
        <v>14</v>
      </c>
      <c r="N2374" s="396" t="s">
        <v>413</v>
      </c>
      <c r="O2374" s="367" t="s">
        <v>27</v>
      </c>
      <c r="P2374" s="228">
        <v>44066</v>
      </c>
      <c r="Q2374" s="367" t="s">
        <v>414</v>
      </c>
      <c r="T2374" s="200">
        <v>1</v>
      </c>
    </row>
    <row r="2375" spans="1:20" ht="15" customHeight="1" x14ac:dyDescent="0.3">
      <c r="A2375" s="368"/>
      <c r="B2375" s="368"/>
      <c r="C2375" s="41">
        <v>3250</v>
      </c>
      <c r="D2375" s="368"/>
      <c r="E2375" s="368"/>
      <c r="F2375" s="368"/>
      <c r="G2375" s="368"/>
      <c r="H2375" s="368"/>
      <c r="I2375" s="368"/>
      <c r="J2375" s="371"/>
      <c r="K2375" s="368"/>
      <c r="L2375" s="368"/>
      <c r="M2375" s="359"/>
      <c r="N2375" s="397"/>
      <c r="O2375" s="368"/>
      <c r="P2375" s="66"/>
      <c r="Q2375" s="368"/>
    </row>
    <row r="2376" spans="1:20" ht="15" customHeight="1" thickBot="1" x14ac:dyDescent="0.35">
      <c r="A2376" s="369"/>
      <c r="B2376" s="369"/>
      <c r="C2376" s="42">
        <v>24550</v>
      </c>
      <c r="D2376" s="369"/>
      <c r="E2376" s="369"/>
      <c r="F2376" s="369"/>
      <c r="G2376" s="369"/>
      <c r="H2376" s="369"/>
      <c r="I2376" s="369"/>
      <c r="J2376" s="372"/>
      <c r="K2376" s="369"/>
      <c r="L2376" s="369"/>
      <c r="M2376" s="360"/>
      <c r="N2376" s="398"/>
      <c r="O2376" s="369"/>
      <c r="P2376" s="67"/>
      <c r="Q2376" s="369"/>
    </row>
    <row r="2377" spans="1:20" ht="15" hidden="1" customHeight="1" x14ac:dyDescent="0.3">
      <c r="A2377" s="367">
        <v>649</v>
      </c>
      <c r="B2377" s="367" t="s">
        <v>174</v>
      </c>
      <c r="C2377" s="40">
        <v>-16000</v>
      </c>
      <c r="D2377" s="370">
        <v>0</v>
      </c>
      <c r="E2377" s="367" t="s">
        <v>13</v>
      </c>
      <c r="F2377" s="367">
        <v>1000</v>
      </c>
      <c r="G2377" s="367">
        <v>1000</v>
      </c>
      <c r="H2377" s="367" t="s">
        <v>50</v>
      </c>
      <c r="I2377" s="367" t="s">
        <v>13</v>
      </c>
      <c r="J2377" s="367" t="s">
        <v>13</v>
      </c>
      <c r="K2377" s="367" t="s">
        <v>13</v>
      </c>
      <c r="L2377" s="367" t="s">
        <v>13</v>
      </c>
      <c r="M2377" s="358" t="s">
        <v>14</v>
      </c>
      <c r="N2377" s="396" t="s">
        <v>402</v>
      </c>
      <c r="O2377" s="367" t="s">
        <v>27</v>
      </c>
      <c r="P2377" s="65"/>
      <c r="Q2377" s="367" t="s">
        <v>184</v>
      </c>
    </row>
    <row r="2378" spans="1:20" ht="15" customHeight="1" x14ac:dyDescent="0.3">
      <c r="A2378" s="368"/>
      <c r="B2378" s="368"/>
      <c r="C2378" s="41">
        <v>6000</v>
      </c>
      <c r="D2378" s="371"/>
      <c r="E2378" s="368"/>
      <c r="F2378" s="368"/>
      <c r="G2378" s="368"/>
      <c r="H2378" s="368"/>
      <c r="I2378" s="368"/>
      <c r="J2378" s="368"/>
      <c r="K2378" s="368"/>
      <c r="L2378" s="368"/>
      <c r="M2378" s="359"/>
      <c r="N2378" s="397"/>
      <c r="O2378" s="368"/>
      <c r="P2378" s="226">
        <v>44066</v>
      </c>
      <c r="Q2378" s="368"/>
      <c r="T2378" s="200">
        <v>1</v>
      </c>
    </row>
    <row r="2379" spans="1:20" ht="15" customHeight="1" thickBot="1" x14ac:dyDescent="0.35">
      <c r="A2379" s="369"/>
      <c r="B2379" s="369"/>
      <c r="C2379" s="42">
        <v>24000</v>
      </c>
      <c r="D2379" s="372"/>
      <c r="E2379" s="369"/>
      <c r="F2379" s="369"/>
      <c r="G2379" s="369"/>
      <c r="H2379" s="369"/>
      <c r="I2379" s="369"/>
      <c r="J2379" s="369"/>
      <c r="K2379" s="369"/>
      <c r="L2379" s="369"/>
      <c r="M2379" s="360"/>
      <c r="N2379" s="398"/>
      <c r="O2379" s="369"/>
      <c r="P2379" s="67"/>
      <c r="Q2379" s="369"/>
    </row>
    <row r="2380" spans="1:20" ht="15" hidden="1" customHeight="1" x14ac:dyDescent="0.3">
      <c r="A2380" s="367">
        <v>650</v>
      </c>
      <c r="B2380" s="367" t="s">
        <v>174</v>
      </c>
      <c r="C2380" s="40">
        <v>-16000</v>
      </c>
      <c r="D2380" s="370">
        <v>0</v>
      </c>
      <c r="E2380" s="367" t="s">
        <v>13</v>
      </c>
      <c r="F2380" s="367">
        <v>1000</v>
      </c>
      <c r="G2380" s="367">
        <v>1000</v>
      </c>
      <c r="H2380" s="367" t="s">
        <v>50</v>
      </c>
      <c r="I2380" s="367" t="s">
        <v>13</v>
      </c>
      <c r="J2380" s="367" t="s">
        <v>13</v>
      </c>
      <c r="K2380" s="367" t="s">
        <v>13</v>
      </c>
      <c r="L2380" s="367" t="s">
        <v>13</v>
      </c>
      <c r="M2380" s="358" t="s">
        <v>14</v>
      </c>
      <c r="N2380" s="396" t="s">
        <v>402</v>
      </c>
      <c r="O2380" s="367" t="s">
        <v>27</v>
      </c>
      <c r="P2380" s="65"/>
      <c r="Q2380" s="367" t="s">
        <v>184</v>
      </c>
      <c r="T2380" s="200">
        <v>1</v>
      </c>
    </row>
    <row r="2381" spans="1:20" ht="15" customHeight="1" x14ac:dyDescent="0.3">
      <c r="A2381" s="368"/>
      <c r="B2381" s="368"/>
      <c r="C2381" s="41">
        <v>5700</v>
      </c>
      <c r="D2381" s="371"/>
      <c r="E2381" s="368"/>
      <c r="F2381" s="368"/>
      <c r="G2381" s="368"/>
      <c r="H2381" s="368"/>
      <c r="I2381" s="368"/>
      <c r="J2381" s="368"/>
      <c r="K2381" s="368"/>
      <c r="L2381" s="368"/>
      <c r="M2381" s="359"/>
      <c r="N2381" s="397"/>
      <c r="O2381" s="368"/>
      <c r="P2381" s="226">
        <v>44066</v>
      </c>
      <c r="Q2381" s="368"/>
    </row>
    <row r="2382" spans="1:20" ht="15" customHeight="1" thickBot="1" x14ac:dyDescent="0.35">
      <c r="A2382" s="369"/>
      <c r="B2382" s="369"/>
      <c r="C2382" s="42">
        <v>22000</v>
      </c>
      <c r="D2382" s="372"/>
      <c r="E2382" s="369"/>
      <c r="F2382" s="369"/>
      <c r="G2382" s="369"/>
      <c r="H2382" s="369"/>
      <c r="I2382" s="369"/>
      <c r="J2382" s="369"/>
      <c r="K2382" s="369"/>
      <c r="L2382" s="369"/>
      <c r="M2382" s="360"/>
      <c r="N2382" s="398"/>
      <c r="O2382" s="369"/>
      <c r="P2382" s="67"/>
      <c r="Q2382" s="369"/>
    </row>
    <row r="2383" spans="1:20" ht="15" hidden="1" customHeight="1" x14ac:dyDescent="0.3">
      <c r="A2383" s="367">
        <v>651</v>
      </c>
      <c r="B2383" s="367" t="s">
        <v>174</v>
      </c>
      <c r="C2383" s="40">
        <v>-16000</v>
      </c>
      <c r="D2383" s="370">
        <v>0</v>
      </c>
      <c r="E2383" s="367" t="s">
        <v>13</v>
      </c>
      <c r="F2383" s="367">
        <v>1000</v>
      </c>
      <c r="G2383" s="367">
        <v>1000</v>
      </c>
      <c r="H2383" s="367" t="s">
        <v>50</v>
      </c>
      <c r="I2383" s="367" t="s">
        <v>13</v>
      </c>
      <c r="J2383" s="367" t="s">
        <v>13</v>
      </c>
      <c r="K2383" s="367" t="s">
        <v>13</v>
      </c>
      <c r="L2383" s="367" t="s">
        <v>13</v>
      </c>
      <c r="M2383" s="358" t="s">
        <v>14</v>
      </c>
      <c r="N2383" s="396" t="s">
        <v>402</v>
      </c>
      <c r="O2383" s="367" t="s">
        <v>27</v>
      </c>
      <c r="P2383" s="65"/>
      <c r="Q2383" s="367" t="s">
        <v>184</v>
      </c>
    </row>
    <row r="2384" spans="1:20" ht="15" customHeight="1" x14ac:dyDescent="0.3">
      <c r="A2384" s="368"/>
      <c r="B2384" s="368"/>
      <c r="C2384" s="41">
        <v>6000</v>
      </c>
      <c r="D2384" s="371"/>
      <c r="E2384" s="368"/>
      <c r="F2384" s="368"/>
      <c r="G2384" s="368"/>
      <c r="H2384" s="368"/>
      <c r="I2384" s="368"/>
      <c r="J2384" s="368"/>
      <c r="K2384" s="368"/>
      <c r="L2384" s="368"/>
      <c r="M2384" s="359"/>
      <c r="N2384" s="397"/>
      <c r="O2384" s="368"/>
      <c r="P2384" s="226">
        <v>44066</v>
      </c>
      <c r="Q2384" s="368"/>
      <c r="T2384" s="200">
        <v>1</v>
      </c>
    </row>
    <row r="2385" spans="1:20" ht="15" customHeight="1" thickBot="1" x14ac:dyDescent="0.35">
      <c r="A2385" s="369"/>
      <c r="B2385" s="369"/>
      <c r="C2385" s="42">
        <v>22000</v>
      </c>
      <c r="D2385" s="372"/>
      <c r="E2385" s="369"/>
      <c r="F2385" s="369"/>
      <c r="G2385" s="369"/>
      <c r="H2385" s="369"/>
      <c r="I2385" s="369"/>
      <c r="J2385" s="369"/>
      <c r="K2385" s="369"/>
      <c r="L2385" s="369"/>
      <c r="M2385" s="360"/>
      <c r="N2385" s="398"/>
      <c r="O2385" s="369"/>
      <c r="P2385" s="67"/>
      <c r="Q2385" s="369"/>
    </row>
    <row r="2386" spans="1:20" ht="15" hidden="1" customHeight="1" x14ac:dyDescent="0.3">
      <c r="A2386" s="367">
        <v>652</v>
      </c>
      <c r="B2386" s="367" t="s">
        <v>174</v>
      </c>
      <c r="C2386" s="40">
        <v>-16000</v>
      </c>
      <c r="D2386" s="370">
        <v>0</v>
      </c>
      <c r="E2386" s="367" t="s">
        <v>13</v>
      </c>
      <c r="F2386" s="367">
        <v>1000</v>
      </c>
      <c r="G2386" s="367">
        <v>1000</v>
      </c>
      <c r="H2386" s="367" t="s">
        <v>30</v>
      </c>
      <c r="I2386" s="367" t="s">
        <v>13</v>
      </c>
      <c r="J2386" s="367" t="s">
        <v>13</v>
      </c>
      <c r="K2386" s="367" t="s">
        <v>13</v>
      </c>
      <c r="L2386" s="367" t="s">
        <v>13</v>
      </c>
      <c r="M2386" s="358" t="s">
        <v>14</v>
      </c>
      <c r="N2386" s="396" t="s">
        <v>402</v>
      </c>
      <c r="O2386" s="367" t="s">
        <v>27</v>
      </c>
      <c r="P2386" s="65"/>
      <c r="Q2386" s="367" t="s">
        <v>184</v>
      </c>
      <c r="T2386" s="200">
        <v>1</v>
      </c>
    </row>
    <row r="2387" spans="1:20" ht="15" customHeight="1" x14ac:dyDescent="0.3">
      <c r="A2387" s="368"/>
      <c r="B2387" s="368"/>
      <c r="C2387" s="41">
        <v>8425</v>
      </c>
      <c r="D2387" s="371"/>
      <c r="E2387" s="368"/>
      <c r="F2387" s="368"/>
      <c r="G2387" s="368"/>
      <c r="H2387" s="368"/>
      <c r="I2387" s="368"/>
      <c r="J2387" s="368"/>
      <c r="K2387" s="368"/>
      <c r="L2387" s="368"/>
      <c r="M2387" s="359"/>
      <c r="N2387" s="397"/>
      <c r="O2387" s="368"/>
      <c r="P2387" s="226">
        <v>44066</v>
      </c>
      <c r="Q2387" s="368"/>
    </row>
    <row r="2388" spans="1:20" ht="15" customHeight="1" thickBot="1" x14ac:dyDescent="0.35">
      <c r="A2388" s="369"/>
      <c r="B2388" s="369"/>
      <c r="C2388" s="42">
        <v>22000</v>
      </c>
      <c r="D2388" s="372"/>
      <c r="E2388" s="369"/>
      <c r="F2388" s="369"/>
      <c r="G2388" s="369"/>
      <c r="H2388" s="369"/>
      <c r="I2388" s="369"/>
      <c r="J2388" s="369"/>
      <c r="K2388" s="369"/>
      <c r="L2388" s="369"/>
      <c r="M2388" s="360"/>
      <c r="N2388" s="398"/>
      <c r="O2388" s="369"/>
      <c r="P2388" s="67"/>
      <c r="Q2388" s="369"/>
    </row>
    <row r="2389" spans="1:20" ht="15" hidden="1" customHeight="1" x14ac:dyDescent="0.3">
      <c r="A2389" s="367">
        <v>653</v>
      </c>
      <c r="B2389" s="367" t="s">
        <v>174</v>
      </c>
      <c r="C2389" s="40">
        <v>-16000</v>
      </c>
      <c r="D2389" s="370">
        <v>0</v>
      </c>
      <c r="E2389" s="367" t="s">
        <v>13</v>
      </c>
      <c r="F2389" s="367">
        <v>1000</v>
      </c>
      <c r="G2389" s="367">
        <v>1000</v>
      </c>
      <c r="H2389" s="367" t="s">
        <v>30</v>
      </c>
      <c r="I2389" s="367" t="s">
        <v>13</v>
      </c>
      <c r="J2389" s="367" t="s">
        <v>13</v>
      </c>
      <c r="K2389" s="367" t="s">
        <v>13</v>
      </c>
      <c r="L2389" s="367" t="s">
        <v>13</v>
      </c>
      <c r="M2389" s="358" t="s">
        <v>14</v>
      </c>
      <c r="N2389" s="396" t="s">
        <v>402</v>
      </c>
      <c r="O2389" s="367" t="s">
        <v>27</v>
      </c>
      <c r="P2389" s="65"/>
      <c r="Q2389" s="367" t="s">
        <v>184</v>
      </c>
      <c r="T2389" s="200">
        <v>1</v>
      </c>
    </row>
    <row r="2390" spans="1:20" ht="15" customHeight="1" x14ac:dyDescent="0.3">
      <c r="A2390" s="368"/>
      <c r="B2390" s="368"/>
      <c r="C2390" s="41">
        <v>8675</v>
      </c>
      <c r="D2390" s="371"/>
      <c r="E2390" s="368"/>
      <c r="F2390" s="368"/>
      <c r="G2390" s="368"/>
      <c r="H2390" s="368"/>
      <c r="I2390" s="368"/>
      <c r="J2390" s="368"/>
      <c r="K2390" s="368"/>
      <c r="L2390" s="368"/>
      <c r="M2390" s="359"/>
      <c r="N2390" s="397"/>
      <c r="O2390" s="368"/>
      <c r="P2390" s="226">
        <v>44066</v>
      </c>
      <c r="Q2390" s="368"/>
    </row>
    <row r="2391" spans="1:20" ht="15" customHeight="1" thickBot="1" x14ac:dyDescent="0.35">
      <c r="A2391" s="369"/>
      <c r="B2391" s="369"/>
      <c r="C2391" s="42">
        <v>22000</v>
      </c>
      <c r="D2391" s="372"/>
      <c r="E2391" s="369"/>
      <c r="F2391" s="369"/>
      <c r="G2391" s="369"/>
      <c r="H2391" s="369"/>
      <c r="I2391" s="369"/>
      <c r="J2391" s="369"/>
      <c r="K2391" s="369"/>
      <c r="L2391" s="369"/>
      <c r="M2391" s="360"/>
      <c r="N2391" s="398"/>
      <c r="O2391" s="369"/>
      <c r="P2391" s="67"/>
      <c r="Q2391" s="369"/>
    </row>
    <row r="2392" spans="1:20" ht="15" hidden="1" customHeight="1" x14ac:dyDescent="0.3">
      <c r="A2392" s="367">
        <v>654</v>
      </c>
      <c r="B2392" s="367" t="s">
        <v>174</v>
      </c>
      <c r="C2392" s="40">
        <v>-16000</v>
      </c>
      <c r="D2392" s="370">
        <v>0</v>
      </c>
      <c r="E2392" s="367" t="s">
        <v>13</v>
      </c>
      <c r="F2392" s="367">
        <v>1000</v>
      </c>
      <c r="G2392" s="367">
        <v>1000</v>
      </c>
      <c r="H2392" s="367" t="s">
        <v>25</v>
      </c>
      <c r="I2392" s="367" t="s">
        <v>13</v>
      </c>
      <c r="J2392" s="367" t="s">
        <v>13</v>
      </c>
      <c r="K2392" s="367" t="s">
        <v>13</v>
      </c>
      <c r="L2392" s="367" t="s">
        <v>13</v>
      </c>
      <c r="M2392" s="358" t="s">
        <v>14</v>
      </c>
      <c r="N2392" s="396" t="s">
        <v>402</v>
      </c>
      <c r="O2392" s="367" t="s">
        <v>27</v>
      </c>
      <c r="P2392" s="65"/>
      <c r="Q2392" s="367" t="s">
        <v>184</v>
      </c>
    </row>
    <row r="2393" spans="1:20" ht="15" customHeight="1" x14ac:dyDescent="0.3">
      <c r="A2393" s="368"/>
      <c r="B2393" s="368"/>
      <c r="C2393" s="41">
        <v>4810</v>
      </c>
      <c r="D2393" s="371"/>
      <c r="E2393" s="368"/>
      <c r="F2393" s="368"/>
      <c r="G2393" s="368"/>
      <c r="H2393" s="368"/>
      <c r="I2393" s="368"/>
      <c r="J2393" s="368"/>
      <c r="K2393" s="368"/>
      <c r="L2393" s="368"/>
      <c r="M2393" s="359"/>
      <c r="N2393" s="397"/>
      <c r="O2393" s="368"/>
      <c r="P2393" s="226">
        <v>44066</v>
      </c>
      <c r="Q2393" s="368"/>
      <c r="T2393" s="200">
        <v>1</v>
      </c>
    </row>
    <row r="2394" spans="1:20" ht="15" customHeight="1" thickBot="1" x14ac:dyDescent="0.35">
      <c r="A2394" s="369"/>
      <c r="B2394" s="369"/>
      <c r="C2394" s="42">
        <v>21000</v>
      </c>
      <c r="D2394" s="372"/>
      <c r="E2394" s="369"/>
      <c r="F2394" s="369"/>
      <c r="G2394" s="369"/>
      <c r="H2394" s="369"/>
      <c r="I2394" s="369"/>
      <c r="J2394" s="369"/>
      <c r="K2394" s="369"/>
      <c r="L2394" s="369"/>
      <c r="M2394" s="360"/>
      <c r="N2394" s="398"/>
      <c r="O2394" s="369"/>
      <c r="P2394" s="67"/>
      <c r="Q2394" s="369"/>
    </row>
    <row r="2395" spans="1:20" ht="15" hidden="1" customHeight="1" x14ac:dyDescent="0.3">
      <c r="A2395" s="367">
        <v>655</v>
      </c>
      <c r="B2395" s="367" t="s">
        <v>174</v>
      </c>
      <c r="C2395" s="40">
        <v>-16000</v>
      </c>
      <c r="D2395" s="370">
        <v>0</v>
      </c>
      <c r="E2395" s="367" t="s">
        <v>13</v>
      </c>
      <c r="F2395" s="367">
        <v>1000</v>
      </c>
      <c r="G2395" s="367">
        <v>1000</v>
      </c>
      <c r="H2395" s="367" t="s">
        <v>25</v>
      </c>
      <c r="I2395" s="367" t="s">
        <v>13</v>
      </c>
      <c r="J2395" s="367" t="s">
        <v>13</v>
      </c>
      <c r="K2395" s="367" t="s">
        <v>13</v>
      </c>
      <c r="L2395" s="367" t="s">
        <v>13</v>
      </c>
      <c r="M2395" s="358" t="s">
        <v>14</v>
      </c>
      <c r="N2395" s="396" t="s">
        <v>402</v>
      </c>
      <c r="O2395" s="367" t="s">
        <v>27</v>
      </c>
      <c r="P2395" s="65"/>
      <c r="Q2395" s="367" t="s">
        <v>184</v>
      </c>
      <c r="T2395" s="200">
        <v>1</v>
      </c>
    </row>
    <row r="2396" spans="1:20" ht="15" customHeight="1" x14ac:dyDescent="0.3">
      <c r="A2396" s="368"/>
      <c r="B2396" s="368"/>
      <c r="C2396" s="41">
        <v>6060</v>
      </c>
      <c r="D2396" s="371"/>
      <c r="E2396" s="368"/>
      <c r="F2396" s="368"/>
      <c r="G2396" s="368"/>
      <c r="H2396" s="368"/>
      <c r="I2396" s="368"/>
      <c r="J2396" s="368"/>
      <c r="K2396" s="368"/>
      <c r="L2396" s="368"/>
      <c r="M2396" s="359"/>
      <c r="N2396" s="397"/>
      <c r="O2396" s="368"/>
      <c r="P2396" s="226">
        <v>44066</v>
      </c>
      <c r="Q2396" s="368"/>
    </row>
    <row r="2397" spans="1:20" ht="15" customHeight="1" thickBot="1" x14ac:dyDescent="0.35">
      <c r="A2397" s="369"/>
      <c r="B2397" s="369"/>
      <c r="C2397" s="42">
        <v>21000</v>
      </c>
      <c r="D2397" s="372"/>
      <c r="E2397" s="369"/>
      <c r="F2397" s="369"/>
      <c r="G2397" s="369"/>
      <c r="H2397" s="369"/>
      <c r="I2397" s="369"/>
      <c r="J2397" s="369"/>
      <c r="K2397" s="369"/>
      <c r="L2397" s="369"/>
      <c r="M2397" s="360"/>
      <c r="N2397" s="398"/>
      <c r="O2397" s="369"/>
      <c r="P2397" s="67"/>
      <c r="Q2397" s="369"/>
    </row>
    <row r="2398" spans="1:20" ht="15" hidden="1" customHeight="1" x14ac:dyDescent="0.3">
      <c r="A2398" s="367">
        <v>656</v>
      </c>
      <c r="B2398" s="367" t="s">
        <v>174</v>
      </c>
      <c r="C2398" s="40">
        <v>-16000</v>
      </c>
      <c r="D2398" s="370">
        <v>0</v>
      </c>
      <c r="E2398" s="367" t="s">
        <v>13</v>
      </c>
      <c r="F2398" s="367">
        <v>1000</v>
      </c>
      <c r="G2398" s="367">
        <v>1000</v>
      </c>
      <c r="H2398" s="367" t="s">
        <v>25</v>
      </c>
      <c r="I2398" s="367" t="s">
        <v>13</v>
      </c>
      <c r="J2398" s="367" t="s">
        <v>13</v>
      </c>
      <c r="K2398" s="367" t="s">
        <v>13</v>
      </c>
      <c r="L2398" s="367" t="s">
        <v>13</v>
      </c>
      <c r="M2398" s="358" t="s">
        <v>14</v>
      </c>
      <c r="N2398" s="396" t="s">
        <v>402</v>
      </c>
      <c r="O2398" s="367" t="s">
        <v>27</v>
      </c>
      <c r="P2398" s="65"/>
      <c r="Q2398" s="367" t="s">
        <v>184</v>
      </c>
      <c r="T2398" s="257"/>
    </row>
    <row r="2399" spans="1:20" ht="15" customHeight="1" x14ac:dyDescent="0.3">
      <c r="A2399" s="368"/>
      <c r="B2399" s="368"/>
      <c r="C2399" s="41">
        <v>9900</v>
      </c>
      <c r="D2399" s="371"/>
      <c r="E2399" s="368"/>
      <c r="F2399" s="368"/>
      <c r="G2399" s="368"/>
      <c r="H2399" s="368"/>
      <c r="I2399" s="368"/>
      <c r="J2399" s="368"/>
      <c r="K2399" s="368"/>
      <c r="L2399" s="368"/>
      <c r="M2399" s="359"/>
      <c r="N2399" s="397"/>
      <c r="O2399" s="368"/>
      <c r="P2399" s="66"/>
      <c r="Q2399" s="368"/>
      <c r="T2399" s="200">
        <v>1</v>
      </c>
    </row>
    <row r="2400" spans="1:20" ht="15" customHeight="1" thickBot="1" x14ac:dyDescent="0.35">
      <c r="A2400" s="369"/>
      <c r="B2400" s="369"/>
      <c r="C2400" s="42">
        <v>21000</v>
      </c>
      <c r="D2400" s="372"/>
      <c r="E2400" s="369"/>
      <c r="F2400" s="369"/>
      <c r="G2400" s="369"/>
      <c r="H2400" s="369"/>
      <c r="I2400" s="369"/>
      <c r="J2400" s="369"/>
      <c r="K2400" s="369"/>
      <c r="L2400" s="369"/>
      <c r="M2400" s="360"/>
      <c r="N2400" s="398"/>
      <c r="O2400" s="369"/>
      <c r="P2400" s="227">
        <v>44066</v>
      </c>
      <c r="Q2400" s="369"/>
    </row>
    <row r="2401" spans="1:20" ht="15" hidden="1" customHeight="1" x14ac:dyDescent="0.3">
      <c r="A2401" s="367">
        <v>657</v>
      </c>
      <c r="B2401" s="367" t="s">
        <v>174</v>
      </c>
      <c r="C2401" s="40">
        <v>-16000</v>
      </c>
      <c r="D2401" s="370">
        <v>0</v>
      </c>
      <c r="E2401" s="367" t="s">
        <v>13</v>
      </c>
      <c r="F2401" s="367">
        <v>1000</v>
      </c>
      <c r="G2401" s="367">
        <v>1000</v>
      </c>
      <c r="H2401" s="367" t="s">
        <v>25</v>
      </c>
      <c r="I2401" s="367" t="s">
        <v>13</v>
      </c>
      <c r="J2401" s="367" t="s">
        <v>13</v>
      </c>
      <c r="K2401" s="367" t="s">
        <v>13</v>
      </c>
      <c r="L2401" s="367" t="s">
        <v>13</v>
      </c>
      <c r="M2401" s="358" t="s">
        <v>14</v>
      </c>
      <c r="N2401" s="396" t="s">
        <v>402</v>
      </c>
      <c r="O2401" s="367" t="s">
        <v>27</v>
      </c>
      <c r="P2401" s="65"/>
      <c r="Q2401" s="367" t="s">
        <v>184</v>
      </c>
    </row>
    <row r="2402" spans="1:20" ht="15" customHeight="1" x14ac:dyDescent="0.3">
      <c r="A2402" s="368"/>
      <c r="B2402" s="368"/>
      <c r="C2402" s="41">
        <v>10850</v>
      </c>
      <c r="D2402" s="371"/>
      <c r="E2402" s="368"/>
      <c r="F2402" s="368"/>
      <c r="G2402" s="368"/>
      <c r="H2402" s="368"/>
      <c r="I2402" s="368"/>
      <c r="J2402" s="368"/>
      <c r="K2402" s="368"/>
      <c r="L2402" s="368"/>
      <c r="M2402" s="359"/>
      <c r="N2402" s="397"/>
      <c r="O2402" s="368"/>
      <c r="P2402" s="226">
        <v>44066</v>
      </c>
      <c r="Q2402" s="368"/>
      <c r="T2402" s="200">
        <v>1</v>
      </c>
    </row>
    <row r="2403" spans="1:20" ht="15" customHeight="1" thickBot="1" x14ac:dyDescent="0.35">
      <c r="A2403" s="369"/>
      <c r="B2403" s="369"/>
      <c r="C2403" s="42">
        <v>21000</v>
      </c>
      <c r="D2403" s="372"/>
      <c r="E2403" s="369"/>
      <c r="F2403" s="369"/>
      <c r="G2403" s="369"/>
      <c r="H2403" s="369"/>
      <c r="I2403" s="369"/>
      <c r="J2403" s="369"/>
      <c r="K2403" s="369"/>
      <c r="L2403" s="369"/>
      <c r="M2403" s="360"/>
      <c r="N2403" s="398"/>
      <c r="O2403" s="369"/>
      <c r="P2403" s="67"/>
      <c r="Q2403" s="369"/>
    </row>
    <row r="2404" spans="1:20" ht="15" hidden="1" customHeight="1" x14ac:dyDescent="0.3">
      <c r="A2404" s="367">
        <v>658</v>
      </c>
      <c r="B2404" s="367" t="s">
        <v>424</v>
      </c>
      <c r="C2404" s="40">
        <v>-16000</v>
      </c>
      <c r="D2404" s="367">
        <v>1</v>
      </c>
      <c r="E2404" s="367" t="s">
        <v>271</v>
      </c>
      <c r="F2404" s="367">
        <v>1000</v>
      </c>
      <c r="G2404" s="367">
        <v>1000</v>
      </c>
      <c r="H2404" s="367" t="s">
        <v>30</v>
      </c>
      <c r="I2404" s="367">
        <v>95</v>
      </c>
      <c r="J2404" s="370" t="s">
        <v>45</v>
      </c>
      <c r="K2404" s="367">
        <v>30</v>
      </c>
      <c r="L2404" s="367">
        <v>-8</v>
      </c>
      <c r="M2404" s="358" t="s">
        <v>14</v>
      </c>
      <c r="N2404" s="396" t="s">
        <v>402</v>
      </c>
      <c r="O2404" s="367" t="s">
        <v>27</v>
      </c>
      <c r="P2404" s="261"/>
      <c r="Q2404" s="367" t="s">
        <v>425</v>
      </c>
    </row>
    <row r="2405" spans="1:20" ht="15" customHeight="1" x14ac:dyDescent="0.3">
      <c r="A2405" s="368"/>
      <c r="B2405" s="368"/>
      <c r="C2405" s="40">
        <v>5474</v>
      </c>
      <c r="D2405" s="368"/>
      <c r="E2405" s="368"/>
      <c r="F2405" s="368"/>
      <c r="G2405" s="368"/>
      <c r="H2405" s="368"/>
      <c r="I2405" s="368"/>
      <c r="J2405" s="371"/>
      <c r="K2405" s="368"/>
      <c r="L2405" s="368"/>
      <c r="M2405" s="359"/>
      <c r="N2405" s="397"/>
      <c r="O2405" s="368"/>
      <c r="P2405" s="226">
        <v>44090</v>
      </c>
      <c r="Q2405" s="368"/>
    </row>
    <row r="2406" spans="1:20" ht="15" customHeight="1" thickBot="1" x14ac:dyDescent="0.35">
      <c r="A2406" s="369"/>
      <c r="B2406" s="369"/>
      <c r="C2406" s="42">
        <v>18000</v>
      </c>
      <c r="D2406" s="369"/>
      <c r="E2406" s="369"/>
      <c r="F2406" s="369"/>
      <c r="G2406" s="369"/>
      <c r="H2406" s="369"/>
      <c r="I2406" s="369"/>
      <c r="J2406" s="372"/>
      <c r="K2406" s="369"/>
      <c r="L2406" s="369"/>
      <c r="M2406" s="360"/>
      <c r="N2406" s="398"/>
      <c r="O2406" s="369"/>
      <c r="P2406" s="262"/>
      <c r="Q2406" s="369"/>
      <c r="T2406" s="200">
        <v>1</v>
      </c>
    </row>
    <row r="2407" spans="1:20" ht="15" hidden="1" customHeight="1" x14ac:dyDescent="0.3">
      <c r="A2407" s="367">
        <v>659</v>
      </c>
      <c r="B2407" s="367" t="s">
        <v>174</v>
      </c>
      <c r="C2407" s="40">
        <v>-16000</v>
      </c>
      <c r="D2407" s="370">
        <v>0</v>
      </c>
      <c r="E2407" s="367" t="s">
        <v>13</v>
      </c>
      <c r="F2407" s="367">
        <v>1000</v>
      </c>
      <c r="G2407" s="367">
        <v>1000</v>
      </c>
      <c r="H2407" s="367" t="s">
        <v>30</v>
      </c>
      <c r="I2407" s="367" t="s">
        <v>13</v>
      </c>
      <c r="J2407" s="367" t="s">
        <v>13</v>
      </c>
      <c r="K2407" s="367" t="s">
        <v>13</v>
      </c>
      <c r="L2407" s="367" t="s">
        <v>13</v>
      </c>
      <c r="M2407" s="358" t="s">
        <v>14</v>
      </c>
      <c r="N2407" s="396" t="s">
        <v>402</v>
      </c>
      <c r="O2407" s="367" t="s">
        <v>27</v>
      </c>
      <c r="P2407" s="65"/>
      <c r="Q2407" s="367" t="s">
        <v>184</v>
      </c>
    </row>
    <row r="2408" spans="1:20" ht="15" customHeight="1" x14ac:dyDescent="0.3">
      <c r="A2408" s="368"/>
      <c r="B2408" s="368"/>
      <c r="C2408" s="41">
        <v>5724</v>
      </c>
      <c r="D2408" s="371"/>
      <c r="E2408" s="368"/>
      <c r="F2408" s="368"/>
      <c r="G2408" s="368"/>
      <c r="H2408" s="368"/>
      <c r="I2408" s="368"/>
      <c r="J2408" s="368"/>
      <c r="K2408" s="368"/>
      <c r="L2408" s="368"/>
      <c r="M2408" s="359"/>
      <c r="N2408" s="397"/>
      <c r="O2408" s="368"/>
      <c r="P2408" s="226">
        <v>44066</v>
      </c>
      <c r="Q2408" s="368"/>
      <c r="T2408" s="200">
        <v>1</v>
      </c>
    </row>
    <row r="2409" spans="1:20" ht="15" customHeight="1" thickBot="1" x14ac:dyDescent="0.35">
      <c r="A2409" s="369"/>
      <c r="B2409" s="369"/>
      <c r="C2409" s="42">
        <v>18000</v>
      </c>
      <c r="D2409" s="372"/>
      <c r="E2409" s="369"/>
      <c r="F2409" s="369"/>
      <c r="G2409" s="369"/>
      <c r="H2409" s="369"/>
      <c r="I2409" s="369"/>
      <c r="J2409" s="369"/>
      <c r="K2409" s="369"/>
      <c r="L2409" s="369"/>
      <c r="M2409" s="360"/>
      <c r="N2409" s="398"/>
      <c r="O2409" s="369"/>
      <c r="P2409" s="67"/>
      <c r="Q2409" s="369"/>
    </row>
    <row r="2410" spans="1:20" ht="15" hidden="1" customHeight="1" x14ac:dyDescent="0.3">
      <c r="A2410" s="367">
        <v>660</v>
      </c>
      <c r="B2410" s="367" t="s">
        <v>174</v>
      </c>
      <c r="C2410" s="40">
        <v>-16000</v>
      </c>
      <c r="D2410" s="370">
        <v>0</v>
      </c>
      <c r="E2410" s="367" t="s">
        <v>13</v>
      </c>
      <c r="F2410" s="367">
        <v>1000</v>
      </c>
      <c r="G2410" s="367">
        <v>1000</v>
      </c>
      <c r="H2410" s="367" t="s">
        <v>30</v>
      </c>
      <c r="I2410" s="367" t="s">
        <v>13</v>
      </c>
      <c r="J2410" s="367" t="s">
        <v>13</v>
      </c>
      <c r="K2410" s="367" t="s">
        <v>13</v>
      </c>
      <c r="L2410" s="367" t="s">
        <v>13</v>
      </c>
      <c r="M2410" s="358" t="s">
        <v>14</v>
      </c>
      <c r="N2410" s="396" t="s">
        <v>402</v>
      </c>
      <c r="O2410" s="367" t="s">
        <v>27</v>
      </c>
      <c r="P2410" s="65"/>
      <c r="Q2410" s="367" t="s">
        <v>184</v>
      </c>
    </row>
    <row r="2411" spans="1:20" ht="15" customHeight="1" x14ac:dyDescent="0.3">
      <c r="A2411" s="368"/>
      <c r="B2411" s="368"/>
      <c r="C2411" s="41">
        <v>5974</v>
      </c>
      <c r="D2411" s="371"/>
      <c r="E2411" s="368"/>
      <c r="F2411" s="368"/>
      <c r="G2411" s="368"/>
      <c r="H2411" s="368"/>
      <c r="I2411" s="368"/>
      <c r="J2411" s="368"/>
      <c r="K2411" s="368"/>
      <c r="L2411" s="368"/>
      <c r="M2411" s="359"/>
      <c r="N2411" s="397"/>
      <c r="O2411" s="368"/>
      <c r="P2411" s="226">
        <v>44066</v>
      </c>
      <c r="Q2411" s="368"/>
      <c r="T2411" s="200">
        <v>1</v>
      </c>
    </row>
    <row r="2412" spans="1:20" ht="15" customHeight="1" thickBot="1" x14ac:dyDescent="0.35">
      <c r="A2412" s="369"/>
      <c r="B2412" s="369"/>
      <c r="C2412" s="42">
        <v>18000</v>
      </c>
      <c r="D2412" s="372"/>
      <c r="E2412" s="369"/>
      <c r="F2412" s="369"/>
      <c r="G2412" s="369"/>
      <c r="H2412" s="369"/>
      <c r="I2412" s="369"/>
      <c r="J2412" s="369"/>
      <c r="K2412" s="369"/>
      <c r="L2412" s="369"/>
      <c r="M2412" s="360"/>
      <c r="N2412" s="398"/>
      <c r="O2412" s="369"/>
      <c r="P2412" s="67"/>
      <c r="Q2412" s="369"/>
    </row>
    <row r="2413" spans="1:20" ht="15" hidden="1" customHeight="1" x14ac:dyDescent="0.3">
      <c r="A2413" s="367">
        <v>661</v>
      </c>
      <c r="B2413" s="367" t="s">
        <v>174</v>
      </c>
      <c r="C2413" s="40">
        <v>-16000</v>
      </c>
      <c r="D2413" s="370">
        <v>0</v>
      </c>
      <c r="E2413" s="367" t="s">
        <v>13</v>
      </c>
      <c r="F2413" s="367">
        <v>1000</v>
      </c>
      <c r="G2413" s="367">
        <v>1000</v>
      </c>
      <c r="H2413" s="367" t="s">
        <v>30</v>
      </c>
      <c r="I2413" s="367" t="s">
        <v>13</v>
      </c>
      <c r="J2413" s="367" t="s">
        <v>13</v>
      </c>
      <c r="K2413" s="367" t="s">
        <v>13</v>
      </c>
      <c r="L2413" s="367" t="s">
        <v>13</v>
      </c>
      <c r="M2413" s="358" t="s">
        <v>14</v>
      </c>
      <c r="N2413" s="396" t="s">
        <v>402</v>
      </c>
      <c r="O2413" s="367" t="s">
        <v>27</v>
      </c>
      <c r="P2413" s="65"/>
      <c r="Q2413" s="367" t="s">
        <v>184</v>
      </c>
    </row>
    <row r="2414" spans="1:20" ht="15" customHeight="1" x14ac:dyDescent="0.3">
      <c r="A2414" s="368"/>
      <c r="B2414" s="368"/>
      <c r="C2414" s="41">
        <v>6224</v>
      </c>
      <c r="D2414" s="371"/>
      <c r="E2414" s="368"/>
      <c r="F2414" s="368"/>
      <c r="G2414" s="368"/>
      <c r="H2414" s="368"/>
      <c r="I2414" s="368"/>
      <c r="J2414" s="368"/>
      <c r="K2414" s="368"/>
      <c r="L2414" s="368"/>
      <c r="M2414" s="359"/>
      <c r="N2414" s="397"/>
      <c r="O2414" s="368"/>
      <c r="P2414" s="226">
        <v>44066</v>
      </c>
      <c r="Q2414" s="368"/>
      <c r="T2414" s="200">
        <v>1</v>
      </c>
    </row>
    <row r="2415" spans="1:20" ht="15" customHeight="1" thickBot="1" x14ac:dyDescent="0.35">
      <c r="A2415" s="369"/>
      <c r="B2415" s="369"/>
      <c r="C2415" s="42">
        <v>18000</v>
      </c>
      <c r="D2415" s="372"/>
      <c r="E2415" s="369"/>
      <c r="F2415" s="369"/>
      <c r="G2415" s="369"/>
      <c r="H2415" s="369"/>
      <c r="I2415" s="369"/>
      <c r="J2415" s="369"/>
      <c r="K2415" s="369"/>
      <c r="L2415" s="369"/>
      <c r="M2415" s="360"/>
      <c r="N2415" s="398"/>
      <c r="O2415" s="369"/>
      <c r="P2415" s="67"/>
      <c r="Q2415" s="369"/>
    </row>
    <row r="2416" spans="1:20" ht="15" hidden="1" customHeight="1" x14ac:dyDescent="0.3">
      <c r="A2416" s="367">
        <v>662</v>
      </c>
      <c r="B2416" s="367" t="s">
        <v>174</v>
      </c>
      <c r="C2416" s="40">
        <v>-16000</v>
      </c>
      <c r="D2416" s="370">
        <v>0</v>
      </c>
      <c r="E2416" s="367" t="s">
        <v>13</v>
      </c>
      <c r="F2416" s="367">
        <v>1000</v>
      </c>
      <c r="G2416" s="367">
        <v>1000</v>
      </c>
      <c r="H2416" s="367" t="s">
        <v>30</v>
      </c>
      <c r="I2416" s="367" t="s">
        <v>13</v>
      </c>
      <c r="J2416" s="367" t="s">
        <v>13</v>
      </c>
      <c r="K2416" s="367" t="s">
        <v>13</v>
      </c>
      <c r="L2416" s="367" t="s">
        <v>13</v>
      </c>
      <c r="M2416" s="358" t="s">
        <v>14</v>
      </c>
      <c r="N2416" s="396" t="s">
        <v>402</v>
      </c>
      <c r="O2416" s="367" t="s">
        <v>27</v>
      </c>
      <c r="P2416" s="65"/>
      <c r="Q2416" s="367" t="s">
        <v>184</v>
      </c>
    </row>
    <row r="2417" spans="1:20" ht="15" customHeight="1" x14ac:dyDescent="0.3">
      <c r="A2417" s="368"/>
      <c r="B2417" s="368"/>
      <c r="C2417" s="41">
        <v>6474</v>
      </c>
      <c r="D2417" s="371"/>
      <c r="E2417" s="368"/>
      <c r="F2417" s="368"/>
      <c r="G2417" s="368"/>
      <c r="H2417" s="368"/>
      <c r="I2417" s="368"/>
      <c r="J2417" s="368"/>
      <c r="K2417" s="368"/>
      <c r="L2417" s="368"/>
      <c r="M2417" s="359"/>
      <c r="N2417" s="397"/>
      <c r="O2417" s="368"/>
      <c r="P2417" s="226">
        <v>44066</v>
      </c>
      <c r="Q2417" s="368"/>
      <c r="T2417" s="200">
        <v>1</v>
      </c>
    </row>
    <row r="2418" spans="1:20" ht="15" customHeight="1" thickBot="1" x14ac:dyDescent="0.35">
      <c r="A2418" s="369"/>
      <c r="B2418" s="369"/>
      <c r="C2418" s="42">
        <v>18000</v>
      </c>
      <c r="D2418" s="372"/>
      <c r="E2418" s="369"/>
      <c r="F2418" s="369"/>
      <c r="G2418" s="369"/>
      <c r="H2418" s="369"/>
      <c r="I2418" s="369"/>
      <c r="J2418" s="369"/>
      <c r="K2418" s="369"/>
      <c r="L2418" s="369"/>
      <c r="M2418" s="360"/>
      <c r="N2418" s="398"/>
      <c r="O2418" s="369"/>
      <c r="P2418" s="67"/>
      <c r="Q2418" s="369"/>
    </row>
    <row r="2419" spans="1:20" ht="15" hidden="1" customHeight="1" x14ac:dyDescent="0.3">
      <c r="A2419" s="367">
        <v>663</v>
      </c>
      <c r="B2419" s="367" t="s">
        <v>174</v>
      </c>
      <c r="C2419" s="40">
        <v>-16000</v>
      </c>
      <c r="D2419" s="370">
        <v>0</v>
      </c>
      <c r="E2419" s="367" t="s">
        <v>13</v>
      </c>
      <c r="F2419" s="367">
        <v>1000</v>
      </c>
      <c r="G2419" s="367">
        <v>1000</v>
      </c>
      <c r="H2419" s="367" t="s">
        <v>30</v>
      </c>
      <c r="I2419" s="367" t="s">
        <v>13</v>
      </c>
      <c r="J2419" s="367" t="s">
        <v>13</v>
      </c>
      <c r="K2419" s="367" t="s">
        <v>13</v>
      </c>
      <c r="L2419" s="367" t="s">
        <v>13</v>
      </c>
      <c r="M2419" s="358" t="s">
        <v>14</v>
      </c>
      <c r="N2419" s="396" t="s">
        <v>402</v>
      </c>
      <c r="O2419" s="367" t="s">
        <v>27</v>
      </c>
      <c r="P2419" s="65"/>
      <c r="Q2419" s="367" t="s">
        <v>184</v>
      </c>
      <c r="T2419" s="200">
        <v>1</v>
      </c>
    </row>
    <row r="2420" spans="1:20" ht="15" customHeight="1" x14ac:dyDescent="0.3">
      <c r="A2420" s="368"/>
      <c r="B2420" s="368"/>
      <c r="C2420" s="41">
        <v>6850</v>
      </c>
      <c r="D2420" s="371"/>
      <c r="E2420" s="368"/>
      <c r="F2420" s="368"/>
      <c r="G2420" s="368"/>
      <c r="H2420" s="368"/>
      <c r="I2420" s="368"/>
      <c r="J2420" s="368"/>
      <c r="K2420" s="368"/>
      <c r="L2420" s="368"/>
      <c r="M2420" s="359"/>
      <c r="N2420" s="397"/>
      <c r="O2420" s="368"/>
      <c r="P2420" s="226">
        <v>44066</v>
      </c>
      <c r="Q2420" s="368"/>
    </row>
    <row r="2421" spans="1:20" ht="15" customHeight="1" thickBot="1" x14ac:dyDescent="0.35">
      <c r="A2421" s="369"/>
      <c r="B2421" s="369"/>
      <c r="C2421" s="42">
        <v>18300</v>
      </c>
      <c r="D2421" s="372"/>
      <c r="E2421" s="369"/>
      <c r="F2421" s="369"/>
      <c r="G2421" s="369"/>
      <c r="H2421" s="369"/>
      <c r="I2421" s="369"/>
      <c r="J2421" s="369"/>
      <c r="K2421" s="369"/>
      <c r="L2421" s="369"/>
      <c r="M2421" s="360"/>
      <c r="N2421" s="398"/>
      <c r="O2421" s="369"/>
      <c r="P2421" s="67"/>
      <c r="Q2421" s="369"/>
    </row>
    <row r="2422" spans="1:20" ht="15" hidden="1" customHeight="1" x14ac:dyDescent="0.3">
      <c r="A2422" s="367">
        <v>664</v>
      </c>
      <c r="B2422" s="367" t="s">
        <v>174</v>
      </c>
      <c r="C2422" s="40">
        <v>-16000</v>
      </c>
      <c r="D2422" s="370">
        <v>0</v>
      </c>
      <c r="E2422" s="367" t="s">
        <v>13</v>
      </c>
      <c r="F2422" s="367">
        <v>1000</v>
      </c>
      <c r="G2422" s="367">
        <v>1000</v>
      </c>
      <c r="H2422" s="367" t="s">
        <v>30</v>
      </c>
      <c r="I2422" s="367" t="s">
        <v>13</v>
      </c>
      <c r="J2422" s="367" t="s">
        <v>13</v>
      </c>
      <c r="K2422" s="367" t="s">
        <v>13</v>
      </c>
      <c r="L2422" s="367" t="s">
        <v>13</v>
      </c>
      <c r="M2422" s="358" t="s">
        <v>14</v>
      </c>
      <c r="N2422" s="396" t="s">
        <v>402</v>
      </c>
      <c r="O2422" s="367" t="s">
        <v>27</v>
      </c>
      <c r="P2422" s="65"/>
      <c r="Q2422" s="367" t="s">
        <v>184</v>
      </c>
    </row>
    <row r="2423" spans="1:20" ht="15" customHeight="1" x14ac:dyDescent="0.3">
      <c r="A2423" s="368"/>
      <c r="B2423" s="368"/>
      <c r="C2423" s="41">
        <v>6600</v>
      </c>
      <c r="D2423" s="371"/>
      <c r="E2423" s="368"/>
      <c r="F2423" s="368"/>
      <c r="G2423" s="368"/>
      <c r="H2423" s="368"/>
      <c r="I2423" s="368"/>
      <c r="J2423" s="368"/>
      <c r="K2423" s="368"/>
      <c r="L2423" s="368"/>
      <c r="M2423" s="359"/>
      <c r="N2423" s="397"/>
      <c r="O2423" s="368"/>
      <c r="P2423" s="226">
        <v>44066</v>
      </c>
      <c r="Q2423" s="368"/>
      <c r="T2423" s="200">
        <v>1</v>
      </c>
    </row>
    <row r="2424" spans="1:20" ht="15" customHeight="1" thickBot="1" x14ac:dyDescent="0.35">
      <c r="A2424" s="369"/>
      <c r="B2424" s="369"/>
      <c r="C2424" s="42">
        <v>18300</v>
      </c>
      <c r="D2424" s="372"/>
      <c r="E2424" s="369"/>
      <c r="F2424" s="369"/>
      <c r="G2424" s="369"/>
      <c r="H2424" s="369"/>
      <c r="I2424" s="369"/>
      <c r="J2424" s="369"/>
      <c r="K2424" s="369"/>
      <c r="L2424" s="369"/>
      <c r="M2424" s="360"/>
      <c r="N2424" s="398"/>
      <c r="O2424" s="369"/>
      <c r="P2424" s="67"/>
      <c r="Q2424" s="369"/>
    </row>
    <row r="2425" spans="1:20" ht="15" hidden="1" customHeight="1" x14ac:dyDescent="0.3">
      <c r="A2425" s="367">
        <v>665</v>
      </c>
      <c r="B2425" s="367" t="s">
        <v>174</v>
      </c>
      <c r="C2425" s="40">
        <v>-16000</v>
      </c>
      <c r="D2425" s="370">
        <v>0</v>
      </c>
      <c r="E2425" s="367" t="s">
        <v>13</v>
      </c>
      <c r="F2425" s="367">
        <v>1000</v>
      </c>
      <c r="G2425" s="367">
        <v>1000</v>
      </c>
      <c r="H2425" s="367" t="s">
        <v>30</v>
      </c>
      <c r="I2425" s="367" t="s">
        <v>13</v>
      </c>
      <c r="J2425" s="367" t="s">
        <v>13</v>
      </c>
      <c r="K2425" s="367" t="s">
        <v>13</v>
      </c>
      <c r="L2425" s="367" t="s">
        <v>13</v>
      </c>
      <c r="M2425" s="358" t="s">
        <v>14</v>
      </c>
      <c r="N2425" s="396" t="s">
        <v>402</v>
      </c>
      <c r="O2425" s="367" t="s">
        <v>27</v>
      </c>
      <c r="P2425" s="65"/>
      <c r="Q2425" s="367" t="s">
        <v>184</v>
      </c>
    </row>
    <row r="2426" spans="1:20" ht="15" customHeight="1" x14ac:dyDescent="0.3">
      <c r="A2426" s="368"/>
      <c r="B2426" s="368"/>
      <c r="C2426" s="40">
        <v>6350</v>
      </c>
      <c r="D2426" s="371"/>
      <c r="E2426" s="368"/>
      <c r="F2426" s="368"/>
      <c r="G2426" s="368"/>
      <c r="H2426" s="368"/>
      <c r="I2426" s="368"/>
      <c r="J2426" s="368"/>
      <c r="K2426" s="368"/>
      <c r="L2426" s="368"/>
      <c r="M2426" s="359"/>
      <c r="N2426" s="397"/>
      <c r="O2426" s="368"/>
      <c r="P2426" s="226">
        <v>44066</v>
      </c>
      <c r="Q2426" s="368"/>
    </row>
    <row r="2427" spans="1:20" ht="15" customHeight="1" thickBot="1" x14ac:dyDescent="0.35">
      <c r="A2427" s="369"/>
      <c r="B2427" s="369"/>
      <c r="C2427" s="42">
        <v>18300</v>
      </c>
      <c r="D2427" s="372"/>
      <c r="E2427" s="369"/>
      <c r="F2427" s="369"/>
      <c r="G2427" s="369"/>
      <c r="H2427" s="369"/>
      <c r="I2427" s="369"/>
      <c r="J2427" s="369"/>
      <c r="K2427" s="369"/>
      <c r="L2427" s="369"/>
      <c r="M2427" s="360"/>
      <c r="N2427" s="398"/>
      <c r="O2427" s="369"/>
      <c r="P2427" s="67"/>
      <c r="Q2427" s="369"/>
      <c r="T2427" s="200">
        <v>1</v>
      </c>
    </row>
    <row r="2428" spans="1:20" ht="15" hidden="1" customHeight="1" x14ac:dyDescent="0.3">
      <c r="A2428" s="367">
        <v>666</v>
      </c>
      <c r="B2428" s="367" t="s">
        <v>174</v>
      </c>
      <c r="C2428" s="40">
        <v>-16000</v>
      </c>
      <c r="D2428" s="370">
        <v>0</v>
      </c>
      <c r="E2428" s="367" t="s">
        <v>13</v>
      </c>
      <c r="F2428" s="367">
        <v>1000</v>
      </c>
      <c r="G2428" s="367">
        <v>1000</v>
      </c>
      <c r="H2428" s="367" t="s">
        <v>30</v>
      </c>
      <c r="I2428" s="367" t="s">
        <v>13</v>
      </c>
      <c r="J2428" s="367" t="s">
        <v>13</v>
      </c>
      <c r="K2428" s="367" t="s">
        <v>13</v>
      </c>
      <c r="L2428" s="367" t="s">
        <v>13</v>
      </c>
      <c r="M2428" s="358" t="s">
        <v>14</v>
      </c>
      <c r="N2428" s="396" t="s">
        <v>402</v>
      </c>
      <c r="O2428" s="367" t="s">
        <v>27</v>
      </c>
      <c r="P2428" s="228">
        <v>44066</v>
      </c>
      <c r="Q2428" s="367" t="s">
        <v>184</v>
      </c>
    </row>
    <row r="2429" spans="1:20" ht="15" customHeight="1" x14ac:dyDescent="0.3">
      <c r="A2429" s="368"/>
      <c r="B2429" s="368"/>
      <c r="C2429" s="40">
        <v>6100</v>
      </c>
      <c r="D2429" s="371"/>
      <c r="E2429" s="368"/>
      <c r="F2429" s="368"/>
      <c r="G2429" s="368"/>
      <c r="H2429" s="368"/>
      <c r="I2429" s="368"/>
      <c r="J2429" s="368"/>
      <c r="K2429" s="368"/>
      <c r="L2429" s="368"/>
      <c r="M2429" s="359"/>
      <c r="N2429" s="397"/>
      <c r="O2429" s="368"/>
      <c r="P2429" s="66"/>
      <c r="Q2429" s="368"/>
      <c r="T2429" s="200">
        <v>1</v>
      </c>
    </row>
    <row r="2430" spans="1:20" ht="15" customHeight="1" thickBot="1" x14ac:dyDescent="0.35">
      <c r="A2430" s="369"/>
      <c r="B2430" s="369"/>
      <c r="C2430" s="42">
        <v>18300</v>
      </c>
      <c r="D2430" s="372"/>
      <c r="E2430" s="369"/>
      <c r="F2430" s="369"/>
      <c r="G2430" s="369"/>
      <c r="H2430" s="369"/>
      <c r="I2430" s="369"/>
      <c r="J2430" s="369"/>
      <c r="K2430" s="369"/>
      <c r="L2430" s="369"/>
      <c r="M2430" s="360"/>
      <c r="N2430" s="398"/>
      <c r="O2430" s="369"/>
      <c r="P2430" s="67"/>
      <c r="Q2430" s="369"/>
    </row>
    <row r="2431" spans="1:20" ht="15" hidden="1" customHeight="1" x14ac:dyDescent="0.3">
      <c r="A2431" s="367">
        <v>667</v>
      </c>
      <c r="B2431" s="367" t="s">
        <v>174</v>
      </c>
      <c r="C2431" s="40">
        <v>-16000</v>
      </c>
      <c r="D2431" s="370">
        <v>0</v>
      </c>
      <c r="E2431" s="367" t="s">
        <v>13</v>
      </c>
      <c r="F2431" s="367">
        <v>1000</v>
      </c>
      <c r="G2431" s="367">
        <v>1000</v>
      </c>
      <c r="H2431" s="367" t="s">
        <v>30</v>
      </c>
      <c r="I2431" s="367" t="s">
        <v>13</v>
      </c>
      <c r="J2431" s="367" t="s">
        <v>13</v>
      </c>
      <c r="K2431" s="367" t="s">
        <v>13</v>
      </c>
      <c r="L2431" s="367" t="s">
        <v>13</v>
      </c>
      <c r="M2431" s="358" t="s">
        <v>14</v>
      </c>
      <c r="N2431" s="396" t="s">
        <v>402</v>
      </c>
      <c r="O2431" s="367" t="s">
        <v>27</v>
      </c>
      <c r="P2431" s="65"/>
      <c r="Q2431" s="367" t="s">
        <v>184</v>
      </c>
    </row>
    <row r="2432" spans="1:20" ht="15" customHeight="1" x14ac:dyDescent="0.3">
      <c r="A2432" s="368"/>
      <c r="B2432" s="368"/>
      <c r="C2432" s="40">
        <v>5850</v>
      </c>
      <c r="D2432" s="371"/>
      <c r="E2432" s="368"/>
      <c r="F2432" s="368"/>
      <c r="G2432" s="368"/>
      <c r="H2432" s="368"/>
      <c r="I2432" s="368"/>
      <c r="J2432" s="368"/>
      <c r="K2432" s="368"/>
      <c r="L2432" s="368"/>
      <c r="M2432" s="359"/>
      <c r="N2432" s="397"/>
      <c r="O2432" s="368"/>
      <c r="P2432" s="66"/>
      <c r="Q2432" s="368"/>
      <c r="T2432" s="200">
        <v>1</v>
      </c>
    </row>
    <row r="2433" spans="1:20" ht="15" customHeight="1" thickBot="1" x14ac:dyDescent="0.35">
      <c r="A2433" s="369"/>
      <c r="B2433" s="369"/>
      <c r="C2433" s="42">
        <v>18300</v>
      </c>
      <c r="D2433" s="372"/>
      <c r="E2433" s="369"/>
      <c r="F2433" s="369"/>
      <c r="G2433" s="369"/>
      <c r="H2433" s="369"/>
      <c r="I2433" s="369"/>
      <c r="J2433" s="369"/>
      <c r="K2433" s="369"/>
      <c r="L2433" s="369"/>
      <c r="M2433" s="360"/>
      <c r="N2433" s="398"/>
      <c r="O2433" s="369"/>
      <c r="P2433" s="227">
        <v>44066</v>
      </c>
      <c r="Q2433" s="369"/>
    </row>
    <row r="2434" spans="1:20" ht="15" hidden="1" customHeight="1" x14ac:dyDescent="0.3">
      <c r="A2434" s="367">
        <v>668</v>
      </c>
      <c r="B2434" s="367" t="s">
        <v>174</v>
      </c>
      <c r="C2434" s="40">
        <v>-16000</v>
      </c>
      <c r="D2434" s="370">
        <v>0</v>
      </c>
      <c r="E2434" s="367" t="s">
        <v>13</v>
      </c>
      <c r="F2434" s="367">
        <v>1000</v>
      </c>
      <c r="G2434" s="367">
        <v>1000</v>
      </c>
      <c r="H2434" s="367" t="s">
        <v>30</v>
      </c>
      <c r="I2434" s="367" t="s">
        <v>13</v>
      </c>
      <c r="J2434" s="367" t="s">
        <v>13</v>
      </c>
      <c r="K2434" s="367" t="s">
        <v>13</v>
      </c>
      <c r="L2434" s="367" t="s">
        <v>13</v>
      </c>
      <c r="M2434" s="358" t="s">
        <v>14</v>
      </c>
      <c r="N2434" s="396" t="s">
        <v>402</v>
      </c>
      <c r="O2434" s="367" t="s">
        <v>27</v>
      </c>
      <c r="P2434" s="65"/>
      <c r="Q2434" s="367" t="s">
        <v>184</v>
      </c>
    </row>
    <row r="2435" spans="1:20" ht="15" customHeight="1" x14ac:dyDescent="0.3">
      <c r="A2435" s="368"/>
      <c r="B2435" s="368"/>
      <c r="C2435" s="40">
        <v>5600</v>
      </c>
      <c r="D2435" s="371"/>
      <c r="E2435" s="368"/>
      <c r="F2435" s="368"/>
      <c r="G2435" s="368"/>
      <c r="H2435" s="368"/>
      <c r="I2435" s="368"/>
      <c r="J2435" s="368"/>
      <c r="K2435" s="368"/>
      <c r="L2435" s="368"/>
      <c r="M2435" s="359"/>
      <c r="N2435" s="397"/>
      <c r="O2435" s="368"/>
      <c r="P2435" s="226">
        <v>44066</v>
      </c>
      <c r="Q2435" s="368"/>
      <c r="T2435" s="200">
        <v>1</v>
      </c>
    </row>
    <row r="2436" spans="1:20" ht="15" customHeight="1" thickBot="1" x14ac:dyDescent="0.35">
      <c r="A2436" s="369"/>
      <c r="B2436" s="369"/>
      <c r="C2436" s="42">
        <v>18300</v>
      </c>
      <c r="D2436" s="372"/>
      <c r="E2436" s="369"/>
      <c r="F2436" s="369"/>
      <c r="G2436" s="369"/>
      <c r="H2436" s="369"/>
      <c r="I2436" s="369"/>
      <c r="J2436" s="369"/>
      <c r="K2436" s="369"/>
      <c r="L2436" s="369"/>
      <c r="M2436" s="360"/>
      <c r="N2436" s="398"/>
      <c r="O2436" s="369"/>
      <c r="P2436" s="67"/>
      <c r="Q2436" s="369"/>
    </row>
    <row r="2437" spans="1:20" ht="15" hidden="1" customHeight="1" x14ac:dyDescent="0.3">
      <c r="A2437" s="367">
        <v>669</v>
      </c>
      <c r="B2437" s="367" t="s">
        <v>48</v>
      </c>
      <c r="C2437" s="40">
        <v>-16000</v>
      </c>
      <c r="D2437" s="367">
        <v>1</v>
      </c>
      <c r="E2437" s="367" t="s">
        <v>269</v>
      </c>
      <c r="F2437" s="367">
        <v>1000</v>
      </c>
      <c r="G2437" s="367">
        <v>1000</v>
      </c>
      <c r="H2437" s="367" t="s">
        <v>96</v>
      </c>
      <c r="I2437" s="367">
        <v>300</v>
      </c>
      <c r="J2437" s="370" t="s">
        <v>45</v>
      </c>
      <c r="K2437" s="367">
        <v>100</v>
      </c>
      <c r="L2437" s="367">
        <v>103</v>
      </c>
      <c r="M2437" s="358" t="s">
        <v>14</v>
      </c>
      <c r="N2437" s="396" t="s">
        <v>89</v>
      </c>
      <c r="O2437" s="367" t="s">
        <v>27</v>
      </c>
      <c r="P2437" s="197"/>
      <c r="Q2437" s="370" t="s">
        <v>406</v>
      </c>
      <c r="R2437" s="186">
        <v>44071</v>
      </c>
    </row>
    <row r="2438" spans="1:20" ht="15" customHeight="1" x14ac:dyDescent="0.3">
      <c r="A2438" s="368"/>
      <c r="B2438" s="368"/>
      <c r="C2438" s="40">
        <v>10526</v>
      </c>
      <c r="D2438" s="368"/>
      <c r="E2438" s="368"/>
      <c r="F2438" s="368"/>
      <c r="G2438" s="368"/>
      <c r="H2438" s="368"/>
      <c r="I2438" s="368"/>
      <c r="J2438" s="371"/>
      <c r="K2438" s="368"/>
      <c r="L2438" s="368"/>
      <c r="M2438" s="359"/>
      <c r="N2438" s="397"/>
      <c r="O2438" s="368"/>
      <c r="P2438" s="226">
        <v>44066</v>
      </c>
      <c r="Q2438" s="371"/>
      <c r="T2438" s="200">
        <v>1</v>
      </c>
    </row>
    <row r="2439" spans="1:20" ht="15" customHeight="1" thickBot="1" x14ac:dyDescent="0.35">
      <c r="A2439" s="369"/>
      <c r="B2439" s="369"/>
      <c r="C2439" s="42">
        <v>15200</v>
      </c>
      <c r="D2439" s="369"/>
      <c r="E2439" s="369"/>
      <c r="F2439" s="369"/>
      <c r="G2439" s="369"/>
      <c r="H2439" s="369"/>
      <c r="I2439" s="369"/>
      <c r="J2439" s="372"/>
      <c r="K2439" s="369"/>
      <c r="L2439" s="369"/>
      <c r="M2439" s="360"/>
      <c r="N2439" s="398"/>
      <c r="O2439" s="369"/>
      <c r="P2439" s="199"/>
      <c r="Q2439" s="372"/>
    </row>
    <row r="2440" spans="1:20" ht="15" hidden="1" customHeight="1" x14ac:dyDescent="0.3">
      <c r="A2440" s="367">
        <v>670</v>
      </c>
      <c r="B2440" s="367" t="s">
        <v>420</v>
      </c>
      <c r="C2440" s="40">
        <v>-16000</v>
      </c>
      <c r="D2440" s="367">
        <v>1</v>
      </c>
      <c r="E2440" s="367" t="s">
        <v>421</v>
      </c>
      <c r="F2440" s="367">
        <v>1424</v>
      </c>
      <c r="G2440" s="367">
        <v>1000</v>
      </c>
      <c r="H2440" s="367" t="s">
        <v>422</v>
      </c>
      <c r="I2440" s="367">
        <v>303</v>
      </c>
      <c r="J2440" s="370" t="s">
        <v>45</v>
      </c>
      <c r="K2440" s="367">
        <v>30</v>
      </c>
      <c r="L2440" s="367">
        <v>155</v>
      </c>
      <c r="M2440" s="358" t="s">
        <v>14</v>
      </c>
      <c r="N2440" s="396" t="s">
        <v>402</v>
      </c>
      <c r="O2440" s="367" t="s">
        <v>27</v>
      </c>
      <c r="P2440" s="128"/>
      <c r="Q2440" s="370" t="s">
        <v>423</v>
      </c>
      <c r="R2440" s="350">
        <v>44041</v>
      </c>
    </row>
    <row r="2441" spans="1:20" ht="15" customHeight="1" x14ac:dyDescent="0.3">
      <c r="A2441" s="368"/>
      <c r="B2441" s="368"/>
      <c r="C2441" s="40">
        <v>8476</v>
      </c>
      <c r="D2441" s="368"/>
      <c r="E2441" s="368"/>
      <c r="F2441" s="368"/>
      <c r="G2441" s="368"/>
      <c r="H2441" s="368"/>
      <c r="I2441" s="368"/>
      <c r="J2441" s="371"/>
      <c r="K2441" s="368"/>
      <c r="L2441" s="368"/>
      <c r="M2441" s="359"/>
      <c r="N2441" s="397"/>
      <c r="O2441" s="368"/>
      <c r="P2441" s="226">
        <v>44066</v>
      </c>
      <c r="Q2441" s="371"/>
      <c r="R2441" s="351"/>
      <c r="T2441" s="200">
        <v>1</v>
      </c>
    </row>
    <row r="2442" spans="1:20" ht="15" customHeight="1" thickBot="1" x14ac:dyDescent="0.35">
      <c r="A2442" s="369"/>
      <c r="B2442" s="369"/>
      <c r="C2442" s="42">
        <v>17500</v>
      </c>
      <c r="D2442" s="369"/>
      <c r="E2442" s="369"/>
      <c r="F2442" s="369"/>
      <c r="G2442" s="369"/>
      <c r="H2442" s="369"/>
      <c r="I2442" s="369"/>
      <c r="J2442" s="372"/>
      <c r="K2442" s="369"/>
      <c r="L2442" s="369"/>
      <c r="M2442" s="360"/>
      <c r="N2442" s="398"/>
      <c r="O2442" s="369"/>
      <c r="P2442" s="130"/>
      <c r="Q2442" s="372"/>
      <c r="R2442" s="351"/>
    </row>
    <row r="2443" spans="1:20" ht="15" hidden="1" customHeight="1" x14ac:dyDescent="0.3">
      <c r="A2443" s="367">
        <v>671</v>
      </c>
      <c r="B2443" s="367" t="s">
        <v>174</v>
      </c>
      <c r="C2443" s="40">
        <v>2200</v>
      </c>
      <c r="D2443" s="370">
        <v>0</v>
      </c>
      <c r="E2443" s="367" t="s">
        <v>13</v>
      </c>
      <c r="F2443" s="367">
        <v>973</v>
      </c>
      <c r="G2443" s="367" t="s">
        <v>427</v>
      </c>
      <c r="H2443" s="367" t="s">
        <v>30</v>
      </c>
      <c r="I2443" s="367" t="s">
        <v>13</v>
      </c>
      <c r="J2443" s="367" t="s">
        <v>13</v>
      </c>
      <c r="K2443" s="367" t="s">
        <v>13</v>
      </c>
      <c r="L2443" s="367" t="s">
        <v>13</v>
      </c>
      <c r="M2443" s="358" t="s">
        <v>14</v>
      </c>
      <c r="N2443" s="396" t="s">
        <v>385</v>
      </c>
      <c r="O2443" s="367" t="s">
        <v>27</v>
      </c>
      <c r="P2443" s="65"/>
      <c r="Q2443" s="367" t="s">
        <v>184</v>
      </c>
    </row>
    <row r="2444" spans="1:20" ht="15" customHeight="1" x14ac:dyDescent="0.3">
      <c r="A2444" s="368"/>
      <c r="B2444" s="368"/>
      <c r="C2444" s="40">
        <v>-19789</v>
      </c>
      <c r="D2444" s="371"/>
      <c r="E2444" s="368"/>
      <c r="F2444" s="368"/>
      <c r="G2444" s="368"/>
      <c r="H2444" s="368"/>
      <c r="I2444" s="368"/>
      <c r="J2444" s="368"/>
      <c r="K2444" s="368"/>
      <c r="L2444" s="368"/>
      <c r="M2444" s="359"/>
      <c r="N2444" s="397"/>
      <c r="O2444" s="368"/>
      <c r="P2444" s="226">
        <v>44066</v>
      </c>
      <c r="Q2444" s="368"/>
      <c r="T2444" s="200">
        <v>1</v>
      </c>
    </row>
    <row r="2445" spans="1:20" ht="15" customHeight="1" thickBot="1" x14ac:dyDescent="0.35">
      <c r="A2445" s="369"/>
      <c r="B2445" s="369"/>
      <c r="C2445" s="42">
        <v>20000</v>
      </c>
      <c r="D2445" s="372"/>
      <c r="E2445" s="369"/>
      <c r="F2445" s="369"/>
      <c r="G2445" s="369"/>
      <c r="H2445" s="369"/>
      <c r="I2445" s="369"/>
      <c r="J2445" s="369"/>
      <c r="K2445" s="369"/>
      <c r="L2445" s="369"/>
      <c r="M2445" s="360"/>
      <c r="N2445" s="398"/>
      <c r="O2445" s="369"/>
      <c r="P2445" s="67"/>
      <c r="Q2445" s="369"/>
    </row>
    <row r="2446" spans="1:20" ht="15" hidden="1" customHeight="1" x14ac:dyDescent="0.3">
      <c r="A2446" s="367">
        <v>672</v>
      </c>
      <c r="B2446" s="367" t="s">
        <v>174</v>
      </c>
      <c r="C2446" s="40">
        <v>2200</v>
      </c>
      <c r="D2446" s="370">
        <v>0</v>
      </c>
      <c r="E2446" s="367" t="s">
        <v>13</v>
      </c>
      <c r="F2446" s="367">
        <v>973</v>
      </c>
      <c r="G2446" s="367" t="s">
        <v>427</v>
      </c>
      <c r="H2446" s="367" t="s">
        <v>30</v>
      </c>
      <c r="I2446" s="367" t="s">
        <v>13</v>
      </c>
      <c r="J2446" s="367" t="s">
        <v>13</v>
      </c>
      <c r="K2446" s="367" t="s">
        <v>13</v>
      </c>
      <c r="L2446" s="367" t="s">
        <v>13</v>
      </c>
      <c r="M2446" s="358" t="s">
        <v>14</v>
      </c>
      <c r="N2446" s="396" t="s">
        <v>385</v>
      </c>
      <c r="O2446" s="367" t="s">
        <v>27</v>
      </c>
      <c r="P2446" s="65"/>
      <c r="Q2446" s="367" t="s">
        <v>184</v>
      </c>
    </row>
    <row r="2447" spans="1:20" ht="15" customHeight="1" x14ac:dyDescent="0.3">
      <c r="A2447" s="368"/>
      <c r="B2447" s="368"/>
      <c r="C2447" s="41">
        <v>-19789</v>
      </c>
      <c r="D2447" s="371"/>
      <c r="E2447" s="368"/>
      <c r="F2447" s="368"/>
      <c r="G2447" s="368"/>
      <c r="H2447" s="368"/>
      <c r="I2447" s="368"/>
      <c r="J2447" s="368"/>
      <c r="K2447" s="368"/>
      <c r="L2447" s="368"/>
      <c r="M2447" s="359"/>
      <c r="N2447" s="397"/>
      <c r="O2447" s="368"/>
      <c r="P2447" s="226">
        <v>44066</v>
      </c>
      <c r="Q2447" s="368"/>
      <c r="T2447" s="200">
        <v>1</v>
      </c>
    </row>
    <row r="2448" spans="1:20" ht="15" customHeight="1" thickBot="1" x14ac:dyDescent="0.35">
      <c r="A2448" s="369"/>
      <c r="B2448" s="369"/>
      <c r="C2448" s="42">
        <v>19800</v>
      </c>
      <c r="D2448" s="372"/>
      <c r="E2448" s="369"/>
      <c r="F2448" s="369"/>
      <c r="G2448" s="369"/>
      <c r="H2448" s="369"/>
      <c r="I2448" s="369"/>
      <c r="J2448" s="369"/>
      <c r="K2448" s="369"/>
      <c r="L2448" s="369"/>
      <c r="M2448" s="360"/>
      <c r="N2448" s="398"/>
      <c r="O2448" s="369"/>
      <c r="P2448" s="67"/>
      <c r="Q2448" s="369"/>
    </row>
    <row r="2449" spans="1:20" ht="15" hidden="1" customHeight="1" x14ac:dyDescent="0.3">
      <c r="A2449" s="370">
        <v>673</v>
      </c>
      <c r="B2449" s="370" t="s">
        <v>327</v>
      </c>
      <c r="C2449" s="37">
        <v>2400</v>
      </c>
      <c r="D2449" s="370">
        <v>1</v>
      </c>
      <c r="E2449" s="370" t="s">
        <v>168</v>
      </c>
      <c r="F2449" s="370">
        <v>937</v>
      </c>
      <c r="G2449" s="367" t="s">
        <v>427</v>
      </c>
      <c r="H2449" s="367" t="s">
        <v>30</v>
      </c>
      <c r="I2449" s="370">
        <v>296</v>
      </c>
      <c r="J2449" s="370" t="s">
        <v>45</v>
      </c>
      <c r="K2449" s="370">
        <v>40</v>
      </c>
      <c r="L2449" s="367">
        <v>-6</v>
      </c>
      <c r="M2449" s="358" t="s">
        <v>14</v>
      </c>
      <c r="N2449" s="396" t="s">
        <v>385</v>
      </c>
      <c r="O2449" s="367" t="s">
        <v>27</v>
      </c>
      <c r="P2449" s="128"/>
      <c r="Q2449" s="367" t="s">
        <v>409</v>
      </c>
      <c r="R2449" s="350">
        <v>44042</v>
      </c>
    </row>
    <row r="2450" spans="1:20" ht="15" customHeight="1" x14ac:dyDescent="0.3">
      <c r="A2450" s="371"/>
      <c r="B2450" s="371"/>
      <c r="C2450" s="38">
        <v>-19769</v>
      </c>
      <c r="D2450" s="371"/>
      <c r="E2450" s="371"/>
      <c r="F2450" s="371"/>
      <c r="G2450" s="368"/>
      <c r="H2450" s="368"/>
      <c r="I2450" s="371"/>
      <c r="J2450" s="371"/>
      <c r="K2450" s="371"/>
      <c r="L2450" s="368"/>
      <c r="M2450" s="359"/>
      <c r="N2450" s="397"/>
      <c r="O2450" s="368"/>
      <c r="P2450" s="226">
        <v>44066</v>
      </c>
      <c r="Q2450" s="368"/>
      <c r="R2450" s="351"/>
      <c r="T2450" s="200">
        <v>1</v>
      </c>
    </row>
    <row r="2451" spans="1:20" ht="15" customHeight="1" thickBot="1" x14ac:dyDescent="0.35">
      <c r="A2451" s="372"/>
      <c r="B2451" s="372"/>
      <c r="C2451" s="39">
        <v>19600</v>
      </c>
      <c r="D2451" s="372"/>
      <c r="E2451" s="372"/>
      <c r="F2451" s="372"/>
      <c r="G2451" s="369"/>
      <c r="H2451" s="369"/>
      <c r="I2451" s="372"/>
      <c r="J2451" s="372"/>
      <c r="K2451" s="372"/>
      <c r="L2451" s="369"/>
      <c r="M2451" s="360"/>
      <c r="N2451" s="398"/>
      <c r="O2451" s="369"/>
      <c r="P2451" s="130"/>
      <c r="Q2451" s="369"/>
      <c r="R2451" s="351"/>
    </row>
    <row r="2452" spans="1:20" ht="15" hidden="1" customHeight="1" x14ac:dyDescent="0.3">
      <c r="A2452" s="370">
        <v>674</v>
      </c>
      <c r="B2452" s="370" t="s">
        <v>327</v>
      </c>
      <c r="C2452" s="40">
        <v>2600</v>
      </c>
      <c r="D2452" s="367">
        <v>1</v>
      </c>
      <c r="E2452" s="367" t="s">
        <v>168</v>
      </c>
      <c r="F2452" s="367">
        <v>898</v>
      </c>
      <c r="G2452" s="367" t="s">
        <v>427</v>
      </c>
      <c r="H2452" s="367" t="s">
        <v>30</v>
      </c>
      <c r="I2452" s="367">
        <v>296</v>
      </c>
      <c r="J2452" s="370" t="s">
        <v>45</v>
      </c>
      <c r="K2452" s="367">
        <v>40</v>
      </c>
      <c r="L2452" s="367">
        <v>-6</v>
      </c>
      <c r="M2452" s="358" t="s">
        <v>14</v>
      </c>
      <c r="N2452" s="396" t="s">
        <v>385</v>
      </c>
      <c r="O2452" s="367" t="s">
        <v>27</v>
      </c>
      <c r="P2452" s="128"/>
      <c r="Q2452" s="367" t="s">
        <v>409</v>
      </c>
      <c r="R2452" s="350">
        <v>44042</v>
      </c>
    </row>
    <row r="2453" spans="1:20" ht="15" customHeight="1" x14ac:dyDescent="0.3">
      <c r="A2453" s="371"/>
      <c r="B2453" s="371"/>
      <c r="C2453" s="41">
        <v>-19749</v>
      </c>
      <c r="D2453" s="368"/>
      <c r="E2453" s="368"/>
      <c r="F2453" s="368"/>
      <c r="G2453" s="368"/>
      <c r="H2453" s="368"/>
      <c r="I2453" s="368"/>
      <c r="J2453" s="371"/>
      <c r="K2453" s="368"/>
      <c r="L2453" s="368"/>
      <c r="M2453" s="359"/>
      <c r="N2453" s="397"/>
      <c r="O2453" s="368"/>
      <c r="P2453" s="226">
        <v>44066</v>
      </c>
      <c r="Q2453" s="368"/>
      <c r="R2453" s="351"/>
      <c r="T2453" s="200">
        <v>1</v>
      </c>
    </row>
    <row r="2454" spans="1:20" ht="15" customHeight="1" thickBot="1" x14ac:dyDescent="0.35">
      <c r="A2454" s="372"/>
      <c r="B2454" s="372"/>
      <c r="C2454" s="42">
        <v>19600</v>
      </c>
      <c r="D2454" s="369"/>
      <c r="E2454" s="369"/>
      <c r="F2454" s="369"/>
      <c r="G2454" s="369"/>
      <c r="H2454" s="369"/>
      <c r="I2454" s="369"/>
      <c r="J2454" s="372"/>
      <c r="K2454" s="369"/>
      <c r="L2454" s="369"/>
      <c r="M2454" s="360"/>
      <c r="N2454" s="398"/>
      <c r="O2454" s="369"/>
      <c r="P2454" s="130"/>
      <c r="Q2454" s="369"/>
      <c r="R2454" s="351"/>
    </row>
    <row r="2455" spans="1:20" ht="15" hidden="1" customHeight="1" x14ac:dyDescent="0.3">
      <c r="A2455" s="367">
        <v>675</v>
      </c>
      <c r="B2455" s="367" t="s">
        <v>48</v>
      </c>
      <c r="C2455" s="40">
        <v>15534</v>
      </c>
      <c r="D2455" s="367">
        <v>1</v>
      </c>
      <c r="E2455" s="367" t="s">
        <v>133</v>
      </c>
      <c r="F2455" s="367">
        <v>1015</v>
      </c>
      <c r="G2455" s="367">
        <v>1000</v>
      </c>
      <c r="H2455" s="367" t="s">
        <v>416</v>
      </c>
      <c r="I2455" s="367">
        <v>300</v>
      </c>
      <c r="J2455" s="370" t="s">
        <v>45</v>
      </c>
      <c r="K2455" s="367">
        <v>60</v>
      </c>
      <c r="L2455" s="367">
        <v>170.5</v>
      </c>
      <c r="M2455" s="358" t="s">
        <v>14</v>
      </c>
      <c r="N2455" s="396" t="s">
        <v>408</v>
      </c>
      <c r="O2455" s="367" t="s">
        <v>27</v>
      </c>
      <c r="P2455" s="128"/>
      <c r="Q2455" s="370" t="s">
        <v>418</v>
      </c>
      <c r="R2455" s="350">
        <v>44042</v>
      </c>
    </row>
    <row r="2456" spans="1:20" ht="15" customHeight="1" x14ac:dyDescent="0.3">
      <c r="A2456" s="368"/>
      <c r="B2456" s="368"/>
      <c r="C2456" s="41">
        <v>-12058</v>
      </c>
      <c r="D2456" s="368"/>
      <c r="E2456" s="368"/>
      <c r="F2456" s="368"/>
      <c r="G2456" s="368"/>
      <c r="H2456" s="368"/>
      <c r="I2456" s="368"/>
      <c r="J2456" s="371"/>
      <c r="K2456" s="368"/>
      <c r="L2456" s="368"/>
      <c r="M2456" s="359"/>
      <c r="N2456" s="397"/>
      <c r="O2456" s="368"/>
      <c r="P2456" s="129"/>
      <c r="Q2456" s="371"/>
      <c r="R2456" s="351"/>
      <c r="T2456" s="200">
        <v>1</v>
      </c>
    </row>
    <row r="2457" spans="1:20" ht="15" customHeight="1" thickBot="1" x14ac:dyDescent="0.35">
      <c r="A2457" s="369"/>
      <c r="B2457" s="369"/>
      <c r="C2457" s="42">
        <v>23500</v>
      </c>
      <c r="D2457" s="369"/>
      <c r="E2457" s="369"/>
      <c r="F2457" s="369"/>
      <c r="G2457" s="369"/>
      <c r="H2457" s="369"/>
      <c r="I2457" s="369"/>
      <c r="J2457" s="372"/>
      <c r="K2457" s="369"/>
      <c r="L2457" s="369"/>
      <c r="M2457" s="360"/>
      <c r="N2457" s="398"/>
      <c r="O2457" s="369"/>
      <c r="P2457" s="227">
        <v>44066</v>
      </c>
      <c r="Q2457" s="372"/>
      <c r="R2457" s="351"/>
    </row>
    <row r="2458" spans="1:20" ht="15" hidden="1" customHeight="1" x14ac:dyDescent="0.3">
      <c r="A2458" s="367">
        <v>676</v>
      </c>
      <c r="B2458" s="367" t="s">
        <v>174</v>
      </c>
      <c r="C2458" s="40">
        <v>10600</v>
      </c>
      <c r="D2458" s="370">
        <v>0</v>
      </c>
      <c r="E2458" s="367" t="s">
        <v>13</v>
      </c>
      <c r="F2458" s="367">
        <v>1008</v>
      </c>
      <c r="G2458" s="367">
        <v>1000</v>
      </c>
      <c r="H2458" s="370" t="s">
        <v>187</v>
      </c>
      <c r="I2458" s="367" t="s">
        <v>13</v>
      </c>
      <c r="J2458" s="367" t="s">
        <v>13</v>
      </c>
      <c r="K2458" s="367" t="s">
        <v>13</v>
      </c>
      <c r="L2458" s="367" t="s">
        <v>13</v>
      </c>
      <c r="M2458" s="358" t="s">
        <v>14</v>
      </c>
      <c r="N2458" s="396" t="s">
        <v>407</v>
      </c>
      <c r="O2458" s="367" t="s">
        <v>27</v>
      </c>
      <c r="P2458" s="65"/>
      <c r="Q2458" s="367" t="s">
        <v>188</v>
      </c>
    </row>
    <row r="2459" spans="1:20" ht="15" customHeight="1" x14ac:dyDescent="0.3">
      <c r="A2459" s="368"/>
      <c r="B2459" s="368"/>
      <c r="C2459" s="41">
        <v>2868</v>
      </c>
      <c r="D2459" s="371"/>
      <c r="E2459" s="368"/>
      <c r="F2459" s="368"/>
      <c r="G2459" s="368"/>
      <c r="H2459" s="371"/>
      <c r="I2459" s="368"/>
      <c r="J2459" s="368"/>
      <c r="K2459" s="368"/>
      <c r="L2459" s="368"/>
      <c r="M2459" s="359"/>
      <c r="N2459" s="397"/>
      <c r="O2459" s="368"/>
      <c r="P2459" s="226">
        <v>44066</v>
      </c>
      <c r="Q2459" s="368"/>
      <c r="T2459" s="200">
        <v>1</v>
      </c>
    </row>
    <row r="2460" spans="1:20" ht="15" customHeight="1" thickBot="1" x14ac:dyDescent="0.35">
      <c r="A2460" s="369"/>
      <c r="B2460" s="369"/>
      <c r="C2460" s="42">
        <v>15110</v>
      </c>
      <c r="D2460" s="372"/>
      <c r="E2460" s="369"/>
      <c r="F2460" s="369"/>
      <c r="G2460" s="369"/>
      <c r="H2460" s="372"/>
      <c r="I2460" s="369"/>
      <c r="J2460" s="369"/>
      <c r="K2460" s="369"/>
      <c r="L2460" s="369"/>
      <c r="M2460" s="360"/>
      <c r="N2460" s="398"/>
      <c r="O2460" s="369"/>
      <c r="P2460" s="67"/>
      <c r="Q2460" s="369"/>
    </row>
    <row r="2461" spans="1:20" ht="15" hidden="1" customHeight="1" x14ac:dyDescent="0.3">
      <c r="A2461" s="370">
        <v>677</v>
      </c>
      <c r="B2461" s="370" t="s">
        <v>62</v>
      </c>
      <c r="C2461" s="37">
        <v>10600</v>
      </c>
      <c r="D2461" s="370">
        <v>1</v>
      </c>
      <c r="E2461" s="370" t="s">
        <v>58</v>
      </c>
      <c r="F2461" s="370">
        <v>1008</v>
      </c>
      <c r="G2461" s="367">
        <v>1000</v>
      </c>
      <c r="H2461" s="367" t="s">
        <v>44</v>
      </c>
      <c r="I2461" s="370">
        <v>150</v>
      </c>
      <c r="J2461" s="370" t="s">
        <v>45</v>
      </c>
      <c r="K2461" s="370">
        <v>50</v>
      </c>
      <c r="L2461" s="367">
        <v>-5</v>
      </c>
      <c r="M2461" s="358" t="s">
        <v>14</v>
      </c>
      <c r="N2461" s="396" t="s">
        <v>407</v>
      </c>
      <c r="O2461" s="367" t="s">
        <v>27</v>
      </c>
      <c r="P2461" s="261"/>
      <c r="Q2461" s="367" t="s">
        <v>428</v>
      </c>
    </row>
    <row r="2462" spans="1:20" ht="15" customHeight="1" x14ac:dyDescent="0.3">
      <c r="A2462" s="371"/>
      <c r="B2462" s="371"/>
      <c r="C2462" s="38">
        <v>2868</v>
      </c>
      <c r="D2462" s="371"/>
      <c r="E2462" s="371"/>
      <c r="F2462" s="371"/>
      <c r="G2462" s="368"/>
      <c r="H2462" s="368"/>
      <c r="I2462" s="371"/>
      <c r="J2462" s="371"/>
      <c r="K2462" s="371"/>
      <c r="L2462" s="368"/>
      <c r="M2462" s="359"/>
      <c r="N2462" s="397"/>
      <c r="O2462" s="368"/>
      <c r="P2462" s="226">
        <v>44090</v>
      </c>
      <c r="Q2462" s="368"/>
      <c r="T2462" s="200">
        <v>1</v>
      </c>
    </row>
    <row r="2463" spans="1:20" ht="15" customHeight="1" thickBot="1" x14ac:dyDescent="0.35">
      <c r="A2463" s="372"/>
      <c r="B2463" s="372"/>
      <c r="C2463" s="39">
        <v>16788</v>
      </c>
      <c r="D2463" s="372"/>
      <c r="E2463" s="372"/>
      <c r="F2463" s="372"/>
      <c r="G2463" s="369"/>
      <c r="H2463" s="369"/>
      <c r="I2463" s="372"/>
      <c r="J2463" s="372"/>
      <c r="K2463" s="372"/>
      <c r="L2463" s="369"/>
      <c r="M2463" s="360"/>
      <c r="N2463" s="398"/>
      <c r="O2463" s="369"/>
      <c r="P2463" s="262"/>
      <c r="Q2463" s="369"/>
    </row>
    <row r="2464" spans="1:20" ht="15" hidden="1" customHeight="1" x14ac:dyDescent="0.3">
      <c r="A2464" s="370">
        <v>678</v>
      </c>
      <c r="B2464" s="370" t="s">
        <v>62</v>
      </c>
      <c r="C2464" s="37">
        <v>16000</v>
      </c>
      <c r="D2464" s="370">
        <v>1</v>
      </c>
      <c r="E2464" s="370" t="s">
        <v>58</v>
      </c>
      <c r="F2464" s="370">
        <v>1008</v>
      </c>
      <c r="G2464" s="367">
        <v>1000</v>
      </c>
      <c r="H2464" s="370" t="s">
        <v>61</v>
      </c>
      <c r="I2464" s="370">
        <v>150</v>
      </c>
      <c r="J2464" s="370" t="s">
        <v>45</v>
      </c>
      <c r="K2464" s="370">
        <v>50</v>
      </c>
      <c r="L2464" s="367">
        <v>46.5</v>
      </c>
      <c r="M2464" s="358" t="s">
        <v>14</v>
      </c>
      <c r="N2464" s="399" t="s">
        <v>385</v>
      </c>
      <c r="O2464" s="367" t="s">
        <v>27</v>
      </c>
      <c r="P2464" s="261"/>
      <c r="Q2464" s="367" t="s">
        <v>429</v>
      </c>
    </row>
    <row r="2465" spans="1:20" ht="15" customHeight="1" x14ac:dyDescent="0.3">
      <c r="A2465" s="371"/>
      <c r="B2465" s="371"/>
      <c r="C2465" s="38">
        <v>-7261</v>
      </c>
      <c r="D2465" s="371"/>
      <c r="E2465" s="371"/>
      <c r="F2465" s="371"/>
      <c r="G2465" s="368"/>
      <c r="H2465" s="371"/>
      <c r="I2465" s="371"/>
      <c r="J2465" s="371"/>
      <c r="K2465" s="371"/>
      <c r="L2465" s="368"/>
      <c r="M2465" s="359"/>
      <c r="N2465" s="400"/>
      <c r="O2465" s="368"/>
      <c r="P2465" s="226">
        <v>44090</v>
      </c>
      <c r="Q2465" s="368"/>
      <c r="T2465" s="200">
        <v>1</v>
      </c>
    </row>
    <row r="2466" spans="1:20" ht="15" customHeight="1" thickBot="1" x14ac:dyDescent="0.35">
      <c r="A2466" s="372"/>
      <c r="B2466" s="372"/>
      <c r="C2466" s="39">
        <v>23960</v>
      </c>
      <c r="D2466" s="372"/>
      <c r="E2466" s="372"/>
      <c r="F2466" s="372"/>
      <c r="G2466" s="369"/>
      <c r="H2466" s="372"/>
      <c r="I2466" s="372"/>
      <c r="J2466" s="372"/>
      <c r="K2466" s="372"/>
      <c r="L2466" s="369"/>
      <c r="M2466" s="360"/>
      <c r="N2466" s="401"/>
      <c r="O2466" s="369"/>
      <c r="P2466" s="262"/>
      <c r="Q2466" s="369"/>
    </row>
    <row r="2467" spans="1:20" ht="15" hidden="1" customHeight="1" x14ac:dyDescent="0.3">
      <c r="A2467" s="370">
        <v>679</v>
      </c>
      <c r="B2467" s="370" t="s">
        <v>62</v>
      </c>
      <c r="C2467" s="37">
        <v>16000</v>
      </c>
      <c r="D2467" s="370">
        <v>1</v>
      </c>
      <c r="E2467" s="370" t="s">
        <v>63</v>
      </c>
      <c r="F2467" s="370">
        <v>1008</v>
      </c>
      <c r="G2467" s="367">
        <v>1000</v>
      </c>
      <c r="H2467" s="370" t="s">
        <v>61</v>
      </c>
      <c r="I2467" s="370">
        <v>150</v>
      </c>
      <c r="J2467" s="370" t="s">
        <v>45</v>
      </c>
      <c r="K2467" s="370">
        <v>50</v>
      </c>
      <c r="L2467" s="367">
        <v>19.5</v>
      </c>
      <c r="M2467" s="358" t="s">
        <v>14</v>
      </c>
      <c r="N2467" s="399" t="s">
        <v>385</v>
      </c>
      <c r="O2467" s="367" t="s">
        <v>27</v>
      </c>
      <c r="P2467" s="261"/>
      <c r="Q2467" s="367" t="s">
        <v>430</v>
      </c>
      <c r="T2467" s="200">
        <v>1</v>
      </c>
    </row>
    <row r="2468" spans="1:20" ht="15" customHeight="1" x14ac:dyDescent="0.3">
      <c r="A2468" s="371"/>
      <c r="B2468" s="371"/>
      <c r="C2468" s="38">
        <v>-7931</v>
      </c>
      <c r="D2468" s="371"/>
      <c r="E2468" s="371"/>
      <c r="F2468" s="371"/>
      <c r="G2468" s="368"/>
      <c r="H2468" s="371"/>
      <c r="I2468" s="371"/>
      <c r="J2468" s="371"/>
      <c r="K2468" s="371"/>
      <c r="L2468" s="368"/>
      <c r="M2468" s="359"/>
      <c r="N2468" s="400"/>
      <c r="O2468" s="368"/>
      <c r="P2468" s="226">
        <v>44090</v>
      </c>
      <c r="Q2468" s="368"/>
    </row>
    <row r="2469" spans="1:20" ht="15" customHeight="1" thickBot="1" x14ac:dyDescent="0.35">
      <c r="A2469" s="372"/>
      <c r="B2469" s="372"/>
      <c r="C2469" s="39">
        <v>16800</v>
      </c>
      <c r="D2469" s="372"/>
      <c r="E2469" s="372"/>
      <c r="F2469" s="372"/>
      <c r="G2469" s="369"/>
      <c r="H2469" s="372"/>
      <c r="I2469" s="372"/>
      <c r="J2469" s="372"/>
      <c r="K2469" s="372"/>
      <c r="L2469" s="369"/>
      <c r="M2469" s="360"/>
      <c r="N2469" s="401"/>
      <c r="O2469" s="369"/>
      <c r="P2469" s="262"/>
      <c r="Q2469" s="369"/>
    </row>
    <row r="2470" spans="1:20" ht="15" hidden="1" customHeight="1" x14ac:dyDescent="0.3">
      <c r="A2470" s="370">
        <v>680</v>
      </c>
      <c r="B2470" s="370" t="s">
        <v>48</v>
      </c>
      <c r="C2470" s="37">
        <v>-2222</v>
      </c>
      <c r="D2470" s="370">
        <v>1</v>
      </c>
      <c r="E2470" s="370" t="s">
        <v>269</v>
      </c>
      <c r="F2470" s="370">
        <v>1155</v>
      </c>
      <c r="G2470" s="367">
        <v>1000</v>
      </c>
      <c r="H2470" s="370" t="s">
        <v>96</v>
      </c>
      <c r="I2470" s="370">
        <v>300</v>
      </c>
      <c r="J2470" s="370" t="s">
        <v>45</v>
      </c>
      <c r="K2470" s="370">
        <v>100</v>
      </c>
      <c r="L2470" s="367">
        <v>103</v>
      </c>
      <c r="M2470" s="358" t="s">
        <v>14</v>
      </c>
      <c r="N2470" s="399" t="s">
        <v>385</v>
      </c>
      <c r="O2470" s="367" t="s">
        <v>27</v>
      </c>
      <c r="P2470" s="128"/>
      <c r="Q2470" s="370" t="s">
        <v>406</v>
      </c>
      <c r="R2470" s="350">
        <v>44042</v>
      </c>
      <c r="T2470" s="200">
        <v>1</v>
      </c>
    </row>
    <row r="2471" spans="1:20" ht="15" customHeight="1" x14ac:dyDescent="0.3">
      <c r="A2471" s="371"/>
      <c r="B2471" s="371"/>
      <c r="C2471" s="38">
        <v>-19143</v>
      </c>
      <c r="D2471" s="371"/>
      <c r="E2471" s="371"/>
      <c r="F2471" s="371"/>
      <c r="G2471" s="368"/>
      <c r="H2471" s="371"/>
      <c r="I2471" s="371"/>
      <c r="J2471" s="371"/>
      <c r="K2471" s="371"/>
      <c r="L2471" s="368"/>
      <c r="M2471" s="359"/>
      <c r="N2471" s="400"/>
      <c r="O2471" s="368"/>
      <c r="P2471" s="129"/>
      <c r="Q2471" s="371"/>
      <c r="R2471" s="351"/>
    </row>
    <row r="2472" spans="1:20" ht="15" customHeight="1" thickBot="1" x14ac:dyDescent="0.35">
      <c r="A2472" s="372"/>
      <c r="B2472" s="372"/>
      <c r="C2472" s="39">
        <v>16300</v>
      </c>
      <c r="D2472" s="372"/>
      <c r="E2472" s="372"/>
      <c r="F2472" s="372"/>
      <c r="G2472" s="369"/>
      <c r="H2472" s="372"/>
      <c r="I2472" s="372"/>
      <c r="J2472" s="372"/>
      <c r="K2472" s="372"/>
      <c r="L2472" s="369"/>
      <c r="M2472" s="360"/>
      <c r="N2472" s="401"/>
      <c r="O2472" s="369"/>
      <c r="P2472" s="227">
        <v>44066</v>
      </c>
      <c r="Q2472" s="372"/>
      <c r="R2472" s="351"/>
    </row>
    <row r="2473" spans="1:20" ht="15" hidden="1" customHeight="1" x14ac:dyDescent="0.3">
      <c r="A2473" s="367">
        <v>681</v>
      </c>
      <c r="B2473" s="367" t="s">
        <v>48</v>
      </c>
      <c r="C2473" s="40">
        <v>-15829</v>
      </c>
      <c r="D2473" s="367">
        <v>1</v>
      </c>
      <c r="E2473" s="367" t="s">
        <v>133</v>
      </c>
      <c r="F2473" s="367">
        <v>1250</v>
      </c>
      <c r="G2473" s="367">
        <v>1000</v>
      </c>
      <c r="H2473" s="367" t="s">
        <v>416</v>
      </c>
      <c r="I2473" s="367">
        <v>300</v>
      </c>
      <c r="J2473" s="370" t="s">
        <v>45</v>
      </c>
      <c r="K2473" s="367">
        <v>60</v>
      </c>
      <c r="L2473" s="367">
        <v>170.5</v>
      </c>
      <c r="M2473" s="358" t="s">
        <v>14</v>
      </c>
      <c r="N2473" s="396" t="s">
        <v>89</v>
      </c>
      <c r="O2473" s="367" t="s">
        <v>27</v>
      </c>
      <c r="P2473" s="290"/>
      <c r="Q2473" s="370" t="s">
        <v>418</v>
      </c>
    </row>
    <row r="2474" spans="1:20" ht="15" customHeight="1" x14ac:dyDescent="0.3">
      <c r="A2474" s="368"/>
      <c r="B2474" s="368"/>
      <c r="C2474" s="41">
        <v>11723</v>
      </c>
      <c r="D2474" s="368"/>
      <c r="E2474" s="368"/>
      <c r="F2474" s="368"/>
      <c r="G2474" s="368"/>
      <c r="H2474" s="368"/>
      <c r="I2474" s="368"/>
      <c r="J2474" s="371"/>
      <c r="K2474" s="368"/>
      <c r="L2474" s="368"/>
      <c r="M2474" s="359"/>
      <c r="N2474" s="397"/>
      <c r="O2474" s="368"/>
      <c r="P2474" s="226">
        <v>44095</v>
      </c>
      <c r="Q2474" s="371"/>
      <c r="T2474" s="200">
        <v>1</v>
      </c>
    </row>
    <row r="2475" spans="1:20" ht="15" customHeight="1" thickBot="1" x14ac:dyDescent="0.35">
      <c r="A2475" s="369"/>
      <c r="B2475" s="369"/>
      <c r="C2475" s="42">
        <v>23500</v>
      </c>
      <c r="D2475" s="369"/>
      <c r="E2475" s="369"/>
      <c r="F2475" s="369"/>
      <c r="G2475" s="369"/>
      <c r="H2475" s="369"/>
      <c r="I2475" s="369"/>
      <c r="J2475" s="372"/>
      <c r="K2475" s="369"/>
      <c r="L2475" s="369"/>
      <c r="M2475" s="360"/>
      <c r="N2475" s="398"/>
      <c r="O2475" s="369"/>
      <c r="P2475" s="292"/>
      <c r="Q2475" s="372"/>
    </row>
    <row r="2476" spans="1:20" ht="15" hidden="1" customHeight="1" x14ac:dyDescent="0.3">
      <c r="A2476" s="367">
        <v>682</v>
      </c>
      <c r="B2476" s="367" t="s">
        <v>327</v>
      </c>
      <c r="C2476" s="40">
        <v>-2600</v>
      </c>
      <c r="D2476" s="367">
        <v>1</v>
      </c>
      <c r="E2476" s="367" t="s">
        <v>168</v>
      </c>
      <c r="F2476" s="367">
        <v>898</v>
      </c>
      <c r="G2476" s="367" t="s">
        <v>427</v>
      </c>
      <c r="H2476" s="367" t="s">
        <v>30</v>
      </c>
      <c r="I2476" s="367">
        <v>296</v>
      </c>
      <c r="J2476" s="370" t="s">
        <v>45</v>
      </c>
      <c r="K2476" s="367">
        <v>40</v>
      </c>
      <c r="L2476" s="367">
        <v>-6</v>
      </c>
      <c r="M2476" s="358" t="s">
        <v>14</v>
      </c>
      <c r="N2476" s="396" t="s">
        <v>402</v>
      </c>
      <c r="O2476" s="367" t="s">
        <v>27</v>
      </c>
      <c r="P2476" s="290"/>
      <c r="Q2476" s="367" t="s">
        <v>409</v>
      </c>
      <c r="T2476" s="200">
        <v>1</v>
      </c>
    </row>
    <row r="2477" spans="1:20" ht="15" customHeight="1" x14ac:dyDescent="0.3">
      <c r="A2477" s="368"/>
      <c r="B2477" s="368"/>
      <c r="C2477" s="41">
        <v>19749</v>
      </c>
      <c r="D2477" s="368"/>
      <c r="E2477" s="368"/>
      <c r="F2477" s="368"/>
      <c r="G2477" s="368"/>
      <c r="H2477" s="368"/>
      <c r="I2477" s="368"/>
      <c r="J2477" s="371"/>
      <c r="K2477" s="368"/>
      <c r="L2477" s="368"/>
      <c r="M2477" s="359"/>
      <c r="N2477" s="397"/>
      <c r="O2477" s="368"/>
      <c r="P2477" s="226">
        <v>44095</v>
      </c>
      <c r="Q2477" s="368"/>
      <c r="R2477" s="186">
        <v>44079</v>
      </c>
    </row>
    <row r="2478" spans="1:20" ht="15" customHeight="1" thickBot="1" x14ac:dyDescent="0.35">
      <c r="A2478" s="369"/>
      <c r="B2478" s="369"/>
      <c r="C2478" s="42">
        <v>19600</v>
      </c>
      <c r="D2478" s="369"/>
      <c r="E2478" s="369"/>
      <c r="F2478" s="369"/>
      <c r="G2478" s="369"/>
      <c r="H2478" s="369"/>
      <c r="I2478" s="369"/>
      <c r="J2478" s="372"/>
      <c r="K2478" s="369"/>
      <c r="L2478" s="369"/>
      <c r="M2478" s="360"/>
      <c r="N2478" s="398"/>
      <c r="O2478" s="369"/>
      <c r="P2478" s="292"/>
      <c r="Q2478" s="369"/>
    </row>
    <row r="2479" spans="1:20" ht="15" hidden="1" customHeight="1" x14ac:dyDescent="0.3">
      <c r="A2479" s="367">
        <v>683</v>
      </c>
      <c r="B2479" s="367" t="s">
        <v>327</v>
      </c>
      <c r="C2479" s="40">
        <v>-2200</v>
      </c>
      <c r="D2479" s="367">
        <v>1</v>
      </c>
      <c r="E2479" s="367" t="s">
        <v>168</v>
      </c>
      <c r="F2479" s="367">
        <v>973</v>
      </c>
      <c r="G2479" s="367" t="s">
        <v>427</v>
      </c>
      <c r="H2479" s="367" t="s">
        <v>30</v>
      </c>
      <c r="I2479" s="367">
        <v>296</v>
      </c>
      <c r="J2479" s="370" t="s">
        <v>45</v>
      </c>
      <c r="K2479" s="367">
        <v>40</v>
      </c>
      <c r="L2479" s="367">
        <v>-6</v>
      </c>
      <c r="M2479" s="358" t="s">
        <v>14</v>
      </c>
      <c r="N2479" s="396" t="s">
        <v>89</v>
      </c>
      <c r="O2479" s="367" t="s">
        <v>27</v>
      </c>
      <c r="P2479" s="290"/>
      <c r="Q2479" s="367" t="s">
        <v>409</v>
      </c>
      <c r="T2479" s="200">
        <v>1</v>
      </c>
    </row>
    <row r="2480" spans="1:20" ht="15" customHeight="1" x14ac:dyDescent="0.3">
      <c r="A2480" s="368"/>
      <c r="B2480" s="368"/>
      <c r="C2480" s="41">
        <v>19789</v>
      </c>
      <c r="D2480" s="368"/>
      <c r="E2480" s="368"/>
      <c r="F2480" s="368"/>
      <c r="G2480" s="368"/>
      <c r="H2480" s="368"/>
      <c r="I2480" s="368"/>
      <c r="J2480" s="371"/>
      <c r="K2480" s="368"/>
      <c r="L2480" s="368"/>
      <c r="M2480" s="359"/>
      <c r="N2480" s="397"/>
      <c r="O2480" s="368"/>
      <c r="P2480" s="226">
        <v>44095</v>
      </c>
      <c r="Q2480" s="368"/>
      <c r="R2480" s="186">
        <v>44079</v>
      </c>
    </row>
    <row r="2481" spans="1:20" ht="15" customHeight="1" thickBot="1" x14ac:dyDescent="0.35">
      <c r="A2481" s="369"/>
      <c r="B2481" s="369"/>
      <c r="C2481" s="42">
        <v>20000</v>
      </c>
      <c r="D2481" s="369"/>
      <c r="E2481" s="369"/>
      <c r="F2481" s="369"/>
      <c r="G2481" s="369"/>
      <c r="H2481" s="369"/>
      <c r="I2481" s="369"/>
      <c r="J2481" s="372"/>
      <c r="K2481" s="369"/>
      <c r="L2481" s="369"/>
      <c r="M2481" s="360"/>
      <c r="N2481" s="398"/>
      <c r="O2481" s="369"/>
      <c r="P2481" s="292">
        <v>2</v>
      </c>
      <c r="Q2481" s="369"/>
    </row>
    <row r="2482" spans="1:20" ht="15" hidden="1" customHeight="1" x14ac:dyDescent="0.3">
      <c r="A2482" s="367">
        <v>684</v>
      </c>
      <c r="B2482" s="367" t="s">
        <v>174</v>
      </c>
      <c r="C2482" s="40">
        <v>-2200</v>
      </c>
      <c r="D2482" s="370">
        <v>0</v>
      </c>
      <c r="E2482" s="367" t="s">
        <v>13</v>
      </c>
      <c r="F2482" s="367">
        <v>973</v>
      </c>
      <c r="G2482" s="367" t="s">
        <v>427</v>
      </c>
      <c r="H2482" s="367" t="s">
        <v>30</v>
      </c>
      <c r="I2482" s="367" t="s">
        <v>13</v>
      </c>
      <c r="J2482" s="367" t="s">
        <v>13</v>
      </c>
      <c r="K2482" s="367" t="s">
        <v>13</v>
      </c>
      <c r="L2482" s="367" t="s">
        <v>13</v>
      </c>
      <c r="M2482" s="358" t="s">
        <v>14</v>
      </c>
      <c r="N2482" s="396" t="s">
        <v>89</v>
      </c>
      <c r="O2482" s="367" t="s">
        <v>27</v>
      </c>
      <c r="P2482" s="228">
        <v>44066</v>
      </c>
      <c r="Q2482" s="367" t="s">
        <v>184</v>
      </c>
      <c r="T2482" s="200">
        <v>1</v>
      </c>
    </row>
    <row r="2483" spans="1:20" ht="15" customHeight="1" x14ac:dyDescent="0.3">
      <c r="A2483" s="368"/>
      <c r="B2483" s="368"/>
      <c r="C2483" s="41">
        <v>19789</v>
      </c>
      <c r="D2483" s="371"/>
      <c r="E2483" s="368"/>
      <c r="F2483" s="368"/>
      <c r="G2483" s="368"/>
      <c r="H2483" s="368"/>
      <c r="I2483" s="368"/>
      <c r="J2483" s="368"/>
      <c r="K2483" s="368"/>
      <c r="L2483" s="368"/>
      <c r="M2483" s="359"/>
      <c r="N2483" s="397"/>
      <c r="O2483" s="368"/>
      <c r="P2483" s="66"/>
      <c r="Q2483" s="368"/>
    </row>
    <row r="2484" spans="1:20" ht="15" customHeight="1" thickBot="1" x14ac:dyDescent="0.35">
      <c r="A2484" s="369"/>
      <c r="B2484" s="369"/>
      <c r="C2484" s="42">
        <v>19800</v>
      </c>
      <c r="D2484" s="372"/>
      <c r="E2484" s="369"/>
      <c r="F2484" s="369"/>
      <c r="G2484" s="369"/>
      <c r="H2484" s="369"/>
      <c r="I2484" s="369"/>
      <c r="J2484" s="369"/>
      <c r="K2484" s="369"/>
      <c r="L2484" s="369"/>
      <c r="M2484" s="360"/>
      <c r="N2484" s="398"/>
      <c r="O2484" s="369"/>
      <c r="P2484" s="67"/>
      <c r="Q2484" s="369"/>
    </row>
    <row r="2485" spans="1:20" ht="15" hidden="1" customHeight="1" x14ac:dyDescent="0.3">
      <c r="A2485" s="367">
        <v>685</v>
      </c>
      <c r="B2485" s="367" t="s">
        <v>327</v>
      </c>
      <c r="C2485" s="40">
        <v>-2400</v>
      </c>
      <c r="D2485" s="367">
        <v>1</v>
      </c>
      <c r="E2485" s="367" t="s">
        <v>168</v>
      </c>
      <c r="F2485" s="367">
        <v>938</v>
      </c>
      <c r="G2485" s="367" t="s">
        <v>427</v>
      </c>
      <c r="H2485" s="367" t="s">
        <v>30</v>
      </c>
      <c r="I2485" s="367">
        <v>296</v>
      </c>
      <c r="J2485" s="370" t="s">
        <v>45</v>
      </c>
      <c r="K2485" s="367">
        <v>40</v>
      </c>
      <c r="L2485" s="367">
        <v>-6</v>
      </c>
      <c r="M2485" s="358" t="s">
        <v>14</v>
      </c>
      <c r="N2485" s="396" t="s">
        <v>402</v>
      </c>
      <c r="O2485" s="367" t="s">
        <v>27</v>
      </c>
      <c r="P2485" s="290"/>
      <c r="Q2485" s="367" t="s">
        <v>409</v>
      </c>
    </row>
    <row r="2486" spans="1:20" ht="15" customHeight="1" x14ac:dyDescent="0.3">
      <c r="A2486" s="368"/>
      <c r="B2486" s="368"/>
      <c r="C2486" s="41">
        <v>19769</v>
      </c>
      <c r="D2486" s="368"/>
      <c r="E2486" s="368"/>
      <c r="F2486" s="368"/>
      <c r="G2486" s="368"/>
      <c r="H2486" s="368"/>
      <c r="I2486" s="368"/>
      <c r="J2486" s="371"/>
      <c r="K2486" s="368"/>
      <c r="L2486" s="368"/>
      <c r="M2486" s="359"/>
      <c r="N2486" s="397"/>
      <c r="O2486" s="368"/>
      <c r="P2486" s="226">
        <v>44095</v>
      </c>
      <c r="Q2486" s="368"/>
      <c r="R2486" s="186">
        <v>44079</v>
      </c>
      <c r="T2486" s="200">
        <v>1</v>
      </c>
    </row>
    <row r="2487" spans="1:20" ht="15" customHeight="1" thickBot="1" x14ac:dyDescent="0.35">
      <c r="A2487" s="369"/>
      <c r="B2487" s="369"/>
      <c r="C2487" s="42">
        <v>19600</v>
      </c>
      <c r="D2487" s="369"/>
      <c r="E2487" s="369"/>
      <c r="F2487" s="369"/>
      <c r="G2487" s="369"/>
      <c r="H2487" s="369"/>
      <c r="I2487" s="369"/>
      <c r="J2487" s="372"/>
      <c r="K2487" s="369"/>
      <c r="L2487" s="369"/>
      <c r="M2487" s="360"/>
      <c r="N2487" s="398"/>
      <c r="O2487" s="369"/>
      <c r="P2487" s="292"/>
      <c r="Q2487" s="369"/>
    </row>
    <row r="2488" spans="1:20" ht="15" hidden="1" customHeight="1" x14ac:dyDescent="0.3">
      <c r="A2488" s="367">
        <v>686</v>
      </c>
      <c r="B2488" s="367" t="s">
        <v>327</v>
      </c>
      <c r="C2488" s="40">
        <v>-2600</v>
      </c>
      <c r="D2488" s="367">
        <v>1</v>
      </c>
      <c r="E2488" s="367" t="s">
        <v>168</v>
      </c>
      <c r="F2488" s="367">
        <v>898</v>
      </c>
      <c r="G2488" s="367" t="s">
        <v>427</v>
      </c>
      <c r="H2488" s="367" t="s">
        <v>30</v>
      </c>
      <c r="I2488" s="367">
        <v>296</v>
      </c>
      <c r="J2488" s="370" t="s">
        <v>45</v>
      </c>
      <c r="K2488" s="367">
        <v>40</v>
      </c>
      <c r="L2488" s="367">
        <v>-6</v>
      </c>
      <c r="M2488" s="358" t="s">
        <v>14</v>
      </c>
      <c r="N2488" s="396" t="s">
        <v>89</v>
      </c>
      <c r="O2488" s="367" t="s">
        <v>27</v>
      </c>
      <c r="P2488" s="290"/>
      <c r="Q2488" s="367" t="s">
        <v>409</v>
      </c>
      <c r="R2488" s="350">
        <v>44064</v>
      </c>
    </row>
    <row r="2489" spans="1:20" ht="15" customHeight="1" x14ac:dyDescent="0.3">
      <c r="A2489" s="368"/>
      <c r="B2489" s="368"/>
      <c r="C2489" s="41">
        <v>19749</v>
      </c>
      <c r="D2489" s="368"/>
      <c r="E2489" s="368"/>
      <c r="F2489" s="368"/>
      <c r="G2489" s="368"/>
      <c r="H2489" s="368"/>
      <c r="I2489" s="368"/>
      <c r="J2489" s="371"/>
      <c r="K2489" s="368"/>
      <c r="L2489" s="368"/>
      <c r="M2489" s="359"/>
      <c r="N2489" s="397"/>
      <c r="O2489" s="368"/>
      <c r="P2489" s="291"/>
      <c r="Q2489" s="368"/>
      <c r="R2489" s="351"/>
      <c r="T2489" s="200">
        <v>1</v>
      </c>
    </row>
    <row r="2490" spans="1:20" ht="15" customHeight="1" thickBot="1" x14ac:dyDescent="0.35">
      <c r="A2490" s="369"/>
      <c r="B2490" s="369"/>
      <c r="C2490" s="42">
        <v>17800</v>
      </c>
      <c r="D2490" s="369"/>
      <c r="E2490" s="369"/>
      <c r="F2490" s="369"/>
      <c r="G2490" s="369"/>
      <c r="H2490" s="369"/>
      <c r="I2490" s="369"/>
      <c r="J2490" s="372"/>
      <c r="K2490" s="369"/>
      <c r="L2490" s="369"/>
      <c r="M2490" s="360"/>
      <c r="N2490" s="398"/>
      <c r="O2490" s="369"/>
      <c r="P2490" s="227">
        <v>44095</v>
      </c>
      <c r="Q2490" s="369"/>
      <c r="R2490" s="351"/>
    </row>
    <row r="2491" spans="1:20" ht="15" hidden="1" customHeight="1" x14ac:dyDescent="0.3">
      <c r="A2491" s="367">
        <v>687</v>
      </c>
      <c r="B2491" s="367" t="s">
        <v>327</v>
      </c>
      <c r="C2491" s="40">
        <v>-2400</v>
      </c>
      <c r="D2491" s="367">
        <v>1</v>
      </c>
      <c r="E2491" s="367" t="s">
        <v>168</v>
      </c>
      <c r="F2491" s="367">
        <v>938</v>
      </c>
      <c r="G2491" s="367" t="s">
        <v>427</v>
      </c>
      <c r="H2491" s="367" t="s">
        <v>30</v>
      </c>
      <c r="I2491" s="367">
        <v>296</v>
      </c>
      <c r="J2491" s="370" t="s">
        <v>45</v>
      </c>
      <c r="K2491" s="367">
        <v>40</v>
      </c>
      <c r="L2491" s="367">
        <v>-6</v>
      </c>
      <c r="M2491" s="358" t="s">
        <v>14</v>
      </c>
      <c r="N2491" s="396" t="s">
        <v>89</v>
      </c>
      <c r="O2491" s="367" t="s">
        <v>27</v>
      </c>
      <c r="P2491" s="290"/>
      <c r="Q2491" s="367" t="s">
        <v>409</v>
      </c>
      <c r="R2491" s="350">
        <v>44064</v>
      </c>
      <c r="T2491" s="200">
        <v>1</v>
      </c>
    </row>
    <row r="2492" spans="1:20" ht="15" customHeight="1" x14ac:dyDescent="0.3">
      <c r="A2492" s="368"/>
      <c r="B2492" s="368"/>
      <c r="C2492" s="41">
        <v>19769</v>
      </c>
      <c r="D2492" s="368"/>
      <c r="E2492" s="368"/>
      <c r="F2492" s="368"/>
      <c r="G2492" s="368"/>
      <c r="H2492" s="368"/>
      <c r="I2492" s="368"/>
      <c r="J2492" s="371"/>
      <c r="K2492" s="368"/>
      <c r="L2492" s="368"/>
      <c r="M2492" s="359"/>
      <c r="N2492" s="397"/>
      <c r="O2492" s="368"/>
      <c r="P2492" s="226">
        <v>44095</v>
      </c>
      <c r="Q2492" s="368"/>
      <c r="R2492" s="351"/>
    </row>
    <row r="2493" spans="1:20" ht="15" customHeight="1" thickBot="1" x14ac:dyDescent="0.35">
      <c r="A2493" s="369"/>
      <c r="B2493" s="369"/>
      <c r="C2493" s="42">
        <v>17800</v>
      </c>
      <c r="D2493" s="369"/>
      <c r="E2493" s="369"/>
      <c r="F2493" s="369"/>
      <c r="G2493" s="369"/>
      <c r="H2493" s="369"/>
      <c r="I2493" s="369"/>
      <c r="J2493" s="372"/>
      <c r="K2493" s="369"/>
      <c r="L2493" s="369"/>
      <c r="M2493" s="360"/>
      <c r="N2493" s="398"/>
      <c r="O2493" s="369"/>
      <c r="P2493" s="292"/>
      <c r="Q2493" s="369"/>
      <c r="R2493" s="351"/>
    </row>
    <row r="2494" spans="1:20" ht="15" hidden="1" customHeight="1" x14ac:dyDescent="0.3">
      <c r="A2494" s="367">
        <v>688</v>
      </c>
      <c r="B2494" s="367" t="s">
        <v>174</v>
      </c>
      <c r="C2494" s="40">
        <v>-2200</v>
      </c>
      <c r="D2494" s="370">
        <v>0</v>
      </c>
      <c r="E2494" s="367" t="s">
        <v>13</v>
      </c>
      <c r="F2494" s="367">
        <v>973</v>
      </c>
      <c r="G2494" s="367" t="s">
        <v>427</v>
      </c>
      <c r="H2494" s="367" t="s">
        <v>30</v>
      </c>
      <c r="I2494" s="367" t="s">
        <v>13</v>
      </c>
      <c r="J2494" s="367" t="s">
        <v>13</v>
      </c>
      <c r="K2494" s="367" t="s">
        <v>13</v>
      </c>
      <c r="L2494" s="367" t="s">
        <v>13</v>
      </c>
      <c r="M2494" s="358" t="s">
        <v>14</v>
      </c>
      <c r="N2494" s="396" t="s">
        <v>402</v>
      </c>
      <c r="O2494" s="367" t="s">
        <v>27</v>
      </c>
      <c r="P2494" s="65"/>
      <c r="Q2494" s="367" t="s">
        <v>184</v>
      </c>
    </row>
    <row r="2495" spans="1:20" ht="15" customHeight="1" x14ac:dyDescent="0.3">
      <c r="A2495" s="368"/>
      <c r="B2495" s="368"/>
      <c r="C2495" s="41">
        <v>19789</v>
      </c>
      <c r="D2495" s="371"/>
      <c r="E2495" s="368"/>
      <c r="F2495" s="368"/>
      <c r="G2495" s="368"/>
      <c r="H2495" s="368"/>
      <c r="I2495" s="368"/>
      <c r="J2495" s="368"/>
      <c r="K2495" s="368"/>
      <c r="L2495" s="368"/>
      <c r="M2495" s="359"/>
      <c r="N2495" s="397"/>
      <c r="O2495" s="368"/>
      <c r="P2495" s="226">
        <v>44066</v>
      </c>
      <c r="Q2495" s="368"/>
      <c r="T2495" s="200">
        <v>1</v>
      </c>
    </row>
    <row r="2496" spans="1:20" ht="15" customHeight="1" thickBot="1" x14ac:dyDescent="0.35">
      <c r="A2496" s="369"/>
      <c r="B2496" s="369"/>
      <c r="C2496" s="42">
        <v>18000</v>
      </c>
      <c r="D2496" s="372"/>
      <c r="E2496" s="369"/>
      <c r="F2496" s="369"/>
      <c r="G2496" s="369"/>
      <c r="H2496" s="369"/>
      <c r="I2496" s="369"/>
      <c r="J2496" s="369"/>
      <c r="K2496" s="369"/>
      <c r="L2496" s="369"/>
      <c r="M2496" s="360"/>
      <c r="N2496" s="398"/>
      <c r="O2496" s="369"/>
      <c r="P2496" s="67"/>
      <c r="Q2496" s="369"/>
    </row>
    <row r="2497" spans="1:20" ht="30" hidden="1" customHeight="1" x14ac:dyDescent="0.3">
      <c r="A2497" s="376">
        <v>689</v>
      </c>
      <c r="B2497" s="376" t="s">
        <v>274</v>
      </c>
      <c r="C2497" s="58">
        <v>-2200</v>
      </c>
      <c r="D2497" s="376">
        <v>2</v>
      </c>
      <c r="E2497" s="376" t="s">
        <v>168</v>
      </c>
      <c r="F2497" s="373">
        <v>973</v>
      </c>
      <c r="G2497" s="373" t="s">
        <v>427</v>
      </c>
      <c r="H2497" s="373" t="s">
        <v>30</v>
      </c>
      <c r="I2497" s="376">
        <v>350</v>
      </c>
      <c r="J2497" s="376" t="s">
        <v>45</v>
      </c>
      <c r="K2497" s="376" t="s">
        <v>275</v>
      </c>
      <c r="L2497" s="373" t="s">
        <v>13</v>
      </c>
      <c r="M2497" s="379" t="s">
        <v>14</v>
      </c>
      <c r="N2497" s="402" t="s">
        <v>89</v>
      </c>
      <c r="O2497" s="373" t="s">
        <v>27</v>
      </c>
      <c r="P2497" s="209"/>
      <c r="Q2497" s="376" t="s">
        <v>431</v>
      </c>
      <c r="R2497" s="186">
        <v>44066</v>
      </c>
      <c r="T2497" s="288">
        <v>1</v>
      </c>
    </row>
    <row r="2498" spans="1:20" ht="30" customHeight="1" thickBot="1" x14ac:dyDescent="0.35">
      <c r="A2498" s="377"/>
      <c r="B2498" s="377"/>
      <c r="C2498" s="59">
        <v>19789</v>
      </c>
      <c r="D2498" s="377"/>
      <c r="E2498" s="378"/>
      <c r="F2498" s="374"/>
      <c r="G2498" s="374"/>
      <c r="H2498" s="374"/>
      <c r="I2498" s="378"/>
      <c r="J2498" s="378"/>
      <c r="K2498" s="377"/>
      <c r="L2498" s="374"/>
      <c r="M2498" s="380"/>
      <c r="N2498" s="403"/>
      <c r="O2498" s="374"/>
      <c r="P2498" s="210"/>
      <c r="Q2498" s="377"/>
    </row>
    <row r="2499" spans="1:20" ht="30" customHeight="1" thickBot="1" x14ac:dyDescent="0.35">
      <c r="A2499" s="378"/>
      <c r="B2499" s="378"/>
      <c r="C2499" s="57">
        <v>18200</v>
      </c>
      <c r="D2499" s="378"/>
      <c r="E2499" s="50" t="s">
        <v>168</v>
      </c>
      <c r="F2499" s="375"/>
      <c r="G2499" s="375"/>
      <c r="H2499" s="375"/>
      <c r="I2499" s="50">
        <v>350</v>
      </c>
      <c r="J2499" s="57" t="s">
        <v>45</v>
      </c>
      <c r="K2499" s="378"/>
      <c r="L2499" s="375"/>
      <c r="M2499" s="381"/>
      <c r="N2499" s="404"/>
      <c r="O2499" s="375"/>
      <c r="P2499" s="211"/>
      <c r="Q2499" s="378"/>
    </row>
    <row r="2500" spans="1:20" ht="15" hidden="1" customHeight="1" x14ac:dyDescent="0.3">
      <c r="A2500" s="373">
        <v>690</v>
      </c>
      <c r="B2500" s="373" t="s">
        <v>48</v>
      </c>
      <c r="C2500" s="49">
        <v>-2186</v>
      </c>
      <c r="D2500" s="373">
        <v>1</v>
      </c>
      <c r="E2500" s="373" t="s">
        <v>133</v>
      </c>
      <c r="F2500" s="373">
        <v>1000</v>
      </c>
      <c r="G2500" s="373">
        <v>1000</v>
      </c>
      <c r="H2500" s="373" t="s">
        <v>416</v>
      </c>
      <c r="I2500" s="373">
        <v>300</v>
      </c>
      <c r="J2500" s="376" t="s">
        <v>45</v>
      </c>
      <c r="K2500" s="373">
        <v>60</v>
      </c>
      <c r="L2500" s="373">
        <v>170.5</v>
      </c>
      <c r="M2500" s="379" t="s">
        <v>14</v>
      </c>
      <c r="N2500" s="408" t="s">
        <v>402</v>
      </c>
      <c r="O2500" s="373" t="s">
        <v>27</v>
      </c>
      <c r="P2500" s="209"/>
      <c r="Q2500" s="376" t="s">
        <v>418</v>
      </c>
      <c r="R2500" s="186">
        <v>44066</v>
      </c>
    </row>
    <row r="2501" spans="1:20" ht="15" customHeight="1" x14ac:dyDescent="0.3">
      <c r="A2501" s="374"/>
      <c r="B2501" s="374"/>
      <c r="C2501" s="51">
        <v>19800</v>
      </c>
      <c r="D2501" s="374"/>
      <c r="E2501" s="374"/>
      <c r="F2501" s="374"/>
      <c r="G2501" s="374"/>
      <c r="H2501" s="374"/>
      <c r="I2501" s="374"/>
      <c r="J2501" s="377"/>
      <c r="K2501" s="374"/>
      <c r="L2501" s="374"/>
      <c r="M2501" s="380"/>
      <c r="N2501" s="409"/>
      <c r="O2501" s="374"/>
      <c r="P2501" s="210"/>
      <c r="Q2501" s="377"/>
      <c r="T2501" s="288">
        <v>1</v>
      </c>
    </row>
    <row r="2502" spans="1:20" ht="15" customHeight="1" thickBot="1" x14ac:dyDescent="0.35">
      <c r="A2502" s="375"/>
      <c r="B2502" s="375"/>
      <c r="C2502" s="50">
        <v>24500</v>
      </c>
      <c r="D2502" s="375"/>
      <c r="E2502" s="375"/>
      <c r="F2502" s="375"/>
      <c r="G2502" s="375"/>
      <c r="H2502" s="375"/>
      <c r="I2502" s="375"/>
      <c r="J2502" s="378"/>
      <c r="K2502" s="375"/>
      <c r="L2502" s="375"/>
      <c r="M2502" s="381"/>
      <c r="N2502" s="410"/>
      <c r="O2502" s="375"/>
      <c r="P2502" s="211"/>
      <c r="Q2502" s="378"/>
    </row>
    <row r="2503" spans="1:20" ht="15" hidden="1" customHeight="1" x14ac:dyDescent="0.3">
      <c r="A2503" s="370">
        <v>691</v>
      </c>
      <c r="B2503" s="370" t="s">
        <v>420</v>
      </c>
      <c r="C2503" s="37">
        <v>-16000</v>
      </c>
      <c r="D2503" s="370">
        <v>1</v>
      </c>
      <c r="E2503" s="370" t="s">
        <v>421</v>
      </c>
      <c r="F2503" s="370">
        <v>1000</v>
      </c>
      <c r="G2503" s="370">
        <v>1000</v>
      </c>
      <c r="H2503" s="370" t="s">
        <v>422</v>
      </c>
      <c r="I2503" s="370">
        <v>303</v>
      </c>
      <c r="J2503" s="370" t="s">
        <v>45</v>
      </c>
      <c r="K2503" s="370">
        <v>30</v>
      </c>
      <c r="L2503" s="367">
        <v>155</v>
      </c>
      <c r="M2503" s="358" t="s">
        <v>14</v>
      </c>
      <c r="N2503" s="399" t="s">
        <v>402</v>
      </c>
      <c r="O2503" s="367" t="s">
        <v>27</v>
      </c>
      <c r="P2503" s="243"/>
      <c r="Q2503" s="370" t="s">
        <v>423</v>
      </c>
      <c r="R2503" s="186">
        <v>44066</v>
      </c>
      <c r="T2503" s="200">
        <v>1</v>
      </c>
    </row>
    <row r="2504" spans="1:20" ht="15" customHeight="1" x14ac:dyDescent="0.3">
      <c r="A2504" s="371"/>
      <c r="B2504" s="371"/>
      <c r="C2504" s="38">
        <v>4300</v>
      </c>
      <c r="D2504" s="371"/>
      <c r="E2504" s="371"/>
      <c r="F2504" s="371"/>
      <c r="G2504" s="371"/>
      <c r="H2504" s="371"/>
      <c r="I2504" s="371"/>
      <c r="J2504" s="371"/>
      <c r="K2504" s="371"/>
      <c r="L2504" s="368"/>
      <c r="M2504" s="359"/>
      <c r="N2504" s="400"/>
      <c r="O2504" s="368"/>
      <c r="P2504" s="226">
        <v>44079</v>
      </c>
      <c r="Q2504" s="371"/>
      <c r="R2504" s="186">
        <v>44079</v>
      </c>
    </row>
    <row r="2505" spans="1:20" ht="15" customHeight="1" thickBot="1" x14ac:dyDescent="0.35">
      <c r="A2505" s="372"/>
      <c r="B2505" s="372"/>
      <c r="C2505" s="39">
        <v>17500</v>
      </c>
      <c r="D2505" s="372"/>
      <c r="E2505" s="372"/>
      <c r="F2505" s="372"/>
      <c r="G2505" s="372"/>
      <c r="H2505" s="372"/>
      <c r="I2505" s="372"/>
      <c r="J2505" s="372"/>
      <c r="K2505" s="372"/>
      <c r="L2505" s="369"/>
      <c r="M2505" s="360"/>
      <c r="N2505" s="401"/>
      <c r="O2505" s="369"/>
      <c r="P2505" s="244"/>
      <c r="Q2505" s="372"/>
    </row>
    <row r="2506" spans="1:20" ht="15" hidden="1" customHeight="1" x14ac:dyDescent="0.3">
      <c r="A2506" s="370">
        <v>692</v>
      </c>
      <c r="B2506" s="370" t="s">
        <v>420</v>
      </c>
      <c r="C2506" s="37">
        <v>-17350</v>
      </c>
      <c r="D2506" s="370">
        <v>1</v>
      </c>
      <c r="E2506" s="370" t="s">
        <v>421</v>
      </c>
      <c r="F2506" s="370">
        <v>1000</v>
      </c>
      <c r="G2506" s="370">
        <v>1000</v>
      </c>
      <c r="H2506" s="370" t="s">
        <v>422</v>
      </c>
      <c r="I2506" s="370">
        <v>303</v>
      </c>
      <c r="J2506" s="370" t="s">
        <v>45</v>
      </c>
      <c r="K2506" s="370">
        <v>30</v>
      </c>
      <c r="L2506" s="367">
        <v>155</v>
      </c>
      <c r="M2506" s="358" t="s">
        <v>14</v>
      </c>
      <c r="N2506" s="399" t="s">
        <v>432</v>
      </c>
      <c r="O2506" s="367" t="s">
        <v>27</v>
      </c>
      <c r="P2506" s="184"/>
      <c r="Q2506" s="370" t="s">
        <v>423</v>
      </c>
      <c r="R2506" s="186">
        <v>44068</v>
      </c>
    </row>
    <row r="2507" spans="1:20" ht="15" customHeight="1" x14ac:dyDescent="0.3">
      <c r="A2507" s="371"/>
      <c r="B2507" s="371"/>
      <c r="C2507" s="38">
        <v>-9437</v>
      </c>
      <c r="D2507" s="371"/>
      <c r="E2507" s="371"/>
      <c r="F2507" s="371"/>
      <c r="G2507" s="371"/>
      <c r="H2507" s="371"/>
      <c r="I2507" s="371"/>
      <c r="J2507" s="371"/>
      <c r="K2507" s="371"/>
      <c r="L2507" s="368"/>
      <c r="M2507" s="359"/>
      <c r="N2507" s="400"/>
      <c r="O2507" s="368"/>
      <c r="P2507" s="226">
        <v>44066</v>
      </c>
      <c r="Q2507" s="371"/>
    </row>
    <row r="2508" spans="1:20" ht="15" customHeight="1" thickBot="1" x14ac:dyDescent="0.35">
      <c r="A2508" s="372"/>
      <c r="B2508" s="372"/>
      <c r="C2508" s="39">
        <v>17500</v>
      </c>
      <c r="D2508" s="372"/>
      <c r="E2508" s="372"/>
      <c r="F2508" s="372"/>
      <c r="G2508" s="372"/>
      <c r="H2508" s="372"/>
      <c r="I2508" s="372"/>
      <c r="J2508" s="372"/>
      <c r="K2508" s="372"/>
      <c r="L2508" s="369"/>
      <c r="M2508" s="360"/>
      <c r="N2508" s="401"/>
      <c r="O2508" s="369"/>
      <c r="P2508" s="185"/>
      <c r="Q2508" s="372"/>
      <c r="T2508" s="200">
        <v>1</v>
      </c>
    </row>
    <row r="2509" spans="1:20" ht="15" hidden="1" customHeight="1" x14ac:dyDescent="0.3">
      <c r="A2509" s="367">
        <v>693</v>
      </c>
      <c r="B2509" s="367" t="s">
        <v>174</v>
      </c>
      <c r="C2509" s="40">
        <v>2200</v>
      </c>
      <c r="D2509" s="370">
        <v>0</v>
      </c>
      <c r="E2509" s="367" t="s">
        <v>13</v>
      </c>
      <c r="F2509" s="367">
        <v>973</v>
      </c>
      <c r="G2509" s="367" t="s">
        <v>564</v>
      </c>
      <c r="H2509" s="367" t="s">
        <v>30</v>
      </c>
      <c r="I2509" s="367" t="s">
        <v>13</v>
      </c>
      <c r="J2509" s="367" t="s">
        <v>13</v>
      </c>
      <c r="K2509" s="367" t="s">
        <v>13</v>
      </c>
      <c r="L2509" s="367" t="s">
        <v>13</v>
      </c>
      <c r="M2509" s="358" t="s">
        <v>14</v>
      </c>
      <c r="N2509" s="396" t="s">
        <v>385</v>
      </c>
      <c r="O2509" s="367" t="s">
        <v>27</v>
      </c>
      <c r="P2509" s="65"/>
      <c r="Q2509" s="367" t="s">
        <v>184</v>
      </c>
    </row>
    <row r="2510" spans="1:20" ht="15" customHeight="1" x14ac:dyDescent="0.3">
      <c r="A2510" s="368"/>
      <c r="B2510" s="368"/>
      <c r="C2510" s="41">
        <v>-19789</v>
      </c>
      <c r="D2510" s="371"/>
      <c r="E2510" s="368"/>
      <c r="F2510" s="368"/>
      <c r="G2510" s="368"/>
      <c r="H2510" s="368"/>
      <c r="I2510" s="368"/>
      <c r="J2510" s="368"/>
      <c r="K2510" s="368"/>
      <c r="L2510" s="368"/>
      <c r="M2510" s="359"/>
      <c r="N2510" s="397"/>
      <c r="O2510" s="368"/>
      <c r="P2510" s="226">
        <v>44066</v>
      </c>
      <c r="Q2510" s="368"/>
      <c r="T2510" s="200">
        <v>1</v>
      </c>
    </row>
    <row r="2511" spans="1:20" ht="15" customHeight="1" thickBot="1" x14ac:dyDescent="0.35">
      <c r="A2511" s="369"/>
      <c r="B2511" s="369"/>
      <c r="C2511" s="42">
        <v>18200</v>
      </c>
      <c r="D2511" s="372"/>
      <c r="E2511" s="369"/>
      <c r="F2511" s="369"/>
      <c r="G2511" s="369"/>
      <c r="H2511" s="369"/>
      <c r="I2511" s="369"/>
      <c r="J2511" s="369"/>
      <c r="K2511" s="369"/>
      <c r="L2511" s="369"/>
      <c r="M2511" s="360"/>
      <c r="N2511" s="398"/>
      <c r="O2511" s="369"/>
      <c r="P2511" s="67"/>
      <c r="Q2511" s="369"/>
    </row>
    <row r="2512" spans="1:20" ht="15" hidden="1" customHeight="1" x14ac:dyDescent="0.3">
      <c r="A2512" s="367">
        <v>694</v>
      </c>
      <c r="B2512" s="367" t="s">
        <v>174</v>
      </c>
      <c r="C2512" s="40">
        <v>2200</v>
      </c>
      <c r="D2512" s="370">
        <v>0</v>
      </c>
      <c r="E2512" s="367" t="s">
        <v>13</v>
      </c>
      <c r="F2512" s="367">
        <v>973</v>
      </c>
      <c r="G2512" s="367" t="s">
        <v>564</v>
      </c>
      <c r="H2512" s="367" t="s">
        <v>30</v>
      </c>
      <c r="I2512" s="367" t="s">
        <v>13</v>
      </c>
      <c r="J2512" s="367" t="s">
        <v>13</v>
      </c>
      <c r="K2512" s="367" t="s">
        <v>13</v>
      </c>
      <c r="L2512" s="367" t="s">
        <v>13</v>
      </c>
      <c r="M2512" s="358" t="s">
        <v>14</v>
      </c>
      <c r="N2512" s="396" t="s">
        <v>385</v>
      </c>
      <c r="O2512" s="367" t="s">
        <v>27</v>
      </c>
      <c r="P2512" s="65"/>
      <c r="Q2512" s="367" t="s">
        <v>184</v>
      </c>
      <c r="T2512" s="200">
        <v>1</v>
      </c>
    </row>
    <row r="2513" spans="1:20" ht="15" customHeight="1" x14ac:dyDescent="0.3">
      <c r="A2513" s="368"/>
      <c r="B2513" s="368"/>
      <c r="C2513" s="41">
        <v>-19789</v>
      </c>
      <c r="D2513" s="371"/>
      <c r="E2513" s="368"/>
      <c r="F2513" s="368"/>
      <c r="G2513" s="368"/>
      <c r="H2513" s="368"/>
      <c r="I2513" s="368"/>
      <c r="J2513" s="368"/>
      <c r="K2513" s="368"/>
      <c r="L2513" s="368"/>
      <c r="M2513" s="359"/>
      <c r="N2513" s="397"/>
      <c r="O2513" s="368"/>
      <c r="P2513" s="226">
        <v>44066</v>
      </c>
      <c r="Q2513" s="368"/>
    </row>
    <row r="2514" spans="1:20" ht="15" customHeight="1" thickBot="1" x14ac:dyDescent="0.35">
      <c r="A2514" s="369"/>
      <c r="B2514" s="369"/>
      <c r="C2514" s="42">
        <v>18000</v>
      </c>
      <c r="D2514" s="372"/>
      <c r="E2514" s="369"/>
      <c r="F2514" s="369"/>
      <c r="G2514" s="369"/>
      <c r="H2514" s="369"/>
      <c r="I2514" s="369"/>
      <c r="J2514" s="369"/>
      <c r="K2514" s="369"/>
      <c r="L2514" s="369"/>
      <c r="M2514" s="360"/>
      <c r="N2514" s="398"/>
      <c r="O2514" s="369"/>
      <c r="P2514" s="67"/>
      <c r="Q2514" s="369"/>
    </row>
    <row r="2515" spans="1:20" ht="15" hidden="1" customHeight="1" x14ac:dyDescent="0.3">
      <c r="A2515" s="367">
        <v>695</v>
      </c>
      <c r="B2515" s="367" t="s">
        <v>174</v>
      </c>
      <c r="C2515" s="40">
        <v>2400</v>
      </c>
      <c r="D2515" s="370">
        <v>0</v>
      </c>
      <c r="E2515" s="367" t="s">
        <v>13</v>
      </c>
      <c r="F2515" s="370">
        <v>937</v>
      </c>
      <c r="G2515" s="367" t="s">
        <v>564</v>
      </c>
      <c r="H2515" s="367" t="s">
        <v>30</v>
      </c>
      <c r="I2515" s="367" t="s">
        <v>13</v>
      </c>
      <c r="J2515" s="367" t="s">
        <v>13</v>
      </c>
      <c r="K2515" s="367" t="s">
        <v>13</v>
      </c>
      <c r="L2515" s="367" t="s">
        <v>13</v>
      </c>
      <c r="M2515" s="358" t="s">
        <v>14</v>
      </c>
      <c r="N2515" s="396" t="s">
        <v>385</v>
      </c>
      <c r="O2515" s="367" t="s">
        <v>27</v>
      </c>
      <c r="P2515" s="65"/>
      <c r="Q2515" s="367" t="s">
        <v>184</v>
      </c>
      <c r="T2515" s="200">
        <v>1</v>
      </c>
    </row>
    <row r="2516" spans="1:20" ht="15" customHeight="1" x14ac:dyDescent="0.3">
      <c r="A2516" s="368"/>
      <c r="B2516" s="368"/>
      <c r="C2516" s="41">
        <v>-19769</v>
      </c>
      <c r="D2516" s="371"/>
      <c r="E2516" s="368"/>
      <c r="F2516" s="371"/>
      <c r="G2516" s="368"/>
      <c r="H2516" s="368"/>
      <c r="I2516" s="368"/>
      <c r="J2516" s="368"/>
      <c r="K2516" s="368"/>
      <c r="L2516" s="368"/>
      <c r="M2516" s="359"/>
      <c r="N2516" s="397"/>
      <c r="O2516" s="368"/>
      <c r="P2516" s="226">
        <v>44066</v>
      </c>
      <c r="Q2516" s="368"/>
    </row>
    <row r="2517" spans="1:20" ht="15" customHeight="1" thickBot="1" x14ac:dyDescent="0.35">
      <c r="A2517" s="369"/>
      <c r="B2517" s="369"/>
      <c r="C2517" s="42">
        <v>17800</v>
      </c>
      <c r="D2517" s="372"/>
      <c r="E2517" s="369"/>
      <c r="F2517" s="372"/>
      <c r="G2517" s="369"/>
      <c r="H2517" s="369"/>
      <c r="I2517" s="369"/>
      <c r="J2517" s="369"/>
      <c r="K2517" s="369"/>
      <c r="L2517" s="369"/>
      <c r="M2517" s="360"/>
      <c r="N2517" s="398"/>
      <c r="O2517" s="369"/>
      <c r="P2517" s="67"/>
      <c r="Q2517" s="369"/>
    </row>
    <row r="2518" spans="1:20" ht="15" hidden="1" customHeight="1" x14ac:dyDescent="0.3">
      <c r="A2518" s="367">
        <v>696</v>
      </c>
      <c r="B2518" s="367" t="s">
        <v>174</v>
      </c>
      <c r="C2518" s="40">
        <v>2600</v>
      </c>
      <c r="D2518" s="367">
        <v>0</v>
      </c>
      <c r="E2518" s="367" t="s">
        <v>13</v>
      </c>
      <c r="F2518" s="367">
        <v>898</v>
      </c>
      <c r="G2518" s="367" t="s">
        <v>564</v>
      </c>
      <c r="H2518" s="367" t="s">
        <v>30</v>
      </c>
      <c r="I2518" s="367" t="s">
        <v>13</v>
      </c>
      <c r="J2518" s="367" t="s">
        <v>13</v>
      </c>
      <c r="K2518" s="367" t="s">
        <v>13</v>
      </c>
      <c r="L2518" s="367" t="s">
        <v>13</v>
      </c>
      <c r="M2518" s="358" t="s">
        <v>14</v>
      </c>
      <c r="N2518" s="396" t="s">
        <v>385</v>
      </c>
      <c r="O2518" s="367" t="s">
        <v>27</v>
      </c>
      <c r="P2518" s="65"/>
      <c r="Q2518" s="367" t="s">
        <v>184</v>
      </c>
      <c r="T2518" s="200">
        <v>1</v>
      </c>
    </row>
    <row r="2519" spans="1:20" ht="15" customHeight="1" x14ac:dyDescent="0.3">
      <c r="A2519" s="368"/>
      <c r="B2519" s="368"/>
      <c r="C2519" s="41">
        <v>-19749</v>
      </c>
      <c r="D2519" s="368"/>
      <c r="E2519" s="368"/>
      <c r="F2519" s="368"/>
      <c r="G2519" s="368"/>
      <c r="H2519" s="368"/>
      <c r="I2519" s="368"/>
      <c r="J2519" s="368"/>
      <c r="K2519" s="368"/>
      <c r="L2519" s="368"/>
      <c r="M2519" s="359"/>
      <c r="N2519" s="397"/>
      <c r="O2519" s="368"/>
      <c r="P2519" s="66"/>
      <c r="Q2519" s="368"/>
    </row>
    <row r="2520" spans="1:20" ht="15" customHeight="1" thickBot="1" x14ac:dyDescent="0.35">
      <c r="A2520" s="369"/>
      <c r="B2520" s="369"/>
      <c r="C2520" s="42">
        <v>17800</v>
      </c>
      <c r="D2520" s="369"/>
      <c r="E2520" s="369"/>
      <c r="F2520" s="369"/>
      <c r="G2520" s="369"/>
      <c r="H2520" s="369"/>
      <c r="I2520" s="369"/>
      <c r="J2520" s="369"/>
      <c r="K2520" s="369"/>
      <c r="L2520" s="369"/>
      <c r="M2520" s="360"/>
      <c r="N2520" s="398"/>
      <c r="O2520" s="369"/>
      <c r="P2520" s="227">
        <v>44066</v>
      </c>
      <c r="Q2520" s="369"/>
    </row>
    <row r="2521" spans="1:20" ht="15" customHeight="1" thickBot="1" x14ac:dyDescent="0.35">
      <c r="A2521" s="352" t="s">
        <v>92</v>
      </c>
      <c r="B2521" s="353"/>
      <c r="C2521" s="353"/>
      <c r="D2521" s="353"/>
      <c r="E2521" s="353"/>
      <c r="F2521" s="353"/>
      <c r="G2521" s="353"/>
      <c r="H2521" s="353"/>
      <c r="I2521" s="353"/>
      <c r="J2521" s="353"/>
      <c r="K2521" s="353"/>
      <c r="L2521" s="353"/>
      <c r="M2521" s="353"/>
      <c r="N2521" s="353"/>
      <c r="O2521" s="353"/>
      <c r="P2521" s="353"/>
      <c r="Q2521" s="354"/>
    </row>
    <row r="2522" spans="1:20" ht="15" hidden="1" customHeight="1" x14ac:dyDescent="0.3">
      <c r="A2522" s="367">
        <v>697</v>
      </c>
      <c r="B2522" s="367" t="s">
        <v>174</v>
      </c>
      <c r="C2522" s="40">
        <v>-21370</v>
      </c>
      <c r="D2522" s="370">
        <v>0</v>
      </c>
      <c r="E2522" s="367" t="s">
        <v>13</v>
      </c>
      <c r="F2522" s="367">
        <v>1200</v>
      </c>
      <c r="G2522" s="367">
        <v>940</v>
      </c>
      <c r="H2522" s="367" t="s">
        <v>50</v>
      </c>
      <c r="I2522" s="367" t="s">
        <v>13</v>
      </c>
      <c r="J2522" s="367" t="s">
        <v>13</v>
      </c>
      <c r="K2522" s="367" t="s">
        <v>13</v>
      </c>
      <c r="L2522" s="367" t="s">
        <v>13</v>
      </c>
      <c r="M2522" s="358" t="s">
        <v>14</v>
      </c>
      <c r="N2522" s="396" t="s">
        <v>413</v>
      </c>
      <c r="O2522" s="367" t="s">
        <v>27</v>
      </c>
      <c r="P2522" s="228">
        <v>44066</v>
      </c>
      <c r="Q2522" s="367" t="s">
        <v>176</v>
      </c>
    </row>
    <row r="2523" spans="1:20" ht="15" customHeight="1" x14ac:dyDescent="0.3">
      <c r="A2523" s="368"/>
      <c r="B2523" s="368"/>
      <c r="C2523" s="41">
        <v>2805</v>
      </c>
      <c r="D2523" s="371"/>
      <c r="E2523" s="368"/>
      <c r="F2523" s="368"/>
      <c r="G2523" s="368"/>
      <c r="H2523" s="368"/>
      <c r="I2523" s="368"/>
      <c r="J2523" s="368"/>
      <c r="K2523" s="368"/>
      <c r="L2523" s="368"/>
      <c r="M2523" s="359"/>
      <c r="N2523" s="397"/>
      <c r="O2523" s="368"/>
      <c r="P2523" s="66"/>
      <c r="Q2523" s="368"/>
      <c r="T2523" s="200">
        <v>1</v>
      </c>
    </row>
    <row r="2524" spans="1:20" ht="15" customHeight="1" thickBot="1" x14ac:dyDescent="0.35">
      <c r="A2524" s="369"/>
      <c r="B2524" s="369"/>
      <c r="C2524" s="42">
        <v>20702</v>
      </c>
      <c r="D2524" s="372"/>
      <c r="E2524" s="369"/>
      <c r="F2524" s="369"/>
      <c r="G2524" s="369"/>
      <c r="H2524" s="369"/>
      <c r="I2524" s="369"/>
      <c r="J2524" s="369"/>
      <c r="K2524" s="369"/>
      <c r="L2524" s="369"/>
      <c r="M2524" s="360"/>
      <c r="N2524" s="398"/>
      <c r="O2524" s="369"/>
      <c r="P2524" s="67"/>
      <c r="Q2524" s="369"/>
    </row>
    <row r="2525" spans="1:20" ht="15" hidden="1" customHeight="1" x14ac:dyDescent="0.3">
      <c r="A2525" s="367">
        <v>698</v>
      </c>
      <c r="B2525" s="367" t="s">
        <v>174</v>
      </c>
      <c r="C2525" s="40">
        <v>-21550</v>
      </c>
      <c r="D2525" s="370">
        <v>0</v>
      </c>
      <c r="E2525" s="367" t="s">
        <v>13</v>
      </c>
      <c r="F2525" s="367">
        <v>1200</v>
      </c>
      <c r="G2525" s="367">
        <v>940</v>
      </c>
      <c r="H2525" s="367" t="s">
        <v>50</v>
      </c>
      <c r="I2525" s="367" t="s">
        <v>13</v>
      </c>
      <c r="J2525" s="367" t="s">
        <v>13</v>
      </c>
      <c r="K2525" s="367" t="s">
        <v>13</v>
      </c>
      <c r="L2525" s="367" t="s">
        <v>13</v>
      </c>
      <c r="M2525" s="358" t="s">
        <v>14</v>
      </c>
      <c r="N2525" s="396" t="s">
        <v>413</v>
      </c>
      <c r="O2525" s="367" t="s">
        <v>27</v>
      </c>
      <c r="P2525" s="65"/>
      <c r="Q2525" s="367" t="s">
        <v>176</v>
      </c>
    </row>
    <row r="2526" spans="1:20" ht="15" customHeight="1" x14ac:dyDescent="0.3">
      <c r="A2526" s="368"/>
      <c r="B2526" s="368"/>
      <c r="C2526" s="41">
        <v>0</v>
      </c>
      <c r="D2526" s="371"/>
      <c r="E2526" s="368"/>
      <c r="F2526" s="368"/>
      <c r="G2526" s="368"/>
      <c r="H2526" s="368"/>
      <c r="I2526" s="368"/>
      <c r="J2526" s="368"/>
      <c r="K2526" s="368"/>
      <c r="L2526" s="368"/>
      <c r="M2526" s="359"/>
      <c r="N2526" s="397"/>
      <c r="O2526" s="368"/>
      <c r="P2526" s="226">
        <v>44066</v>
      </c>
      <c r="Q2526" s="368"/>
      <c r="T2526" s="200">
        <v>1</v>
      </c>
    </row>
    <row r="2527" spans="1:20" ht="15" customHeight="1" thickBot="1" x14ac:dyDescent="0.35">
      <c r="A2527" s="369"/>
      <c r="B2527" s="369"/>
      <c r="C2527" s="42">
        <v>20702</v>
      </c>
      <c r="D2527" s="372"/>
      <c r="E2527" s="369"/>
      <c r="F2527" s="369"/>
      <c r="G2527" s="369"/>
      <c r="H2527" s="369"/>
      <c r="I2527" s="369"/>
      <c r="J2527" s="369"/>
      <c r="K2527" s="369"/>
      <c r="L2527" s="369"/>
      <c r="M2527" s="360"/>
      <c r="N2527" s="398"/>
      <c r="O2527" s="369"/>
      <c r="P2527" s="67"/>
      <c r="Q2527" s="369"/>
    </row>
    <row r="2528" spans="1:20" ht="15" hidden="1" customHeight="1" x14ac:dyDescent="0.3">
      <c r="A2528" s="367">
        <v>699</v>
      </c>
      <c r="B2528" s="367" t="s">
        <v>174</v>
      </c>
      <c r="C2528" s="40">
        <v>-21370</v>
      </c>
      <c r="D2528" s="370">
        <v>0</v>
      </c>
      <c r="E2528" s="367" t="s">
        <v>13</v>
      </c>
      <c r="F2528" s="367">
        <v>1200</v>
      </c>
      <c r="G2528" s="367">
        <v>940</v>
      </c>
      <c r="H2528" s="367" t="s">
        <v>50</v>
      </c>
      <c r="I2528" s="367" t="s">
        <v>13</v>
      </c>
      <c r="J2528" s="367" t="s">
        <v>13</v>
      </c>
      <c r="K2528" s="367" t="s">
        <v>13</v>
      </c>
      <c r="L2528" s="367" t="s">
        <v>13</v>
      </c>
      <c r="M2528" s="358" t="s">
        <v>14</v>
      </c>
      <c r="N2528" s="396" t="s">
        <v>413</v>
      </c>
      <c r="O2528" s="367" t="s">
        <v>27</v>
      </c>
      <c r="P2528" s="228">
        <v>44066</v>
      </c>
      <c r="Q2528" s="367" t="s">
        <v>176</v>
      </c>
    </row>
    <row r="2529" spans="1:20" ht="15" customHeight="1" x14ac:dyDescent="0.3">
      <c r="A2529" s="368"/>
      <c r="B2529" s="368"/>
      <c r="C2529" s="41">
        <v>-2805</v>
      </c>
      <c r="D2529" s="371"/>
      <c r="E2529" s="368"/>
      <c r="F2529" s="368"/>
      <c r="G2529" s="368"/>
      <c r="H2529" s="368"/>
      <c r="I2529" s="368"/>
      <c r="J2529" s="368"/>
      <c r="K2529" s="368"/>
      <c r="L2529" s="368"/>
      <c r="M2529" s="359"/>
      <c r="N2529" s="397"/>
      <c r="O2529" s="368"/>
      <c r="P2529" s="66"/>
      <c r="Q2529" s="368"/>
      <c r="T2529" s="200">
        <v>1</v>
      </c>
    </row>
    <row r="2530" spans="1:20" ht="15" customHeight="1" thickBot="1" x14ac:dyDescent="0.35">
      <c r="A2530" s="369"/>
      <c r="B2530" s="369"/>
      <c r="C2530" s="42">
        <v>20702</v>
      </c>
      <c r="D2530" s="372"/>
      <c r="E2530" s="369"/>
      <c r="F2530" s="369"/>
      <c r="G2530" s="369"/>
      <c r="H2530" s="369"/>
      <c r="I2530" s="369"/>
      <c r="J2530" s="369"/>
      <c r="K2530" s="369"/>
      <c r="L2530" s="369"/>
      <c r="M2530" s="360"/>
      <c r="N2530" s="398"/>
      <c r="O2530" s="369"/>
      <c r="P2530" s="67"/>
      <c r="Q2530" s="369"/>
    </row>
    <row r="2531" spans="1:20" ht="15" hidden="1" customHeight="1" x14ac:dyDescent="0.3">
      <c r="A2531" s="367">
        <v>700</v>
      </c>
      <c r="B2531" s="367" t="s">
        <v>174</v>
      </c>
      <c r="C2531" s="40">
        <v>-17265</v>
      </c>
      <c r="D2531" s="370">
        <v>0</v>
      </c>
      <c r="E2531" s="367" t="s">
        <v>13</v>
      </c>
      <c r="F2531" s="367">
        <v>1200</v>
      </c>
      <c r="G2531" s="367">
        <v>940</v>
      </c>
      <c r="H2531" s="367" t="s">
        <v>50</v>
      </c>
      <c r="I2531" s="367" t="s">
        <v>13</v>
      </c>
      <c r="J2531" s="367" t="s">
        <v>13</v>
      </c>
      <c r="K2531" s="367" t="s">
        <v>13</v>
      </c>
      <c r="L2531" s="367" t="s">
        <v>13</v>
      </c>
      <c r="M2531" s="358" t="s">
        <v>14</v>
      </c>
      <c r="N2531" s="396" t="s">
        <v>433</v>
      </c>
      <c r="O2531" s="367" t="s">
        <v>27</v>
      </c>
      <c r="P2531" s="228">
        <v>44066</v>
      </c>
      <c r="Q2531" s="367" t="s">
        <v>176</v>
      </c>
      <c r="T2531" s="200">
        <v>1</v>
      </c>
    </row>
    <row r="2532" spans="1:20" ht="15" customHeight="1" x14ac:dyDescent="0.3">
      <c r="A2532" s="368"/>
      <c r="B2532" s="368"/>
      <c r="C2532" s="41">
        <v>-2805</v>
      </c>
      <c r="D2532" s="371"/>
      <c r="E2532" s="368"/>
      <c r="F2532" s="368"/>
      <c r="G2532" s="368"/>
      <c r="H2532" s="368"/>
      <c r="I2532" s="368"/>
      <c r="J2532" s="368"/>
      <c r="K2532" s="368"/>
      <c r="L2532" s="368"/>
      <c r="M2532" s="359"/>
      <c r="N2532" s="397"/>
      <c r="O2532" s="368"/>
      <c r="P2532" s="66"/>
      <c r="Q2532" s="368"/>
    </row>
    <row r="2533" spans="1:20" ht="15" customHeight="1" thickBot="1" x14ac:dyDescent="0.35">
      <c r="A2533" s="369"/>
      <c r="B2533" s="369"/>
      <c r="C2533" s="42">
        <v>20702</v>
      </c>
      <c r="D2533" s="372"/>
      <c r="E2533" s="369"/>
      <c r="F2533" s="369"/>
      <c r="G2533" s="369"/>
      <c r="H2533" s="369"/>
      <c r="I2533" s="369"/>
      <c r="J2533" s="369"/>
      <c r="K2533" s="369"/>
      <c r="L2533" s="369"/>
      <c r="M2533" s="360"/>
      <c r="N2533" s="398"/>
      <c r="O2533" s="369"/>
      <c r="P2533" s="67"/>
      <c r="Q2533" s="369"/>
    </row>
    <row r="2534" spans="1:20" ht="15" hidden="1" customHeight="1" x14ac:dyDescent="0.3">
      <c r="A2534" s="367">
        <v>701</v>
      </c>
      <c r="B2534" s="367" t="s">
        <v>174</v>
      </c>
      <c r="C2534" s="40">
        <v>-16965</v>
      </c>
      <c r="D2534" s="370">
        <v>0</v>
      </c>
      <c r="E2534" s="367" t="s">
        <v>13</v>
      </c>
      <c r="F2534" s="367">
        <v>1200</v>
      </c>
      <c r="G2534" s="367">
        <v>940</v>
      </c>
      <c r="H2534" s="367" t="s">
        <v>50</v>
      </c>
      <c r="I2534" s="367" t="s">
        <v>13</v>
      </c>
      <c r="J2534" s="367" t="s">
        <v>13</v>
      </c>
      <c r="K2534" s="367" t="s">
        <v>13</v>
      </c>
      <c r="L2534" s="367" t="s">
        <v>13</v>
      </c>
      <c r="M2534" s="358" t="s">
        <v>14</v>
      </c>
      <c r="N2534" s="396" t="s">
        <v>434</v>
      </c>
      <c r="O2534" s="367" t="s">
        <v>27</v>
      </c>
      <c r="P2534" s="65"/>
      <c r="Q2534" s="367" t="s">
        <v>176</v>
      </c>
      <c r="T2534" s="200">
        <v>1</v>
      </c>
    </row>
    <row r="2535" spans="1:20" ht="15" customHeight="1" x14ac:dyDescent="0.3">
      <c r="A2535" s="368"/>
      <c r="B2535" s="368"/>
      <c r="C2535" s="41">
        <v>-2805</v>
      </c>
      <c r="D2535" s="371"/>
      <c r="E2535" s="368"/>
      <c r="F2535" s="368"/>
      <c r="G2535" s="368"/>
      <c r="H2535" s="368"/>
      <c r="I2535" s="368"/>
      <c r="J2535" s="368"/>
      <c r="K2535" s="368"/>
      <c r="L2535" s="368"/>
      <c r="M2535" s="359"/>
      <c r="N2535" s="397"/>
      <c r="O2535" s="368"/>
      <c r="P2535" s="226">
        <v>44066</v>
      </c>
      <c r="Q2535" s="368"/>
    </row>
    <row r="2536" spans="1:20" ht="15" customHeight="1" thickBot="1" x14ac:dyDescent="0.35">
      <c r="A2536" s="369"/>
      <c r="B2536" s="369"/>
      <c r="C2536" s="42">
        <v>20702</v>
      </c>
      <c r="D2536" s="372"/>
      <c r="E2536" s="369"/>
      <c r="F2536" s="369"/>
      <c r="G2536" s="369"/>
      <c r="H2536" s="369"/>
      <c r="I2536" s="369"/>
      <c r="J2536" s="369"/>
      <c r="K2536" s="369"/>
      <c r="L2536" s="369"/>
      <c r="M2536" s="360"/>
      <c r="N2536" s="398"/>
      <c r="O2536" s="369"/>
      <c r="P2536" s="67"/>
      <c r="Q2536" s="369"/>
    </row>
    <row r="2537" spans="1:20" ht="15" hidden="1" customHeight="1" x14ac:dyDescent="0.3">
      <c r="A2537" s="367">
        <v>702</v>
      </c>
      <c r="B2537" s="367" t="s">
        <v>424</v>
      </c>
      <c r="C2537" s="40">
        <v>-15095</v>
      </c>
      <c r="D2537" s="367">
        <v>1</v>
      </c>
      <c r="E2537" s="367" t="s">
        <v>271</v>
      </c>
      <c r="F2537" s="367">
        <v>1200</v>
      </c>
      <c r="G2537" s="367">
        <v>940</v>
      </c>
      <c r="H2537" s="367" t="s">
        <v>50</v>
      </c>
      <c r="I2537" s="367">
        <v>95</v>
      </c>
      <c r="J2537" s="370" t="s">
        <v>45</v>
      </c>
      <c r="K2537" s="367">
        <v>30</v>
      </c>
      <c r="L2537" s="367">
        <v>0</v>
      </c>
      <c r="M2537" s="358" t="s">
        <v>14</v>
      </c>
      <c r="N2537" s="396" t="s">
        <v>435</v>
      </c>
      <c r="O2537" s="367" t="s">
        <v>27</v>
      </c>
      <c r="P2537" s="243"/>
      <c r="Q2537" s="367" t="s">
        <v>436</v>
      </c>
    </row>
    <row r="2538" spans="1:20" ht="15" customHeight="1" x14ac:dyDescent="0.3">
      <c r="A2538" s="368"/>
      <c r="B2538" s="368"/>
      <c r="C2538" s="41">
        <v>-2220</v>
      </c>
      <c r="D2538" s="368"/>
      <c r="E2538" s="368"/>
      <c r="F2538" s="368"/>
      <c r="G2538" s="368"/>
      <c r="H2538" s="368"/>
      <c r="I2538" s="368"/>
      <c r="J2538" s="371"/>
      <c r="K2538" s="368"/>
      <c r="L2538" s="368"/>
      <c r="M2538" s="359"/>
      <c r="N2538" s="397"/>
      <c r="O2538" s="368"/>
      <c r="P2538" s="226">
        <v>44080</v>
      </c>
      <c r="Q2538" s="368"/>
      <c r="R2538" s="186">
        <v>44080</v>
      </c>
      <c r="T2538" s="200">
        <v>1</v>
      </c>
    </row>
    <row r="2539" spans="1:20" ht="15" customHeight="1" thickBot="1" x14ac:dyDescent="0.35">
      <c r="A2539" s="369"/>
      <c r="B2539" s="369"/>
      <c r="C2539" s="42">
        <v>20702</v>
      </c>
      <c r="D2539" s="369"/>
      <c r="E2539" s="369"/>
      <c r="F2539" s="369"/>
      <c r="G2539" s="369"/>
      <c r="H2539" s="369"/>
      <c r="I2539" s="369"/>
      <c r="J2539" s="372"/>
      <c r="K2539" s="369"/>
      <c r="L2539" s="369"/>
      <c r="M2539" s="360"/>
      <c r="N2539" s="398"/>
      <c r="O2539" s="369"/>
      <c r="P2539" s="244"/>
      <c r="Q2539" s="369"/>
    </row>
    <row r="2540" spans="1:20" ht="15" hidden="1" customHeight="1" x14ac:dyDescent="0.3">
      <c r="A2540" s="367">
        <v>703</v>
      </c>
      <c r="B2540" s="367" t="s">
        <v>424</v>
      </c>
      <c r="C2540" s="40">
        <v>-15910</v>
      </c>
      <c r="D2540" s="367">
        <v>1</v>
      </c>
      <c r="E2540" s="367" t="s">
        <v>271</v>
      </c>
      <c r="F2540" s="367">
        <v>1200</v>
      </c>
      <c r="G2540" s="367">
        <v>940</v>
      </c>
      <c r="H2540" s="367" t="s">
        <v>50</v>
      </c>
      <c r="I2540" s="367">
        <v>95</v>
      </c>
      <c r="J2540" s="370" t="s">
        <v>45</v>
      </c>
      <c r="K2540" s="367">
        <v>30</v>
      </c>
      <c r="L2540" s="367">
        <v>0</v>
      </c>
      <c r="M2540" s="358" t="s">
        <v>14</v>
      </c>
      <c r="N2540" s="396" t="s">
        <v>435</v>
      </c>
      <c r="O2540" s="367" t="s">
        <v>27</v>
      </c>
      <c r="P2540" s="237"/>
      <c r="Q2540" s="367" t="s">
        <v>436</v>
      </c>
      <c r="T2540" s="200">
        <v>1</v>
      </c>
    </row>
    <row r="2541" spans="1:20" ht="15" customHeight="1" x14ac:dyDescent="0.3">
      <c r="A2541" s="368"/>
      <c r="B2541" s="368"/>
      <c r="C2541" s="41">
        <v>-2220</v>
      </c>
      <c r="D2541" s="368"/>
      <c r="E2541" s="368"/>
      <c r="F2541" s="368"/>
      <c r="G2541" s="368"/>
      <c r="H2541" s="368"/>
      <c r="I2541" s="368"/>
      <c r="J2541" s="371"/>
      <c r="K2541" s="368"/>
      <c r="L2541" s="368"/>
      <c r="M2541" s="359"/>
      <c r="N2541" s="397"/>
      <c r="O2541" s="368"/>
      <c r="P2541" s="226">
        <v>44076</v>
      </c>
      <c r="Q2541" s="368"/>
      <c r="R2541" s="186">
        <v>44076</v>
      </c>
    </row>
    <row r="2542" spans="1:20" ht="15" customHeight="1" thickBot="1" x14ac:dyDescent="0.35">
      <c r="A2542" s="369"/>
      <c r="B2542" s="369"/>
      <c r="C2542" s="42">
        <v>20702</v>
      </c>
      <c r="D2542" s="369"/>
      <c r="E2542" s="369"/>
      <c r="F2542" s="369"/>
      <c r="G2542" s="369"/>
      <c r="H2542" s="369"/>
      <c r="I2542" s="369"/>
      <c r="J2542" s="372"/>
      <c r="K2542" s="369"/>
      <c r="L2542" s="369"/>
      <c r="M2542" s="360"/>
      <c r="N2542" s="398"/>
      <c r="O2542" s="369"/>
      <c r="P2542" s="239"/>
      <c r="Q2542" s="369"/>
    </row>
    <row r="2543" spans="1:20" ht="15" hidden="1" customHeight="1" x14ac:dyDescent="0.3">
      <c r="A2543" s="367">
        <v>704</v>
      </c>
      <c r="B2543" s="367" t="s">
        <v>48</v>
      </c>
      <c r="C2543" s="40">
        <v>-15475</v>
      </c>
      <c r="D2543" s="367">
        <v>1</v>
      </c>
      <c r="E2543" s="367" t="s">
        <v>63</v>
      </c>
      <c r="F2543" s="367">
        <v>1200</v>
      </c>
      <c r="G2543" s="367">
        <v>940</v>
      </c>
      <c r="H2543" s="367" t="s">
        <v>44</v>
      </c>
      <c r="I2543" s="367">
        <v>190</v>
      </c>
      <c r="J2543" s="370" t="s">
        <v>45</v>
      </c>
      <c r="K2543" s="367">
        <v>60</v>
      </c>
      <c r="L2543" s="367">
        <v>-42</v>
      </c>
      <c r="M2543" s="358" t="s">
        <v>14</v>
      </c>
      <c r="N2543" s="396" t="s">
        <v>435</v>
      </c>
      <c r="O2543" s="367" t="s">
        <v>27</v>
      </c>
      <c r="P2543" s="237"/>
      <c r="Q2543" s="367" t="s">
        <v>243</v>
      </c>
    </row>
    <row r="2544" spans="1:20" ht="15" customHeight="1" x14ac:dyDescent="0.3">
      <c r="A2544" s="368"/>
      <c r="B2544" s="368"/>
      <c r="C2544" s="41">
        <v>-1300</v>
      </c>
      <c r="D2544" s="368"/>
      <c r="E2544" s="368"/>
      <c r="F2544" s="368"/>
      <c r="G2544" s="368"/>
      <c r="H2544" s="368"/>
      <c r="I2544" s="368"/>
      <c r="J2544" s="371"/>
      <c r="K2544" s="368"/>
      <c r="L2544" s="368"/>
      <c r="M2544" s="359"/>
      <c r="N2544" s="397"/>
      <c r="O2544" s="368"/>
      <c r="P2544" s="226">
        <v>44076</v>
      </c>
      <c r="Q2544" s="368"/>
      <c r="R2544" s="186">
        <v>44076</v>
      </c>
    </row>
    <row r="2545" spans="1:20" ht="15" customHeight="1" thickBot="1" x14ac:dyDescent="0.35">
      <c r="A2545" s="369"/>
      <c r="B2545" s="369"/>
      <c r="C2545" s="42">
        <v>20702</v>
      </c>
      <c r="D2545" s="369"/>
      <c r="E2545" s="369"/>
      <c r="F2545" s="369"/>
      <c r="G2545" s="369"/>
      <c r="H2545" s="369"/>
      <c r="I2545" s="369"/>
      <c r="J2545" s="372"/>
      <c r="K2545" s="369"/>
      <c r="L2545" s="369"/>
      <c r="M2545" s="360"/>
      <c r="N2545" s="398"/>
      <c r="O2545" s="369"/>
      <c r="P2545" s="239"/>
      <c r="Q2545" s="369"/>
      <c r="T2545" s="200">
        <v>1</v>
      </c>
    </row>
    <row r="2546" spans="1:20" ht="15" customHeight="1" thickBot="1" x14ac:dyDescent="0.35">
      <c r="A2546" s="352" t="s">
        <v>93</v>
      </c>
      <c r="B2546" s="353"/>
      <c r="C2546" s="353"/>
      <c r="D2546" s="353"/>
      <c r="E2546" s="353"/>
      <c r="F2546" s="353"/>
      <c r="G2546" s="353"/>
      <c r="H2546" s="353"/>
      <c r="I2546" s="353"/>
      <c r="J2546" s="353"/>
      <c r="K2546" s="353"/>
      <c r="L2546" s="353"/>
      <c r="M2546" s="353"/>
      <c r="N2546" s="353"/>
      <c r="O2546" s="353"/>
      <c r="P2546" s="353"/>
      <c r="Q2546" s="354"/>
    </row>
    <row r="2547" spans="1:20" ht="15" hidden="1" customHeight="1" x14ac:dyDescent="0.3">
      <c r="A2547" s="367">
        <v>705</v>
      </c>
      <c r="B2547" s="367" t="s">
        <v>174</v>
      </c>
      <c r="C2547" s="40">
        <v>-12700</v>
      </c>
      <c r="D2547" s="370">
        <v>0</v>
      </c>
      <c r="E2547" s="367" t="s">
        <v>13</v>
      </c>
      <c r="F2547" s="367">
        <v>1450</v>
      </c>
      <c r="G2547" s="367">
        <v>1100</v>
      </c>
      <c r="H2547" s="370" t="s">
        <v>187</v>
      </c>
      <c r="I2547" s="367" t="s">
        <v>13</v>
      </c>
      <c r="J2547" s="367" t="s">
        <v>13</v>
      </c>
      <c r="K2547" s="367" t="s">
        <v>13</v>
      </c>
      <c r="L2547" s="367" t="s">
        <v>13</v>
      </c>
      <c r="M2547" s="358" t="s">
        <v>14</v>
      </c>
      <c r="N2547" s="396" t="s">
        <v>437</v>
      </c>
      <c r="O2547" s="367" t="s">
        <v>27</v>
      </c>
      <c r="P2547" s="65"/>
      <c r="Q2547" s="367" t="s">
        <v>244</v>
      </c>
      <c r="T2547" s="200">
        <v>1</v>
      </c>
    </row>
    <row r="2548" spans="1:20" ht="15" customHeight="1" x14ac:dyDescent="0.3">
      <c r="A2548" s="368"/>
      <c r="B2548" s="368"/>
      <c r="C2548" s="41">
        <v>13600</v>
      </c>
      <c r="D2548" s="371"/>
      <c r="E2548" s="368"/>
      <c r="F2548" s="368"/>
      <c r="G2548" s="368"/>
      <c r="H2548" s="371"/>
      <c r="I2548" s="368"/>
      <c r="J2548" s="368"/>
      <c r="K2548" s="368"/>
      <c r="L2548" s="368"/>
      <c r="M2548" s="359"/>
      <c r="N2548" s="397"/>
      <c r="O2548" s="368"/>
      <c r="P2548" s="226">
        <v>44066</v>
      </c>
      <c r="Q2548" s="368"/>
    </row>
    <row r="2549" spans="1:20" ht="15" customHeight="1" thickBot="1" x14ac:dyDescent="0.35">
      <c r="A2549" s="369"/>
      <c r="B2549" s="369"/>
      <c r="C2549" s="42">
        <v>25825</v>
      </c>
      <c r="D2549" s="372"/>
      <c r="E2549" s="369"/>
      <c r="F2549" s="369"/>
      <c r="G2549" s="369"/>
      <c r="H2549" s="372"/>
      <c r="I2549" s="369"/>
      <c r="J2549" s="369"/>
      <c r="K2549" s="369"/>
      <c r="L2549" s="369"/>
      <c r="M2549" s="360"/>
      <c r="N2549" s="398"/>
      <c r="O2549" s="369"/>
      <c r="P2549" s="67"/>
      <c r="Q2549" s="369"/>
    </row>
    <row r="2550" spans="1:20" ht="15" hidden="1" customHeight="1" x14ac:dyDescent="0.3">
      <c r="A2550" s="367">
        <v>706</v>
      </c>
      <c r="B2550" s="367" t="s">
        <v>160</v>
      </c>
      <c r="C2550" s="40">
        <v>-11680</v>
      </c>
      <c r="D2550" s="367">
        <v>1</v>
      </c>
      <c r="E2550" s="367" t="s">
        <v>25</v>
      </c>
      <c r="F2550" s="367">
        <v>1450</v>
      </c>
      <c r="G2550" s="367">
        <v>1100</v>
      </c>
      <c r="H2550" s="370" t="s">
        <v>187</v>
      </c>
      <c r="I2550" s="367">
        <v>100</v>
      </c>
      <c r="J2550" s="370" t="s">
        <v>45</v>
      </c>
      <c r="K2550" s="367">
        <v>30</v>
      </c>
      <c r="L2550" s="367">
        <v>60</v>
      </c>
      <c r="M2550" s="358" t="s">
        <v>14</v>
      </c>
      <c r="N2550" s="396" t="s">
        <v>437</v>
      </c>
      <c r="O2550" s="367" t="s">
        <v>27</v>
      </c>
      <c r="P2550" s="65"/>
      <c r="Q2550" s="370" t="s">
        <v>46</v>
      </c>
    </row>
    <row r="2551" spans="1:20" ht="15" customHeight="1" x14ac:dyDescent="0.3">
      <c r="A2551" s="368"/>
      <c r="B2551" s="368"/>
      <c r="C2551" s="41">
        <v>14900</v>
      </c>
      <c r="D2551" s="368"/>
      <c r="E2551" s="368"/>
      <c r="F2551" s="368"/>
      <c r="G2551" s="368"/>
      <c r="H2551" s="371"/>
      <c r="I2551" s="368"/>
      <c r="J2551" s="371"/>
      <c r="K2551" s="368"/>
      <c r="L2551" s="368"/>
      <c r="M2551" s="359"/>
      <c r="N2551" s="397"/>
      <c r="O2551" s="368"/>
      <c r="P2551" s="226">
        <v>44066</v>
      </c>
      <c r="Q2551" s="371"/>
      <c r="T2551" s="200">
        <v>1</v>
      </c>
    </row>
    <row r="2552" spans="1:20" ht="15" customHeight="1" thickBot="1" x14ac:dyDescent="0.35">
      <c r="A2552" s="369"/>
      <c r="B2552" s="369"/>
      <c r="C2552" s="42">
        <v>25825</v>
      </c>
      <c r="D2552" s="369"/>
      <c r="E2552" s="369"/>
      <c r="F2552" s="369"/>
      <c r="G2552" s="369"/>
      <c r="H2552" s="372"/>
      <c r="I2552" s="369"/>
      <c r="J2552" s="372"/>
      <c r="K2552" s="369"/>
      <c r="L2552" s="369"/>
      <c r="M2552" s="360"/>
      <c r="N2552" s="398"/>
      <c r="O2552" s="369"/>
      <c r="P2552" s="67"/>
      <c r="Q2552" s="372"/>
    </row>
    <row r="2553" spans="1:20" ht="15" hidden="1" customHeight="1" x14ac:dyDescent="0.3">
      <c r="A2553" s="370">
        <v>707</v>
      </c>
      <c r="B2553" s="370" t="s">
        <v>160</v>
      </c>
      <c r="C2553" s="37">
        <v>-11680</v>
      </c>
      <c r="D2553" s="370">
        <v>1</v>
      </c>
      <c r="E2553" s="370" t="s">
        <v>25</v>
      </c>
      <c r="F2553" s="370">
        <v>1450</v>
      </c>
      <c r="G2553" s="367">
        <v>1100</v>
      </c>
      <c r="H2553" s="370" t="s">
        <v>187</v>
      </c>
      <c r="I2553" s="370">
        <v>100</v>
      </c>
      <c r="J2553" s="370" t="s">
        <v>45</v>
      </c>
      <c r="K2553" s="370">
        <v>30</v>
      </c>
      <c r="L2553" s="367">
        <v>60</v>
      </c>
      <c r="M2553" s="358" t="s">
        <v>14</v>
      </c>
      <c r="N2553" s="396" t="s">
        <v>437</v>
      </c>
      <c r="O2553" s="367" t="s">
        <v>27</v>
      </c>
      <c r="P2553" s="65"/>
      <c r="Q2553" s="370" t="s">
        <v>46</v>
      </c>
    </row>
    <row r="2554" spans="1:20" ht="15" customHeight="1" x14ac:dyDescent="0.3">
      <c r="A2554" s="371"/>
      <c r="B2554" s="371"/>
      <c r="C2554" s="38">
        <v>16120</v>
      </c>
      <c r="D2554" s="371"/>
      <c r="E2554" s="371"/>
      <c r="F2554" s="371"/>
      <c r="G2554" s="368"/>
      <c r="H2554" s="371"/>
      <c r="I2554" s="371"/>
      <c r="J2554" s="371"/>
      <c r="K2554" s="371"/>
      <c r="L2554" s="368"/>
      <c r="M2554" s="359"/>
      <c r="N2554" s="397"/>
      <c r="O2554" s="368"/>
      <c r="P2554" s="226">
        <v>44066</v>
      </c>
      <c r="Q2554" s="371"/>
      <c r="T2554" s="200">
        <v>1</v>
      </c>
    </row>
    <row r="2555" spans="1:20" ht="15" customHeight="1" thickBot="1" x14ac:dyDescent="0.35">
      <c r="A2555" s="372"/>
      <c r="B2555" s="372"/>
      <c r="C2555" s="39">
        <v>25825</v>
      </c>
      <c r="D2555" s="372"/>
      <c r="E2555" s="372"/>
      <c r="F2555" s="372"/>
      <c r="G2555" s="369"/>
      <c r="H2555" s="372"/>
      <c r="I2555" s="372"/>
      <c r="J2555" s="372"/>
      <c r="K2555" s="372"/>
      <c r="L2555" s="369"/>
      <c r="M2555" s="360"/>
      <c r="N2555" s="398"/>
      <c r="O2555" s="369"/>
      <c r="P2555" s="67"/>
      <c r="Q2555" s="372"/>
    </row>
    <row r="2556" spans="1:20" ht="15" hidden="1" customHeight="1" x14ac:dyDescent="0.3">
      <c r="A2556" s="367">
        <v>708</v>
      </c>
      <c r="B2556" s="367" t="s">
        <v>174</v>
      </c>
      <c r="C2556" s="40">
        <v>1315</v>
      </c>
      <c r="D2556" s="370">
        <v>0</v>
      </c>
      <c r="E2556" s="367" t="s">
        <v>13</v>
      </c>
      <c r="F2556" s="367">
        <v>1450</v>
      </c>
      <c r="G2556" s="367">
        <v>1100</v>
      </c>
      <c r="H2556" s="370" t="s">
        <v>187</v>
      </c>
      <c r="I2556" s="367" t="s">
        <v>13</v>
      </c>
      <c r="J2556" s="367" t="s">
        <v>13</v>
      </c>
      <c r="K2556" s="367" t="s">
        <v>13</v>
      </c>
      <c r="L2556" s="367" t="s">
        <v>13</v>
      </c>
      <c r="M2556" s="358" t="s">
        <v>14</v>
      </c>
      <c r="N2556" s="396" t="s">
        <v>437</v>
      </c>
      <c r="O2556" s="367" t="s">
        <v>27</v>
      </c>
      <c r="P2556" s="65"/>
      <c r="Q2556" s="367" t="s">
        <v>244</v>
      </c>
    </row>
    <row r="2557" spans="1:20" ht="15" customHeight="1" x14ac:dyDescent="0.3">
      <c r="A2557" s="368"/>
      <c r="B2557" s="368"/>
      <c r="C2557" s="41">
        <v>20800</v>
      </c>
      <c r="D2557" s="371"/>
      <c r="E2557" s="368"/>
      <c r="F2557" s="368"/>
      <c r="G2557" s="368"/>
      <c r="H2557" s="371"/>
      <c r="I2557" s="368"/>
      <c r="J2557" s="368"/>
      <c r="K2557" s="368"/>
      <c r="L2557" s="368"/>
      <c r="M2557" s="359"/>
      <c r="N2557" s="397"/>
      <c r="O2557" s="368"/>
      <c r="P2557" s="226">
        <v>44066</v>
      </c>
      <c r="Q2557" s="368"/>
      <c r="T2557" s="200">
        <v>1</v>
      </c>
    </row>
    <row r="2558" spans="1:20" ht="15" customHeight="1" thickBot="1" x14ac:dyDescent="0.35">
      <c r="A2558" s="369"/>
      <c r="B2558" s="369"/>
      <c r="C2558" s="42">
        <v>25825</v>
      </c>
      <c r="D2558" s="372"/>
      <c r="E2558" s="369"/>
      <c r="F2558" s="369"/>
      <c r="G2558" s="369"/>
      <c r="H2558" s="372"/>
      <c r="I2558" s="369"/>
      <c r="J2558" s="369"/>
      <c r="K2558" s="369"/>
      <c r="L2558" s="369"/>
      <c r="M2558" s="360"/>
      <c r="N2558" s="398"/>
      <c r="O2558" s="369"/>
      <c r="P2558" s="67"/>
      <c r="Q2558" s="369"/>
    </row>
    <row r="2559" spans="1:20" ht="15" hidden="1" customHeight="1" x14ac:dyDescent="0.3">
      <c r="A2559" s="367">
        <v>709</v>
      </c>
      <c r="B2559" s="367" t="s">
        <v>160</v>
      </c>
      <c r="C2559" s="40">
        <v>815</v>
      </c>
      <c r="D2559" s="367">
        <v>1</v>
      </c>
      <c r="E2559" s="367" t="s">
        <v>25</v>
      </c>
      <c r="F2559" s="367">
        <v>1450</v>
      </c>
      <c r="G2559" s="367">
        <v>1100</v>
      </c>
      <c r="H2559" s="370" t="s">
        <v>187</v>
      </c>
      <c r="I2559" s="367">
        <v>100</v>
      </c>
      <c r="J2559" s="370" t="s">
        <v>45</v>
      </c>
      <c r="K2559" s="367">
        <v>30</v>
      </c>
      <c r="L2559" s="367">
        <v>60</v>
      </c>
      <c r="M2559" s="358" t="s">
        <v>14</v>
      </c>
      <c r="N2559" s="396" t="s">
        <v>437</v>
      </c>
      <c r="O2559" s="367" t="s">
        <v>27</v>
      </c>
      <c r="P2559" s="65"/>
      <c r="Q2559" s="370" t="s">
        <v>46</v>
      </c>
    </row>
    <row r="2560" spans="1:20" ht="15" customHeight="1" x14ac:dyDescent="0.3">
      <c r="A2560" s="368"/>
      <c r="B2560" s="368"/>
      <c r="C2560" s="41">
        <v>20800</v>
      </c>
      <c r="D2560" s="368"/>
      <c r="E2560" s="368"/>
      <c r="F2560" s="368"/>
      <c r="G2560" s="368"/>
      <c r="H2560" s="371"/>
      <c r="I2560" s="368"/>
      <c r="J2560" s="371"/>
      <c r="K2560" s="368"/>
      <c r="L2560" s="368"/>
      <c r="M2560" s="359"/>
      <c r="N2560" s="397"/>
      <c r="O2560" s="368"/>
      <c r="P2560" s="226">
        <v>44076</v>
      </c>
      <c r="Q2560" s="371"/>
      <c r="R2560" s="186">
        <v>44076</v>
      </c>
      <c r="T2560" s="200">
        <v>1</v>
      </c>
    </row>
    <row r="2561" spans="1:20" ht="15" customHeight="1" thickBot="1" x14ac:dyDescent="0.35">
      <c r="A2561" s="369"/>
      <c r="B2561" s="369"/>
      <c r="C2561" s="42">
        <v>25825</v>
      </c>
      <c r="D2561" s="369"/>
      <c r="E2561" s="369"/>
      <c r="F2561" s="369"/>
      <c r="G2561" s="369"/>
      <c r="H2561" s="372"/>
      <c r="I2561" s="369"/>
      <c r="J2561" s="372"/>
      <c r="K2561" s="369"/>
      <c r="L2561" s="369"/>
      <c r="M2561" s="360"/>
      <c r="N2561" s="398"/>
      <c r="O2561" s="369"/>
      <c r="P2561" s="67"/>
      <c r="Q2561" s="372"/>
    </row>
    <row r="2562" spans="1:20" ht="15" hidden="1" customHeight="1" x14ac:dyDescent="0.3">
      <c r="A2562" s="367">
        <v>710</v>
      </c>
      <c r="B2562" s="367" t="s">
        <v>160</v>
      </c>
      <c r="C2562" s="40">
        <v>315</v>
      </c>
      <c r="D2562" s="367">
        <v>1</v>
      </c>
      <c r="E2562" s="367" t="s">
        <v>25</v>
      </c>
      <c r="F2562" s="367">
        <v>1450</v>
      </c>
      <c r="G2562" s="367">
        <v>1100</v>
      </c>
      <c r="H2562" s="370" t="s">
        <v>187</v>
      </c>
      <c r="I2562" s="367">
        <v>100</v>
      </c>
      <c r="J2562" s="370" t="s">
        <v>45</v>
      </c>
      <c r="K2562" s="367">
        <v>30</v>
      </c>
      <c r="L2562" s="367">
        <v>60</v>
      </c>
      <c r="M2562" s="358" t="s">
        <v>14</v>
      </c>
      <c r="N2562" s="396" t="s">
        <v>437</v>
      </c>
      <c r="O2562" s="367" t="s">
        <v>27</v>
      </c>
      <c r="P2562" s="65"/>
      <c r="Q2562" s="370" t="s">
        <v>46</v>
      </c>
    </row>
    <row r="2563" spans="1:20" ht="15" customHeight="1" x14ac:dyDescent="0.3">
      <c r="A2563" s="368"/>
      <c r="B2563" s="368"/>
      <c r="C2563" s="41">
        <v>20800</v>
      </c>
      <c r="D2563" s="368"/>
      <c r="E2563" s="368"/>
      <c r="F2563" s="368"/>
      <c r="G2563" s="368"/>
      <c r="H2563" s="371"/>
      <c r="I2563" s="368"/>
      <c r="J2563" s="371"/>
      <c r="K2563" s="368"/>
      <c r="L2563" s="368"/>
      <c r="M2563" s="359"/>
      <c r="N2563" s="397"/>
      <c r="O2563" s="368"/>
      <c r="P2563" s="226">
        <v>44076</v>
      </c>
      <c r="Q2563" s="371"/>
      <c r="R2563" s="186">
        <v>44076</v>
      </c>
      <c r="T2563" s="200">
        <v>1</v>
      </c>
    </row>
    <row r="2564" spans="1:20" ht="15" customHeight="1" thickBot="1" x14ac:dyDescent="0.35">
      <c r="A2564" s="369"/>
      <c r="B2564" s="369"/>
      <c r="C2564" s="42">
        <v>25825</v>
      </c>
      <c r="D2564" s="369"/>
      <c r="E2564" s="369"/>
      <c r="F2564" s="369"/>
      <c r="G2564" s="369"/>
      <c r="H2564" s="372"/>
      <c r="I2564" s="369"/>
      <c r="J2564" s="372"/>
      <c r="K2564" s="369"/>
      <c r="L2564" s="369"/>
      <c r="M2564" s="360"/>
      <c r="N2564" s="398"/>
      <c r="O2564" s="369"/>
      <c r="P2564" s="67"/>
      <c r="Q2564" s="372"/>
    </row>
    <row r="2565" spans="1:20" ht="15" hidden="1" customHeight="1" x14ac:dyDescent="0.3">
      <c r="A2565" s="370">
        <v>711</v>
      </c>
      <c r="B2565" s="370" t="s">
        <v>270</v>
      </c>
      <c r="C2565" s="37">
        <v>-17600</v>
      </c>
      <c r="D2565" s="370">
        <v>1</v>
      </c>
      <c r="E2565" s="370" t="s">
        <v>255</v>
      </c>
      <c r="F2565" s="370">
        <v>1450</v>
      </c>
      <c r="G2565" s="367">
        <v>1100</v>
      </c>
      <c r="H2565" s="370" t="s">
        <v>107</v>
      </c>
      <c r="I2565" s="370">
        <v>30</v>
      </c>
      <c r="J2565" s="370" t="s">
        <v>438</v>
      </c>
      <c r="K2565" s="367">
        <v>30</v>
      </c>
      <c r="L2565" s="367">
        <v>19</v>
      </c>
      <c r="M2565" s="358" t="s">
        <v>14</v>
      </c>
      <c r="N2565" s="396" t="s">
        <v>437</v>
      </c>
      <c r="O2565" s="367" t="s">
        <v>27</v>
      </c>
      <c r="P2565" s="65"/>
      <c r="Q2565" s="367" t="s">
        <v>439</v>
      </c>
    </row>
    <row r="2566" spans="1:20" ht="15" customHeight="1" x14ac:dyDescent="0.3">
      <c r="A2566" s="371"/>
      <c r="B2566" s="371"/>
      <c r="C2566" s="38">
        <v>12190</v>
      </c>
      <c r="D2566" s="371"/>
      <c r="E2566" s="371"/>
      <c r="F2566" s="371"/>
      <c r="G2566" s="368"/>
      <c r="H2566" s="371"/>
      <c r="I2566" s="371"/>
      <c r="J2566" s="371"/>
      <c r="K2566" s="368"/>
      <c r="L2566" s="368"/>
      <c r="M2566" s="359"/>
      <c r="N2566" s="397"/>
      <c r="O2566" s="368"/>
      <c r="P2566" s="226">
        <v>44066</v>
      </c>
      <c r="Q2566" s="368"/>
      <c r="T2566" s="200">
        <v>1</v>
      </c>
    </row>
    <row r="2567" spans="1:20" ht="15" customHeight="1" thickBot="1" x14ac:dyDescent="0.35">
      <c r="A2567" s="372"/>
      <c r="B2567" s="372"/>
      <c r="C2567" s="39">
        <v>25825</v>
      </c>
      <c r="D2567" s="372"/>
      <c r="E2567" s="372"/>
      <c r="F2567" s="372"/>
      <c r="G2567" s="369"/>
      <c r="H2567" s="372"/>
      <c r="I2567" s="372"/>
      <c r="J2567" s="372"/>
      <c r="K2567" s="369"/>
      <c r="L2567" s="369"/>
      <c r="M2567" s="360"/>
      <c r="N2567" s="398"/>
      <c r="O2567" s="369"/>
      <c r="P2567" s="67"/>
      <c r="Q2567" s="369"/>
    </row>
    <row r="2568" spans="1:20" ht="15" hidden="1" customHeight="1" x14ac:dyDescent="0.3">
      <c r="A2568" s="367">
        <v>712</v>
      </c>
      <c r="B2568" s="367" t="s">
        <v>174</v>
      </c>
      <c r="C2568" s="40">
        <v>-10460</v>
      </c>
      <c r="D2568" s="370">
        <v>0</v>
      </c>
      <c r="E2568" s="367" t="s">
        <v>13</v>
      </c>
      <c r="F2568" s="367">
        <v>1450</v>
      </c>
      <c r="G2568" s="367">
        <v>1100</v>
      </c>
      <c r="H2568" s="370" t="s">
        <v>107</v>
      </c>
      <c r="I2568" s="367" t="s">
        <v>13</v>
      </c>
      <c r="J2568" s="367" t="s">
        <v>13</v>
      </c>
      <c r="K2568" s="367" t="s">
        <v>13</v>
      </c>
      <c r="L2568" s="367" t="s">
        <v>13</v>
      </c>
      <c r="M2568" s="358" t="s">
        <v>14</v>
      </c>
      <c r="N2568" s="396" t="s">
        <v>437</v>
      </c>
      <c r="O2568" s="367" t="s">
        <v>27</v>
      </c>
      <c r="P2568" s="65"/>
      <c r="Q2568" s="367" t="s">
        <v>176</v>
      </c>
      <c r="T2568" s="200">
        <v>1</v>
      </c>
    </row>
    <row r="2569" spans="1:20" ht="15" customHeight="1" x14ac:dyDescent="0.3">
      <c r="A2569" s="368"/>
      <c r="B2569" s="368"/>
      <c r="C2569" s="41">
        <v>18640</v>
      </c>
      <c r="D2569" s="371"/>
      <c r="E2569" s="368"/>
      <c r="F2569" s="368"/>
      <c r="G2569" s="368"/>
      <c r="H2569" s="371"/>
      <c r="I2569" s="368"/>
      <c r="J2569" s="368"/>
      <c r="K2569" s="368"/>
      <c r="L2569" s="368"/>
      <c r="M2569" s="359"/>
      <c r="N2569" s="397"/>
      <c r="O2569" s="368"/>
      <c r="P2569" s="226">
        <v>44066</v>
      </c>
      <c r="Q2569" s="368"/>
    </row>
    <row r="2570" spans="1:20" ht="15" customHeight="1" thickBot="1" x14ac:dyDescent="0.35">
      <c r="A2570" s="369"/>
      <c r="B2570" s="369"/>
      <c r="C2570" s="42">
        <v>25825</v>
      </c>
      <c r="D2570" s="372"/>
      <c r="E2570" s="369"/>
      <c r="F2570" s="369"/>
      <c r="G2570" s="369"/>
      <c r="H2570" s="372"/>
      <c r="I2570" s="369"/>
      <c r="J2570" s="369"/>
      <c r="K2570" s="369"/>
      <c r="L2570" s="369"/>
      <c r="M2570" s="360"/>
      <c r="N2570" s="398"/>
      <c r="O2570" s="369"/>
      <c r="P2570" s="67"/>
      <c r="Q2570" s="369"/>
    </row>
    <row r="2571" spans="1:20" ht="15" hidden="1" customHeight="1" x14ac:dyDescent="0.3">
      <c r="A2571" s="367">
        <v>713</v>
      </c>
      <c r="B2571" s="367" t="s">
        <v>174</v>
      </c>
      <c r="C2571" s="40">
        <v>12485</v>
      </c>
      <c r="D2571" s="370">
        <v>0</v>
      </c>
      <c r="E2571" s="367" t="s">
        <v>13</v>
      </c>
      <c r="F2571" s="367">
        <v>1450</v>
      </c>
      <c r="G2571" s="367">
        <v>1100</v>
      </c>
      <c r="H2571" s="370" t="s">
        <v>107</v>
      </c>
      <c r="I2571" s="367" t="s">
        <v>13</v>
      </c>
      <c r="J2571" s="367" t="s">
        <v>13</v>
      </c>
      <c r="K2571" s="367" t="s">
        <v>13</v>
      </c>
      <c r="L2571" s="367" t="s">
        <v>13</v>
      </c>
      <c r="M2571" s="358" t="s">
        <v>14</v>
      </c>
      <c r="N2571" s="396" t="s">
        <v>437</v>
      </c>
      <c r="O2571" s="367" t="s">
        <v>27</v>
      </c>
      <c r="P2571" s="65"/>
      <c r="Q2571" s="367" t="s">
        <v>176</v>
      </c>
      <c r="T2571" s="200">
        <v>1</v>
      </c>
    </row>
    <row r="2572" spans="1:20" ht="15" customHeight="1" x14ac:dyDescent="0.3">
      <c r="A2572" s="368"/>
      <c r="B2572" s="368"/>
      <c r="C2572" s="41">
        <v>17505</v>
      </c>
      <c r="D2572" s="371"/>
      <c r="E2572" s="368"/>
      <c r="F2572" s="368"/>
      <c r="G2572" s="368"/>
      <c r="H2572" s="371"/>
      <c r="I2572" s="368"/>
      <c r="J2572" s="368"/>
      <c r="K2572" s="368"/>
      <c r="L2572" s="368"/>
      <c r="M2572" s="359"/>
      <c r="N2572" s="397"/>
      <c r="O2572" s="368"/>
      <c r="P2572" s="226">
        <v>44066</v>
      </c>
      <c r="Q2572" s="368"/>
    </row>
    <row r="2573" spans="1:20" ht="15" customHeight="1" thickBot="1" x14ac:dyDescent="0.35">
      <c r="A2573" s="369"/>
      <c r="B2573" s="369"/>
      <c r="C2573" s="42">
        <v>25825</v>
      </c>
      <c r="D2573" s="372"/>
      <c r="E2573" s="369"/>
      <c r="F2573" s="369"/>
      <c r="G2573" s="369"/>
      <c r="H2573" s="372"/>
      <c r="I2573" s="369"/>
      <c r="J2573" s="369"/>
      <c r="K2573" s="369"/>
      <c r="L2573" s="369"/>
      <c r="M2573" s="360"/>
      <c r="N2573" s="398"/>
      <c r="O2573" s="369"/>
      <c r="P2573" s="67"/>
      <c r="Q2573" s="369"/>
    </row>
    <row r="2574" spans="1:20" ht="15" hidden="1" customHeight="1" x14ac:dyDescent="0.3">
      <c r="A2574" s="367">
        <v>714</v>
      </c>
      <c r="B2574" s="367" t="s">
        <v>270</v>
      </c>
      <c r="C2574" s="40">
        <v>14430</v>
      </c>
      <c r="D2574" s="367">
        <v>1</v>
      </c>
      <c r="E2574" s="367" t="s">
        <v>49</v>
      </c>
      <c r="F2574" s="367">
        <v>1450</v>
      </c>
      <c r="G2574" s="367">
        <v>1100</v>
      </c>
      <c r="H2574" s="370" t="s">
        <v>107</v>
      </c>
      <c r="I2574" s="367">
        <v>30</v>
      </c>
      <c r="J2574" s="370" t="s">
        <v>440</v>
      </c>
      <c r="K2574" s="367">
        <v>0</v>
      </c>
      <c r="L2574" s="367">
        <v>33</v>
      </c>
      <c r="M2574" s="358" t="s">
        <v>14</v>
      </c>
      <c r="N2574" s="396" t="s">
        <v>437</v>
      </c>
      <c r="O2574" s="367" t="s">
        <v>27</v>
      </c>
      <c r="P2574" s="65"/>
      <c r="Q2574" s="367" t="s">
        <v>208</v>
      </c>
      <c r="T2574" s="200">
        <v>1</v>
      </c>
    </row>
    <row r="2575" spans="1:20" ht="15" customHeight="1" x14ac:dyDescent="0.3">
      <c r="A2575" s="368"/>
      <c r="B2575" s="368"/>
      <c r="C2575" s="41">
        <v>14470</v>
      </c>
      <c r="D2575" s="368"/>
      <c r="E2575" s="368"/>
      <c r="F2575" s="368"/>
      <c r="G2575" s="368"/>
      <c r="H2575" s="371"/>
      <c r="I2575" s="368"/>
      <c r="J2575" s="371"/>
      <c r="K2575" s="368"/>
      <c r="L2575" s="368"/>
      <c r="M2575" s="359"/>
      <c r="N2575" s="397"/>
      <c r="O2575" s="368"/>
      <c r="P2575" s="226">
        <v>44066</v>
      </c>
      <c r="Q2575" s="368"/>
    </row>
    <row r="2576" spans="1:20" ht="15" customHeight="1" thickBot="1" x14ac:dyDescent="0.35">
      <c r="A2576" s="369"/>
      <c r="B2576" s="369"/>
      <c r="C2576" s="42">
        <v>25825</v>
      </c>
      <c r="D2576" s="369"/>
      <c r="E2576" s="369"/>
      <c r="F2576" s="369"/>
      <c r="G2576" s="369"/>
      <c r="H2576" s="372"/>
      <c r="I2576" s="369"/>
      <c r="J2576" s="372"/>
      <c r="K2576" s="369"/>
      <c r="L2576" s="369"/>
      <c r="M2576" s="360"/>
      <c r="N2576" s="398"/>
      <c r="O2576" s="369"/>
      <c r="P2576" s="67"/>
      <c r="Q2576" s="369"/>
    </row>
    <row r="2577" spans="1:20" ht="15" hidden="1" customHeight="1" x14ac:dyDescent="0.3">
      <c r="A2577" s="367">
        <v>715</v>
      </c>
      <c r="B2577" s="367" t="s">
        <v>441</v>
      </c>
      <c r="C2577" s="40">
        <v>16635</v>
      </c>
      <c r="D2577" s="367">
        <v>1</v>
      </c>
      <c r="E2577" s="367" t="s">
        <v>255</v>
      </c>
      <c r="F2577" s="367">
        <v>1450</v>
      </c>
      <c r="G2577" s="367">
        <v>1100</v>
      </c>
      <c r="H2577" s="370" t="s">
        <v>107</v>
      </c>
      <c r="I2577" s="367">
        <v>60</v>
      </c>
      <c r="J2577" s="370">
        <f>-1.2/-0.7</f>
        <v>1.7142857142857144</v>
      </c>
      <c r="K2577" s="367">
        <v>30</v>
      </c>
      <c r="L2577" s="367">
        <v>19</v>
      </c>
      <c r="M2577" s="358" t="s">
        <v>14</v>
      </c>
      <c r="N2577" s="396" t="s">
        <v>442</v>
      </c>
      <c r="O2577" s="367" t="s">
        <v>27</v>
      </c>
      <c r="P2577" s="65"/>
      <c r="Q2577" s="367" t="s">
        <v>439</v>
      </c>
      <c r="T2577" s="200">
        <v>1</v>
      </c>
    </row>
    <row r="2578" spans="1:20" ht="15" customHeight="1" x14ac:dyDescent="0.3">
      <c r="A2578" s="368"/>
      <c r="B2578" s="368"/>
      <c r="C2578" s="41">
        <v>11885</v>
      </c>
      <c r="D2578" s="368"/>
      <c r="E2578" s="368"/>
      <c r="F2578" s="368"/>
      <c r="G2578" s="368"/>
      <c r="H2578" s="371"/>
      <c r="I2578" s="368"/>
      <c r="J2578" s="371"/>
      <c r="K2578" s="368"/>
      <c r="L2578" s="368"/>
      <c r="M2578" s="359"/>
      <c r="N2578" s="397"/>
      <c r="O2578" s="368"/>
      <c r="P2578" s="226">
        <v>44066</v>
      </c>
      <c r="Q2578" s="368"/>
    </row>
    <row r="2579" spans="1:20" ht="15" customHeight="1" thickBot="1" x14ac:dyDescent="0.35">
      <c r="A2579" s="369"/>
      <c r="B2579" s="369"/>
      <c r="C2579" s="42">
        <v>25825</v>
      </c>
      <c r="D2579" s="369"/>
      <c r="E2579" s="369"/>
      <c r="F2579" s="369"/>
      <c r="G2579" s="369"/>
      <c r="H2579" s="372"/>
      <c r="I2579" s="369"/>
      <c r="J2579" s="372"/>
      <c r="K2579" s="369"/>
      <c r="L2579" s="369"/>
      <c r="M2579" s="360"/>
      <c r="N2579" s="398"/>
      <c r="O2579" s="369"/>
      <c r="P2579" s="67"/>
      <c r="Q2579" s="369"/>
    </row>
    <row r="2580" spans="1:20" ht="15" hidden="1" customHeight="1" x14ac:dyDescent="0.3">
      <c r="A2580" s="367">
        <v>716</v>
      </c>
      <c r="B2580" s="367" t="s">
        <v>270</v>
      </c>
      <c r="C2580" s="40">
        <v>17020</v>
      </c>
      <c r="D2580" s="367">
        <v>1</v>
      </c>
      <c r="E2580" s="367" t="s">
        <v>49</v>
      </c>
      <c r="F2580" s="367">
        <v>1450</v>
      </c>
      <c r="G2580" s="367">
        <v>1100</v>
      </c>
      <c r="H2580" s="370" t="s">
        <v>107</v>
      </c>
      <c r="I2580" s="367">
        <v>30</v>
      </c>
      <c r="J2580" s="370">
        <f>-0.05/0.24</f>
        <v>-0.20833333333333334</v>
      </c>
      <c r="K2580" s="367">
        <v>0</v>
      </c>
      <c r="L2580" s="367">
        <v>33</v>
      </c>
      <c r="M2580" s="358" t="s">
        <v>14</v>
      </c>
      <c r="N2580" s="396" t="s">
        <v>437</v>
      </c>
      <c r="O2580" s="367" t="s">
        <v>27</v>
      </c>
      <c r="P2580" s="65"/>
      <c r="Q2580" s="367" t="s">
        <v>208</v>
      </c>
    </row>
    <row r="2581" spans="1:20" ht="15" customHeight="1" x14ac:dyDescent="0.3">
      <c r="A2581" s="368"/>
      <c r="B2581" s="368"/>
      <c r="C2581" s="41">
        <v>-13095</v>
      </c>
      <c r="D2581" s="368"/>
      <c r="E2581" s="368"/>
      <c r="F2581" s="368"/>
      <c r="G2581" s="368"/>
      <c r="H2581" s="371"/>
      <c r="I2581" s="368"/>
      <c r="J2581" s="371"/>
      <c r="K2581" s="368"/>
      <c r="L2581" s="368"/>
      <c r="M2581" s="359"/>
      <c r="N2581" s="397"/>
      <c r="O2581" s="368"/>
      <c r="P2581" s="226">
        <v>44066</v>
      </c>
      <c r="Q2581" s="368"/>
      <c r="T2581" s="200">
        <v>1</v>
      </c>
    </row>
    <row r="2582" spans="1:20" ht="15" customHeight="1" thickBot="1" x14ac:dyDescent="0.35">
      <c r="A2582" s="369"/>
      <c r="B2582" s="369"/>
      <c r="C2582" s="42">
        <v>25825</v>
      </c>
      <c r="D2582" s="369"/>
      <c r="E2582" s="369"/>
      <c r="F2582" s="369"/>
      <c r="G2582" s="369"/>
      <c r="H2582" s="372"/>
      <c r="I2582" s="369"/>
      <c r="J2582" s="372"/>
      <c r="K2582" s="369"/>
      <c r="L2582" s="369"/>
      <c r="M2582" s="360"/>
      <c r="N2582" s="398"/>
      <c r="O2582" s="369"/>
      <c r="P2582" s="67"/>
      <c r="Q2582" s="369"/>
    </row>
    <row r="2583" spans="1:20" ht="15" hidden="1" customHeight="1" x14ac:dyDescent="0.3">
      <c r="A2583" s="367">
        <v>717</v>
      </c>
      <c r="B2583" s="367" t="s">
        <v>174</v>
      </c>
      <c r="C2583" s="40">
        <v>16790</v>
      </c>
      <c r="D2583" s="370">
        <v>0</v>
      </c>
      <c r="E2583" s="367" t="s">
        <v>13</v>
      </c>
      <c r="F2583" s="367">
        <v>1450</v>
      </c>
      <c r="G2583" s="367">
        <v>1100</v>
      </c>
      <c r="H2583" s="370" t="s">
        <v>107</v>
      </c>
      <c r="I2583" s="367" t="s">
        <v>13</v>
      </c>
      <c r="J2583" s="367" t="s">
        <v>13</v>
      </c>
      <c r="K2583" s="367" t="s">
        <v>13</v>
      </c>
      <c r="L2583" s="367" t="s">
        <v>13</v>
      </c>
      <c r="M2583" s="358" t="s">
        <v>14</v>
      </c>
      <c r="N2583" s="396" t="s">
        <v>437</v>
      </c>
      <c r="O2583" s="367" t="s">
        <v>27</v>
      </c>
      <c r="P2583" s="65"/>
      <c r="Q2583" s="367" t="s">
        <v>176</v>
      </c>
    </row>
    <row r="2584" spans="1:20" ht="15" customHeight="1" x14ac:dyDescent="0.3">
      <c r="A2584" s="368"/>
      <c r="B2584" s="368"/>
      <c r="C2584" s="41">
        <v>-13390</v>
      </c>
      <c r="D2584" s="371"/>
      <c r="E2584" s="368"/>
      <c r="F2584" s="368"/>
      <c r="G2584" s="368"/>
      <c r="H2584" s="371"/>
      <c r="I2584" s="368"/>
      <c r="J2584" s="368"/>
      <c r="K2584" s="368"/>
      <c r="L2584" s="368"/>
      <c r="M2584" s="359"/>
      <c r="N2584" s="397"/>
      <c r="O2584" s="368"/>
      <c r="P2584" s="226">
        <v>44066</v>
      </c>
      <c r="Q2584" s="368"/>
      <c r="T2584" s="200">
        <v>1</v>
      </c>
    </row>
    <row r="2585" spans="1:20" ht="15" customHeight="1" thickBot="1" x14ac:dyDescent="0.35">
      <c r="A2585" s="369"/>
      <c r="B2585" s="369"/>
      <c r="C2585" s="42">
        <v>25825</v>
      </c>
      <c r="D2585" s="372"/>
      <c r="E2585" s="369"/>
      <c r="F2585" s="369"/>
      <c r="G2585" s="369"/>
      <c r="H2585" s="372"/>
      <c r="I2585" s="369"/>
      <c r="J2585" s="369"/>
      <c r="K2585" s="369"/>
      <c r="L2585" s="369"/>
      <c r="M2585" s="360"/>
      <c r="N2585" s="398"/>
      <c r="O2585" s="369"/>
      <c r="P2585" s="67"/>
      <c r="Q2585" s="369"/>
    </row>
    <row r="2586" spans="1:20" ht="15" hidden="1" customHeight="1" x14ac:dyDescent="0.3">
      <c r="A2586" s="367">
        <v>718</v>
      </c>
      <c r="B2586" s="367" t="s">
        <v>174</v>
      </c>
      <c r="C2586" s="40">
        <v>9715</v>
      </c>
      <c r="D2586" s="370">
        <v>0</v>
      </c>
      <c r="E2586" s="367" t="s">
        <v>13</v>
      </c>
      <c r="F2586" s="367">
        <v>1450</v>
      </c>
      <c r="G2586" s="367">
        <v>1100</v>
      </c>
      <c r="H2586" s="370" t="s">
        <v>107</v>
      </c>
      <c r="I2586" s="367" t="s">
        <v>13</v>
      </c>
      <c r="J2586" s="367" t="s">
        <v>13</v>
      </c>
      <c r="K2586" s="367" t="s">
        <v>13</v>
      </c>
      <c r="L2586" s="367" t="s">
        <v>13</v>
      </c>
      <c r="M2586" s="358" t="s">
        <v>14</v>
      </c>
      <c r="N2586" s="396" t="s">
        <v>437</v>
      </c>
      <c r="O2586" s="367" t="s">
        <v>27</v>
      </c>
      <c r="P2586" s="228">
        <v>44066</v>
      </c>
      <c r="Q2586" s="367" t="s">
        <v>176</v>
      </c>
      <c r="T2586" s="200">
        <v>1</v>
      </c>
    </row>
    <row r="2587" spans="1:20" ht="15" customHeight="1" x14ac:dyDescent="0.3">
      <c r="A2587" s="368"/>
      <c r="B2587" s="368"/>
      <c r="C2587" s="41">
        <v>-19065</v>
      </c>
      <c r="D2587" s="371"/>
      <c r="E2587" s="368"/>
      <c r="F2587" s="368"/>
      <c r="G2587" s="368"/>
      <c r="H2587" s="371"/>
      <c r="I2587" s="368"/>
      <c r="J2587" s="368"/>
      <c r="K2587" s="368"/>
      <c r="L2587" s="368"/>
      <c r="M2587" s="359"/>
      <c r="N2587" s="397"/>
      <c r="O2587" s="368"/>
      <c r="P2587" s="66"/>
      <c r="Q2587" s="368"/>
    </row>
    <row r="2588" spans="1:20" ht="15" customHeight="1" thickBot="1" x14ac:dyDescent="0.35">
      <c r="A2588" s="369"/>
      <c r="B2588" s="369"/>
      <c r="C2588" s="42">
        <v>25825</v>
      </c>
      <c r="D2588" s="372"/>
      <c r="E2588" s="369"/>
      <c r="F2588" s="369"/>
      <c r="G2588" s="369"/>
      <c r="H2588" s="372"/>
      <c r="I2588" s="369"/>
      <c r="J2588" s="369"/>
      <c r="K2588" s="369"/>
      <c r="L2588" s="369"/>
      <c r="M2588" s="360"/>
      <c r="N2588" s="398"/>
      <c r="O2588" s="369"/>
      <c r="P2588" s="67"/>
      <c r="Q2588" s="369"/>
    </row>
    <row r="2589" spans="1:20" ht="15" hidden="1" customHeight="1" x14ac:dyDescent="0.3">
      <c r="A2589" s="367">
        <v>719</v>
      </c>
      <c r="B2589" s="367" t="s">
        <v>174</v>
      </c>
      <c r="C2589" s="40">
        <v>-15590</v>
      </c>
      <c r="D2589" s="370">
        <v>0</v>
      </c>
      <c r="E2589" s="367" t="s">
        <v>13</v>
      </c>
      <c r="F2589" s="367">
        <v>1450</v>
      </c>
      <c r="G2589" s="367">
        <v>1100</v>
      </c>
      <c r="H2589" s="370" t="s">
        <v>107</v>
      </c>
      <c r="I2589" s="367" t="s">
        <v>13</v>
      </c>
      <c r="J2589" s="367" t="s">
        <v>13</v>
      </c>
      <c r="K2589" s="367" t="s">
        <v>13</v>
      </c>
      <c r="L2589" s="367" t="s">
        <v>13</v>
      </c>
      <c r="M2589" s="358" t="s">
        <v>14</v>
      </c>
      <c r="N2589" s="396" t="s">
        <v>437</v>
      </c>
      <c r="O2589" s="367" t="s">
        <v>27</v>
      </c>
      <c r="P2589" s="65"/>
      <c r="Q2589" s="367" t="s">
        <v>176</v>
      </c>
      <c r="T2589" s="200">
        <v>1</v>
      </c>
    </row>
    <row r="2590" spans="1:20" ht="15" customHeight="1" x14ac:dyDescent="0.3">
      <c r="A2590" s="368"/>
      <c r="B2590" s="368"/>
      <c r="C2590" s="41">
        <v>-14815</v>
      </c>
      <c r="D2590" s="371"/>
      <c r="E2590" s="368"/>
      <c r="F2590" s="368"/>
      <c r="G2590" s="368"/>
      <c r="H2590" s="371"/>
      <c r="I2590" s="368"/>
      <c r="J2590" s="368"/>
      <c r="K2590" s="368"/>
      <c r="L2590" s="368"/>
      <c r="M2590" s="359"/>
      <c r="N2590" s="397"/>
      <c r="O2590" s="368"/>
      <c r="P2590" s="226">
        <v>44066</v>
      </c>
      <c r="Q2590" s="368"/>
    </row>
    <row r="2591" spans="1:20" ht="15" customHeight="1" thickBot="1" x14ac:dyDescent="0.35">
      <c r="A2591" s="369"/>
      <c r="B2591" s="369"/>
      <c r="C2591" s="42">
        <v>25825</v>
      </c>
      <c r="D2591" s="372"/>
      <c r="E2591" s="369"/>
      <c r="F2591" s="369"/>
      <c r="G2591" s="369"/>
      <c r="H2591" s="372"/>
      <c r="I2591" s="369"/>
      <c r="J2591" s="369"/>
      <c r="K2591" s="369"/>
      <c r="L2591" s="369"/>
      <c r="M2591" s="360"/>
      <c r="N2591" s="398"/>
      <c r="O2591" s="369"/>
      <c r="P2591" s="67"/>
      <c r="Q2591" s="369"/>
    </row>
    <row r="2592" spans="1:20" ht="15" hidden="1" customHeight="1" x14ac:dyDescent="0.3">
      <c r="A2592" s="367">
        <v>720</v>
      </c>
      <c r="B2592" s="367" t="s">
        <v>441</v>
      </c>
      <c r="C2592" s="40">
        <v>-19260</v>
      </c>
      <c r="D2592" s="367">
        <v>1</v>
      </c>
      <c r="E2592" s="367" t="s">
        <v>209</v>
      </c>
      <c r="F2592" s="367">
        <v>1700</v>
      </c>
      <c r="G2592" s="367">
        <v>1530</v>
      </c>
      <c r="H2592" s="370" t="s">
        <v>107</v>
      </c>
      <c r="I2592" s="367">
        <v>60</v>
      </c>
      <c r="J2592" s="370">
        <f>-1.05/2.14</f>
        <v>-0.49065420560747663</v>
      </c>
      <c r="K2592" s="367">
        <v>30</v>
      </c>
      <c r="L2592" s="367">
        <v>15.5</v>
      </c>
      <c r="M2592" s="358" t="s">
        <v>14</v>
      </c>
      <c r="N2592" s="396" t="s">
        <v>437</v>
      </c>
      <c r="O2592" s="367" t="s">
        <v>27</v>
      </c>
      <c r="P2592" s="65"/>
      <c r="Q2592" s="367" t="s">
        <v>211</v>
      </c>
    </row>
    <row r="2593" spans="1:20" ht="15" customHeight="1" x14ac:dyDescent="0.3">
      <c r="A2593" s="368"/>
      <c r="B2593" s="368"/>
      <c r="C2593" s="41">
        <v>-9570</v>
      </c>
      <c r="D2593" s="368"/>
      <c r="E2593" s="368"/>
      <c r="F2593" s="368"/>
      <c r="G2593" s="368"/>
      <c r="H2593" s="371"/>
      <c r="I2593" s="368"/>
      <c r="J2593" s="371"/>
      <c r="K2593" s="368"/>
      <c r="L2593" s="368"/>
      <c r="M2593" s="359"/>
      <c r="N2593" s="397"/>
      <c r="O2593" s="368"/>
      <c r="P2593" s="226">
        <v>44066</v>
      </c>
      <c r="Q2593" s="368"/>
    </row>
    <row r="2594" spans="1:20" ht="15" customHeight="1" thickBot="1" x14ac:dyDescent="0.35">
      <c r="A2594" s="369"/>
      <c r="B2594" s="369"/>
      <c r="C2594" s="42">
        <v>25950</v>
      </c>
      <c r="D2594" s="369"/>
      <c r="E2594" s="369"/>
      <c r="F2594" s="369"/>
      <c r="G2594" s="369"/>
      <c r="H2594" s="372"/>
      <c r="I2594" s="369"/>
      <c r="J2594" s="372"/>
      <c r="K2594" s="369"/>
      <c r="L2594" s="369"/>
      <c r="M2594" s="360"/>
      <c r="N2594" s="398"/>
      <c r="O2594" s="369"/>
      <c r="P2594" s="67"/>
      <c r="Q2594" s="369"/>
      <c r="T2594" s="200">
        <v>1</v>
      </c>
    </row>
    <row r="2595" spans="1:20" ht="15" hidden="1" customHeight="1" x14ac:dyDescent="0.3">
      <c r="A2595" s="367">
        <v>721</v>
      </c>
      <c r="B2595" s="367" t="s">
        <v>174</v>
      </c>
      <c r="C2595" s="40">
        <v>10150</v>
      </c>
      <c r="D2595" s="370">
        <v>0</v>
      </c>
      <c r="E2595" s="367" t="s">
        <v>13</v>
      </c>
      <c r="F2595" s="367">
        <v>1450</v>
      </c>
      <c r="G2595" s="367">
        <v>1100</v>
      </c>
      <c r="H2595" s="370" t="s">
        <v>25</v>
      </c>
      <c r="I2595" s="367" t="s">
        <v>13</v>
      </c>
      <c r="J2595" s="367" t="s">
        <v>13</v>
      </c>
      <c r="K2595" s="367" t="s">
        <v>13</v>
      </c>
      <c r="L2595" s="367" t="s">
        <v>13</v>
      </c>
      <c r="M2595" s="358" t="s">
        <v>14</v>
      </c>
      <c r="N2595" s="396" t="s">
        <v>443</v>
      </c>
      <c r="O2595" s="367" t="s">
        <v>27</v>
      </c>
      <c r="P2595" s="65"/>
      <c r="Q2595" s="367" t="s">
        <v>176</v>
      </c>
    </row>
    <row r="2596" spans="1:20" ht="15" customHeight="1" x14ac:dyDescent="0.3">
      <c r="A2596" s="368"/>
      <c r="B2596" s="368"/>
      <c r="C2596" s="41">
        <v>17585</v>
      </c>
      <c r="D2596" s="371"/>
      <c r="E2596" s="368"/>
      <c r="F2596" s="368"/>
      <c r="G2596" s="368"/>
      <c r="H2596" s="371"/>
      <c r="I2596" s="368"/>
      <c r="J2596" s="368"/>
      <c r="K2596" s="368"/>
      <c r="L2596" s="368"/>
      <c r="M2596" s="359"/>
      <c r="N2596" s="397"/>
      <c r="O2596" s="368"/>
      <c r="P2596" s="226">
        <v>44066</v>
      </c>
      <c r="Q2596" s="368"/>
      <c r="T2596" s="200">
        <v>1</v>
      </c>
    </row>
    <row r="2597" spans="1:20" ht="15" customHeight="1" thickBot="1" x14ac:dyDescent="0.35">
      <c r="A2597" s="369"/>
      <c r="B2597" s="369"/>
      <c r="C2597" s="42">
        <v>25825</v>
      </c>
      <c r="D2597" s="372"/>
      <c r="E2597" s="369"/>
      <c r="F2597" s="369"/>
      <c r="G2597" s="369"/>
      <c r="H2597" s="372"/>
      <c r="I2597" s="369"/>
      <c r="J2597" s="369"/>
      <c r="K2597" s="369"/>
      <c r="L2597" s="369"/>
      <c r="M2597" s="360"/>
      <c r="N2597" s="398"/>
      <c r="O2597" s="369"/>
      <c r="P2597" s="67"/>
      <c r="Q2597" s="369"/>
    </row>
    <row r="2598" spans="1:20" ht="15" hidden="1" customHeight="1" x14ac:dyDescent="0.3">
      <c r="A2598" s="367">
        <v>722</v>
      </c>
      <c r="B2598" s="367" t="s">
        <v>174</v>
      </c>
      <c r="C2598" s="40">
        <v>10630</v>
      </c>
      <c r="D2598" s="370">
        <v>0</v>
      </c>
      <c r="E2598" s="367" t="s">
        <v>13</v>
      </c>
      <c r="F2598" s="367">
        <v>1450</v>
      </c>
      <c r="G2598" s="367">
        <v>1100</v>
      </c>
      <c r="H2598" s="370" t="s">
        <v>25</v>
      </c>
      <c r="I2598" s="367" t="s">
        <v>13</v>
      </c>
      <c r="J2598" s="367" t="s">
        <v>13</v>
      </c>
      <c r="K2598" s="367" t="s">
        <v>13</v>
      </c>
      <c r="L2598" s="367" t="s">
        <v>13</v>
      </c>
      <c r="M2598" s="358" t="s">
        <v>14</v>
      </c>
      <c r="N2598" s="396" t="s">
        <v>437</v>
      </c>
      <c r="O2598" s="367" t="s">
        <v>27</v>
      </c>
      <c r="P2598" s="65"/>
      <c r="Q2598" s="367" t="s">
        <v>176</v>
      </c>
    </row>
    <row r="2599" spans="1:20" ht="15" customHeight="1" x14ac:dyDescent="0.3">
      <c r="A2599" s="368"/>
      <c r="B2599" s="368"/>
      <c r="C2599" s="41">
        <v>18405</v>
      </c>
      <c r="D2599" s="371"/>
      <c r="E2599" s="368"/>
      <c r="F2599" s="368"/>
      <c r="G2599" s="368"/>
      <c r="H2599" s="371"/>
      <c r="I2599" s="368"/>
      <c r="J2599" s="368"/>
      <c r="K2599" s="368"/>
      <c r="L2599" s="368"/>
      <c r="M2599" s="359"/>
      <c r="N2599" s="397"/>
      <c r="O2599" s="368"/>
      <c r="P2599" s="66"/>
      <c r="Q2599" s="368"/>
      <c r="T2599" s="200">
        <v>1</v>
      </c>
    </row>
    <row r="2600" spans="1:20" ht="15" customHeight="1" thickBot="1" x14ac:dyDescent="0.35">
      <c r="A2600" s="369"/>
      <c r="B2600" s="369"/>
      <c r="C2600" s="42">
        <v>25825</v>
      </c>
      <c r="D2600" s="372"/>
      <c r="E2600" s="369"/>
      <c r="F2600" s="369"/>
      <c r="G2600" s="369"/>
      <c r="H2600" s="372"/>
      <c r="I2600" s="369"/>
      <c r="J2600" s="369"/>
      <c r="K2600" s="369"/>
      <c r="L2600" s="369"/>
      <c r="M2600" s="360"/>
      <c r="N2600" s="398"/>
      <c r="O2600" s="369"/>
      <c r="P2600" s="227">
        <v>44066</v>
      </c>
      <c r="Q2600" s="369"/>
    </row>
    <row r="2601" spans="1:20" ht="15" hidden="1" customHeight="1" x14ac:dyDescent="0.3">
      <c r="A2601" s="367">
        <v>723</v>
      </c>
      <c r="B2601" s="367" t="s">
        <v>441</v>
      </c>
      <c r="C2601" s="40">
        <v>10395</v>
      </c>
      <c r="D2601" s="367">
        <v>1</v>
      </c>
      <c r="E2601" s="367" t="s">
        <v>209</v>
      </c>
      <c r="F2601" s="367">
        <v>1450</v>
      </c>
      <c r="G2601" s="367">
        <v>1100</v>
      </c>
      <c r="H2601" s="370" t="s">
        <v>25</v>
      </c>
      <c r="I2601" s="367">
        <v>60</v>
      </c>
      <c r="J2601" s="370">
        <f>-0.55/-1.22</f>
        <v>0.4508196721311476</v>
      </c>
      <c r="K2601" s="367">
        <v>30</v>
      </c>
      <c r="L2601" s="367">
        <v>27.5</v>
      </c>
      <c r="M2601" s="358" t="s">
        <v>14</v>
      </c>
      <c r="N2601" s="396" t="s">
        <v>437</v>
      </c>
      <c r="O2601" s="367" t="s">
        <v>27</v>
      </c>
      <c r="P2601" s="65"/>
      <c r="Q2601" s="367" t="s">
        <v>301</v>
      </c>
    </row>
    <row r="2602" spans="1:20" ht="15" customHeight="1" x14ac:dyDescent="0.3">
      <c r="A2602" s="368"/>
      <c r="B2602" s="368"/>
      <c r="C2602" s="41">
        <v>18840</v>
      </c>
      <c r="D2602" s="368"/>
      <c r="E2602" s="368"/>
      <c r="F2602" s="368"/>
      <c r="G2602" s="368"/>
      <c r="H2602" s="371"/>
      <c r="I2602" s="368"/>
      <c r="J2602" s="371"/>
      <c r="K2602" s="368"/>
      <c r="L2602" s="368"/>
      <c r="M2602" s="359"/>
      <c r="N2602" s="397"/>
      <c r="O2602" s="368"/>
      <c r="P2602" s="66"/>
      <c r="Q2602" s="368"/>
      <c r="T2602" s="200">
        <v>1</v>
      </c>
    </row>
    <row r="2603" spans="1:20" ht="15" customHeight="1" thickBot="1" x14ac:dyDescent="0.35">
      <c r="A2603" s="369"/>
      <c r="B2603" s="369"/>
      <c r="C2603" s="42">
        <v>25825</v>
      </c>
      <c r="D2603" s="369"/>
      <c r="E2603" s="369"/>
      <c r="F2603" s="369"/>
      <c r="G2603" s="369"/>
      <c r="H2603" s="372"/>
      <c r="I2603" s="369"/>
      <c r="J2603" s="372"/>
      <c r="K2603" s="369"/>
      <c r="L2603" s="369"/>
      <c r="M2603" s="360"/>
      <c r="N2603" s="398"/>
      <c r="O2603" s="369"/>
      <c r="P2603" s="227">
        <v>44066</v>
      </c>
      <c r="Q2603" s="369"/>
    </row>
    <row r="2604" spans="1:20" ht="15" hidden="1" customHeight="1" x14ac:dyDescent="0.3">
      <c r="A2604" s="358">
        <v>724</v>
      </c>
      <c r="B2604" s="358" t="s">
        <v>174</v>
      </c>
      <c r="C2604" s="110">
        <v>11420</v>
      </c>
      <c r="D2604" s="364">
        <v>0</v>
      </c>
      <c r="E2604" s="358" t="s">
        <v>13</v>
      </c>
      <c r="F2604" s="358">
        <v>1450</v>
      </c>
      <c r="G2604" s="358">
        <v>1100</v>
      </c>
      <c r="H2604" s="364" t="s">
        <v>25</v>
      </c>
      <c r="I2604" s="358" t="s">
        <v>13</v>
      </c>
      <c r="J2604" s="358" t="s">
        <v>13</v>
      </c>
      <c r="K2604" s="358" t="s">
        <v>13</v>
      </c>
      <c r="L2604" s="358" t="s">
        <v>13</v>
      </c>
      <c r="M2604" s="358" t="s">
        <v>14</v>
      </c>
      <c r="N2604" s="358" t="s">
        <v>437</v>
      </c>
      <c r="O2604" s="358" t="s">
        <v>27</v>
      </c>
      <c r="P2604" s="71"/>
      <c r="Q2604" s="358" t="s">
        <v>176</v>
      </c>
    </row>
    <row r="2605" spans="1:20" ht="15" customHeight="1" x14ac:dyDescent="0.3">
      <c r="A2605" s="359"/>
      <c r="B2605" s="359"/>
      <c r="C2605" s="111">
        <v>17925</v>
      </c>
      <c r="D2605" s="365"/>
      <c r="E2605" s="359"/>
      <c r="F2605" s="359"/>
      <c r="G2605" s="359"/>
      <c r="H2605" s="365"/>
      <c r="I2605" s="359"/>
      <c r="J2605" s="359"/>
      <c r="K2605" s="359"/>
      <c r="L2605" s="359"/>
      <c r="M2605" s="359"/>
      <c r="N2605" s="359"/>
      <c r="O2605" s="359"/>
      <c r="P2605" s="72"/>
      <c r="Q2605" s="359"/>
      <c r="T2605" s="200">
        <v>1</v>
      </c>
    </row>
    <row r="2606" spans="1:20" ht="15" customHeight="1" thickBot="1" x14ac:dyDescent="0.35">
      <c r="A2606" s="360"/>
      <c r="B2606" s="360"/>
      <c r="C2606" s="112">
        <v>25825</v>
      </c>
      <c r="D2606" s="366"/>
      <c r="E2606" s="360"/>
      <c r="F2606" s="360"/>
      <c r="G2606" s="360"/>
      <c r="H2606" s="366"/>
      <c r="I2606" s="360"/>
      <c r="J2606" s="360"/>
      <c r="K2606" s="360"/>
      <c r="L2606" s="360"/>
      <c r="M2606" s="360"/>
      <c r="N2606" s="360"/>
      <c r="O2606" s="360"/>
      <c r="P2606" s="235">
        <v>44066</v>
      </c>
      <c r="Q2606" s="360"/>
    </row>
    <row r="2607" spans="1:20" ht="15" hidden="1" customHeight="1" x14ac:dyDescent="0.3">
      <c r="A2607" s="358">
        <v>725</v>
      </c>
      <c r="B2607" s="358" t="s">
        <v>174</v>
      </c>
      <c r="C2607" s="110">
        <v>14000</v>
      </c>
      <c r="D2607" s="364">
        <v>0</v>
      </c>
      <c r="E2607" s="358" t="s">
        <v>13</v>
      </c>
      <c r="F2607" s="358">
        <v>1450</v>
      </c>
      <c r="G2607" s="358">
        <v>1100</v>
      </c>
      <c r="H2607" s="364" t="s">
        <v>25</v>
      </c>
      <c r="I2607" s="358" t="s">
        <v>13</v>
      </c>
      <c r="J2607" s="358" t="s">
        <v>13</v>
      </c>
      <c r="K2607" s="358" t="s">
        <v>13</v>
      </c>
      <c r="L2607" s="358" t="s">
        <v>13</v>
      </c>
      <c r="M2607" s="358" t="s">
        <v>14</v>
      </c>
      <c r="N2607" s="358" t="s">
        <v>437</v>
      </c>
      <c r="O2607" s="358" t="s">
        <v>27</v>
      </c>
      <c r="P2607" s="71"/>
      <c r="Q2607" s="358" t="s">
        <v>176</v>
      </c>
      <c r="T2607" s="200">
        <v>1</v>
      </c>
    </row>
    <row r="2608" spans="1:20" ht="15" customHeight="1" x14ac:dyDescent="0.3">
      <c r="A2608" s="359"/>
      <c r="B2608" s="359"/>
      <c r="C2608" s="111">
        <v>15080</v>
      </c>
      <c r="D2608" s="365"/>
      <c r="E2608" s="359"/>
      <c r="F2608" s="359"/>
      <c r="G2608" s="359"/>
      <c r="H2608" s="365"/>
      <c r="I2608" s="359"/>
      <c r="J2608" s="359"/>
      <c r="K2608" s="359"/>
      <c r="L2608" s="359"/>
      <c r="M2608" s="359"/>
      <c r="N2608" s="359"/>
      <c r="O2608" s="359"/>
      <c r="P2608" s="236">
        <v>44066</v>
      </c>
      <c r="Q2608" s="359"/>
    </row>
    <row r="2609" spans="1:20" ht="15" customHeight="1" thickBot="1" x14ac:dyDescent="0.35">
      <c r="A2609" s="360"/>
      <c r="B2609" s="360"/>
      <c r="C2609" s="112">
        <v>25825</v>
      </c>
      <c r="D2609" s="366"/>
      <c r="E2609" s="360"/>
      <c r="F2609" s="360"/>
      <c r="G2609" s="360"/>
      <c r="H2609" s="366"/>
      <c r="I2609" s="360"/>
      <c r="J2609" s="360"/>
      <c r="K2609" s="360"/>
      <c r="L2609" s="360"/>
      <c r="M2609" s="360"/>
      <c r="N2609" s="360"/>
      <c r="O2609" s="360"/>
      <c r="P2609" s="73"/>
      <c r="Q2609" s="360"/>
    </row>
    <row r="2610" spans="1:20" ht="15" hidden="1" customHeight="1" x14ac:dyDescent="0.3">
      <c r="A2610" s="358">
        <v>726</v>
      </c>
      <c r="B2610" s="358" t="s">
        <v>174</v>
      </c>
      <c r="C2610" s="110">
        <v>14200</v>
      </c>
      <c r="D2610" s="364">
        <v>0</v>
      </c>
      <c r="E2610" s="358" t="s">
        <v>13</v>
      </c>
      <c r="F2610" s="358">
        <v>1450</v>
      </c>
      <c r="G2610" s="358">
        <v>1100</v>
      </c>
      <c r="H2610" s="364" t="s">
        <v>25</v>
      </c>
      <c r="I2610" s="358" t="s">
        <v>13</v>
      </c>
      <c r="J2610" s="358" t="s">
        <v>13</v>
      </c>
      <c r="K2610" s="358" t="s">
        <v>13</v>
      </c>
      <c r="L2610" s="358" t="s">
        <v>13</v>
      </c>
      <c r="M2610" s="358" t="s">
        <v>14</v>
      </c>
      <c r="N2610" s="358" t="s">
        <v>437</v>
      </c>
      <c r="O2610" s="358" t="s">
        <v>27</v>
      </c>
      <c r="P2610" s="71"/>
      <c r="Q2610" s="358" t="s">
        <v>176</v>
      </c>
    </row>
    <row r="2611" spans="1:20" ht="15" customHeight="1" x14ac:dyDescent="0.3">
      <c r="A2611" s="359"/>
      <c r="B2611" s="359"/>
      <c r="C2611" s="111">
        <v>14795</v>
      </c>
      <c r="D2611" s="365"/>
      <c r="E2611" s="359"/>
      <c r="F2611" s="359"/>
      <c r="G2611" s="359"/>
      <c r="H2611" s="365"/>
      <c r="I2611" s="359"/>
      <c r="J2611" s="359"/>
      <c r="K2611" s="359"/>
      <c r="L2611" s="359"/>
      <c r="M2611" s="359"/>
      <c r="N2611" s="359"/>
      <c r="O2611" s="359"/>
      <c r="P2611" s="236">
        <v>44066</v>
      </c>
      <c r="Q2611" s="359"/>
      <c r="T2611" s="200">
        <v>1</v>
      </c>
    </row>
    <row r="2612" spans="1:20" ht="15" customHeight="1" thickBot="1" x14ac:dyDescent="0.35">
      <c r="A2612" s="360"/>
      <c r="B2612" s="360"/>
      <c r="C2612" s="112">
        <v>25825</v>
      </c>
      <c r="D2612" s="366"/>
      <c r="E2612" s="360"/>
      <c r="F2612" s="360"/>
      <c r="G2612" s="360"/>
      <c r="H2612" s="366"/>
      <c r="I2612" s="360"/>
      <c r="J2612" s="360"/>
      <c r="K2612" s="360"/>
      <c r="L2612" s="360"/>
      <c r="M2612" s="360"/>
      <c r="N2612" s="360"/>
      <c r="O2612" s="360"/>
      <c r="P2612" s="73"/>
      <c r="Q2612" s="360"/>
    </row>
    <row r="2613" spans="1:20" ht="15" hidden="1" customHeight="1" x14ac:dyDescent="0.3">
      <c r="A2613" s="358">
        <v>727</v>
      </c>
      <c r="B2613" s="358" t="s">
        <v>174</v>
      </c>
      <c r="C2613" s="110">
        <v>15545</v>
      </c>
      <c r="D2613" s="364">
        <v>0</v>
      </c>
      <c r="E2613" s="358" t="s">
        <v>13</v>
      </c>
      <c r="F2613" s="358">
        <v>1450</v>
      </c>
      <c r="G2613" s="358">
        <v>1100</v>
      </c>
      <c r="H2613" s="364" t="s">
        <v>25</v>
      </c>
      <c r="I2613" s="358" t="s">
        <v>13</v>
      </c>
      <c r="J2613" s="358" t="s">
        <v>13</v>
      </c>
      <c r="K2613" s="358" t="s">
        <v>13</v>
      </c>
      <c r="L2613" s="358" t="s">
        <v>13</v>
      </c>
      <c r="M2613" s="358" t="s">
        <v>14</v>
      </c>
      <c r="N2613" s="358" t="s">
        <v>437</v>
      </c>
      <c r="O2613" s="358" t="s">
        <v>27</v>
      </c>
      <c r="P2613" s="71"/>
      <c r="Q2613" s="358" t="s">
        <v>176</v>
      </c>
    </row>
    <row r="2614" spans="1:20" ht="15" customHeight="1" x14ac:dyDescent="0.3">
      <c r="A2614" s="359"/>
      <c r="B2614" s="359"/>
      <c r="C2614" s="111">
        <v>13705</v>
      </c>
      <c r="D2614" s="365"/>
      <c r="E2614" s="359"/>
      <c r="F2614" s="359"/>
      <c r="G2614" s="359"/>
      <c r="H2614" s="365"/>
      <c r="I2614" s="359"/>
      <c r="J2614" s="359"/>
      <c r="K2614" s="359"/>
      <c r="L2614" s="359"/>
      <c r="M2614" s="359"/>
      <c r="N2614" s="359"/>
      <c r="O2614" s="359"/>
      <c r="P2614" s="72"/>
      <c r="Q2614" s="359"/>
      <c r="T2614" s="200">
        <v>1</v>
      </c>
    </row>
    <row r="2615" spans="1:20" ht="15" customHeight="1" thickBot="1" x14ac:dyDescent="0.35">
      <c r="A2615" s="360"/>
      <c r="B2615" s="360"/>
      <c r="C2615" s="112">
        <v>25825</v>
      </c>
      <c r="D2615" s="366"/>
      <c r="E2615" s="360"/>
      <c r="F2615" s="360"/>
      <c r="G2615" s="360"/>
      <c r="H2615" s="366"/>
      <c r="I2615" s="360"/>
      <c r="J2615" s="360"/>
      <c r="K2615" s="360"/>
      <c r="L2615" s="360"/>
      <c r="M2615" s="360"/>
      <c r="N2615" s="360"/>
      <c r="O2615" s="360"/>
      <c r="P2615" s="235">
        <v>44066</v>
      </c>
      <c r="Q2615" s="360"/>
    </row>
    <row r="2616" spans="1:20" ht="15" hidden="1" customHeight="1" x14ac:dyDescent="0.3">
      <c r="A2616" s="364">
        <v>728</v>
      </c>
      <c r="B2616" s="364" t="s">
        <v>444</v>
      </c>
      <c r="C2616" s="249">
        <v>16225</v>
      </c>
      <c r="D2616" s="364">
        <v>1</v>
      </c>
      <c r="E2616" s="364" t="s">
        <v>161</v>
      </c>
      <c r="F2616" s="364">
        <v>1450</v>
      </c>
      <c r="G2616" s="358">
        <v>1100</v>
      </c>
      <c r="H2616" s="364" t="s">
        <v>25</v>
      </c>
      <c r="I2616" s="364">
        <v>95</v>
      </c>
      <c r="J2616" s="364" t="s">
        <v>45</v>
      </c>
      <c r="K2616" s="364">
        <v>30</v>
      </c>
      <c r="L2616" s="358">
        <v>27.5</v>
      </c>
      <c r="M2616" s="358" t="s">
        <v>14</v>
      </c>
      <c r="N2616" s="358" t="s">
        <v>437</v>
      </c>
      <c r="O2616" s="358" t="s">
        <v>27</v>
      </c>
      <c r="P2616" s="245"/>
      <c r="Q2616" s="358" t="s">
        <v>364</v>
      </c>
      <c r="T2616" s="200">
        <v>1</v>
      </c>
    </row>
    <row r="2617" spans="1:20" ht="15" customHeight="1" x14ac:dyDescent="0.3">
      <c r="A2617" s="365"/>
      <c r="B2617" s="365"/>
      <c r="C2617" s="250">
        <v>13700</v>
      </c>
      <c r="D2617" s="365"/>
      <c r="E2617" s="365"/>
      <c r="F2617" s="365"/>
      <c r="G2617" s="359"/>
      <c r="H2617" s="365"/>
      <c r="I2617" s="365"/>
      <c r="J2617" s="365"/>
      <c r="K2617" s="365"/>
      <c r="L2617" s="359"/>
      <c r="M2617" s="359"/>
      <c r="N2617" s="359"/>
      <c r="O2617" s="359"/>
      <c r="P2617" s="236">
        <v>44080</v>
      </c>
      <c r="Q2617" s="359"/>
      <c r="R2617" s="186">
        <v>44080</v>
      </c>
    </row>
    <row r="2618" spans="1:20" ht="15" customHeight="1" thickBot="1" x14ac:dyDescent="0.35">
      <c r="A2618" s="366"/>
      <c r="B2618" s="366"/>
      <c r="C2618" s="251">
        <v>25825</v>
      </c>
      <c r="D2618" s="366"/>
      <c r="E2618" s="366"/>
      <c r="F2618" s="366"/>
      <c r="G2618" s="360"/>
      <c r="H2618" s="366"/>
      <c r="I2618" s="366"/>
      <c r="J2618" s="366"/>
      <c r="K2618" s="366"/>
      <c r="L2618" s="360"/>
      <c r="M2618" s="360"/>
      <c r="N2618" s="360"/>
      <c r="O2618" s="360"/>
      <c r="P2618" s="246"/>
      <c r="Q2618" s="360"/>
    </row>
    <row r="2619" spans="1:20" ht="15" hidden="1" customHeight="1" x14ac:dyDescent="0.3">
      <c r="A2619" s="364">
        <v>729</v>
      </c>
      <c r="B2619" s="364" t="s">
        <v>444</v>
      </c>
      <c r="C2619" s="249">
        <v>16550</v>
      </c>
      <c r="D2619" s="364">
        <v>1</v>
      </c>
      <c r="E2619" s="364" t="s">
        <v>161</v>
      </c>
      <c r="F2619" s="364">
        <v>1450</v>
      </c>
      <c r="G2619" s="358">
        <v>1100</v>
      </c>
      <c r="H2619" s="364" t="s">
        <v>25</v>
      </c>
      <c r="I2619" s="364">
        <v>95</v>
      </c>
      <c r="J2619" s="364" t="s">
        <v>45</v>
      </c>
      <c r="K2619" s="364">
        <v>30</v>
      </c>
      <c r="L2619" s="358">
        <v>27.5</v>
      </c>
      <c r="M2619" s="358" t="s">
        <v>14</v>
      </c>
      <c r="N2619" s="358" t="s">
        <v>437</v>
      </c>
      <c r="O2619" s="358" t="s">
        <v>27</v>
      </c>
      <c r="P2619" s="245"/>
      <c r="Q2619" s="358" t="s">
        <v>364</v>
      </c>
    </row>
    <row r="2620" spans="1:20" ht="15" customHeight="1" x14ac:dyDescent="0.3">
      <c r="A2620" s="365"/>
      <c r="B2620" s="365"/>
      <c r="C2620" s="250">
        <v>13460</v>
      </c>
      <c r="D2620" s="365"/>
      <c r="E2620" s="365"/>
      <c r="F2620" s="365"/>
      <c r="G2620" s="359"/>
      <c r="H2620" s="365"/>
      <c r="I2620" s="365"/>
      <c r="J2620" s="365"/>
      <c r="K2620" s="365"/>
      <c r="L2620" s="359"/>
      <c r="M2620" s="359"/>
      <c r="N2620" s="359"/>
      <c r="O2620" s="359"/>
      <c r="P2620" s="236">
        <v>44080</v>
      </c>
      <c r="Q2620" s="359"/>
      <c r="R2620" s="186">
        <v>44080</v>
      </c>
      <c r="T2620" s="200">
        <v>1</v>
      </c>
    </row>
    <row r="2621" spans="1:20" ht="15" customHeight="1" thickBot="1" x14ac:dyDescent="0.35">
      <c r="A2621" s="366"/>
      <c r="B2621" s="366"/>
      <c r="C2621" s="251">
        <v>25825</v>
      </c>
      <c r="D2621" s="366"/>
      <c r="E2621" s="366"/>
      <c r="F2621" s="366"/>
      <c r="G2621" s="360"/>
      <c r="H2621" s="366"/>
      <c r="I2621" s="366"/>
      <c r="J2621" s="366"/>
      <c r="K2621" s="366"/>
      <c r="L2621" s="360"/>
      <c r="M2621" s="360"/>
      <c r="N2621" s="360"/>
      <c r="O2621" s="360"/>
      <c r="P2621" s="246"/>
      <c r="Q2621" s="360"/>
    </row>
    <row r="2622" spans="1:20" ht="15" hidden="1" customHeight="1" x14ac:dyDescent="0.3">
      <c r="A2622" s="358">
        <v>730</v>
      </c>
      <c r="B2622" s="358" t="s">
        <v>174</v>
      </c>
      <c r="C2622" s="110">
        <v>16365</v>
      </c>
      <c r="D2622" s="364">
        <v>0</v>
      </c>
      <c r="E2622" s="358" t="s">
        <v>13</v>
      </c>
      <c r="F2622" s="358">
        <v>1450</v>
      </c>
      <c r="G2622" s="358">
        <v>1100</v>
      </c>
      <c r="H2622" s="364" t="s">
        <v>25</v>
      </c>
      <c r="I2622" s="358" t="s">
        <v>13</v>
      </c>
      <c r="J2622" s="358" t="s">
        <v>13</v>
      </c>
      <c r="K2622" s="358" t="s">
        <v>13</v>
      </c>
      <c r="L2622" s="358" t="s">
        <v>13</v>
      </c>
      <c r="M2622" s="358" t="s">
        <v>14</v>
      </c>
      <c r="N2622" s="358" t="s">
        <v>437</v>
      </c>
      <c r="O2622" s="358" t="s">
        <v>27</v>
      </c>
      <c r="P2622" s="207"/>
      <c r="Q2622" s="358" t="s">
        <v>176</v>
      </c>
      <c r="R2622" s="186">
        <v>44066</v>
      </c>
    </row>
    <row r="2623" spans="1:20" ht="15" customHeight="1" x14ac:dyDescent="0.3">
      <c r="A2623" s="359"/>
      <c r="B2623" s="359"/>
      <c r="C2623" s="111">
        <v>13155</v>
      </c>
      <c r="D2623" s="365"/>
      <c r="E2623" s="359"/>
      <c r="F2623" s="359"/>
      <c r="G2623" s="359"/>
      <c r="H2623" s="365"/>
      <c r="I2623" s="359"/>
      <c r="J2623" s="359"/>
      <c r="K2623" s="359"/>
      <c r="L2623" s="359"/>
      <c r="M2623" s="359"/>
      <c r="N2623" s="359"/>
      <c r="O2623" s="359"/>
      <c r="P2623" s="236">
        <v>44066</v>
      </c>
      <c r="Q2623" s="359"/>
      <c r="T2623" s="200">
        <v>1</v>
      </c>
    </row>
    <row r="2624" spans="1:20" ht="15" customHeight="1" thickBot="1" x14ac:dyDescent="0.35">
      <c r="A2624" s="360"/>
      <c r="B2624" s="360"/>
      <c r="C2624" s="112">
        <v>25825</v>
      </c>
      <c r="D2624" s="366"/>
      <c r="E2624" s="360"/>
      <c r="F2624" s="360"/>
      <c r="G2624" s="360"/>
      <c r="H2624" s="366"/>
      <c r="I2624" s="360"/>
      <c r="J2624" s="360"/>
      <c r="K2624" s="360"/>
      <c r="L2624" s="360"/>
      <c r="M2624" s="360"/>
      <c r="N2624" s="360"/>
      <c r="O2624" s="360"/>
      <c r="P2624" s="208"/>
      <c r="Q2624" s="360"/>
    </row>
    <row r="2625" spans="1:20" ht="15" hidden="1" customHeight="1" x14ac:dyDescent="0.3">
      <c r="A2625" s="358">
        <v>731</v>
      </c>
      <c r="B2625" s="358" t="s">
        <v>174</v>
      </c>
      <c r="C2625" s="110">
        <v>16160</v>
      </c>
      <c r="D2625" s="364">
        <v>0</v>
      </c>
      <c r="E2625" s="358" t="s">
        <v>13</v>
      </c>
      <c r="F2625" s="358">
        <v>1450</v>
      </c>
      <c r="G2625" s="358">
        <v>1100</v>
      </c>
      <c r="H2625" s="364" t="s">
        <v>25</v>
      </c>
      <c r="I2625" s="358" t="s">
        <v>13</v>
      </c>
      <c r="J2625" s="358" t="s">
        <v>13</v>
      </c>
      <c r="K2625" s="358" t="s">
        <v>13</v>
      </c>
      <c r="L2625" s="358" t="s">
        <v>13</v>
      </c>
      <c r="M2625" s="358" t="s">
        <v>14</v>
      </c>
      <c r="N2625" s="358" t="s">
        <v>437</v>
      </c>
      <c r="O2625" s="358" t="s">
        <v>27</v>
      </c>
      <c r="P2625" s="207"/>
      <c r="Q2625" s="358" t="s">
        <v>176</v>
      </c>
      <c r="R2625" s="186">
        <v>44066</v>
      </c>
    </row>
    <row r="2626" spans="1:20" ht="15" customHeight="1" x14ac:dyDescent="0.3">
      <c r="A2626" s="359"/>
      <c r="B2626" s="359"/>
      <c r="C2626" s="111">
        <v>13010</v>
      </c>
      <c r="D2626" s="365"/>
      <c r="E2626" s="359"/>
      <c r="F2626" s="359"/>
      <c r="G2626" s="359"/>
      <c r="H2626" s="365"/>
      <c r="I2626" s="359"/>
      <c r="J2626" s="359"/>
      <c r="K2626" s="359"/>
      <c r="L2626" s="359"/>
      <c r="M2626" s="359"/>
      <c r="N2626" s="359"/>
      <c r="O2626" s="359"/>
      <c r="P2626" s="236">
        <v>44066</v>
      </c>
      <c r="Q2626" s="359"/>
      <c r="T2626" s="200">
        <v>1</v>
      </c>
    </row>
    <row r="2627" spans="1:20" ht="15" customHeight="1" thickBot="1" x14ac:dyDescent="0.35">
      <c r="A2627" s="360"/>
      <c r="B2627" s="360"/>
      <c r="C2627" s="112">
        <v>25825</v>
      </c>
      <c r="D2627" s="366"/>
      <c r="E2627" s="360"/>
      <c r="F2627" s="360"/>
      <c r="G2627" s="360"/>
      <c r="H2627" s="366"/>
      <c r="I2627" s="360"/>
      <c r="J2627" s="360"/>
      <c r="K2627" s="360"/>
      <c r="L2627" s="360"/>
      <c r="M2627" s="360"/>
      <c r="N2627" s="360"/>
      <c r="O2627" s="360"/>
      <c r="P2627" s="208"/>
      <c r="Q2627" s="360"/>
    </row>
    <row r="2628" spans="1:20" ht="30" hidden="1" customHeight="1" x14ac:dyDescent="0.3">
      <c r="A2628" s="361">
        <v>732</v>
      </c>
      <c r="B2628" s="361" t="s">
        <v>444</v>
      </c>
      <c r="C2628" s="113">
        <v>16920</v>
      </c>
      <c r="D2628" s="361">
        <v>2</v>
      </c>
      <c r="E2628" s="361" t="s">
        <v>161</v>
      </c>
      <c r="F2628" s="361">
        <v>1450</v>
      </c>
      <c r="G2628" s="355">
        <v>1100</v>
      </c>
      <c r="H2628" s="361" t="s">
        <v>25</v>
      </c>
      <c r="I2628" s="361">
        <v>95</v>
      </c>
      <c r="J2628" s="361" t="s">
        <v>45</v>
      </c>
      <c r="K2628" s="455" t="s">
        <v>193</v>
      </c>
      <c r="L2628" s="355" t="s">
        <v>13</v>
      </c>
      <c r="M2628" s="355" t="s">
        <v>14</v>
      </c>
      <c r="N2628" s="355" t="s">
        <v>437</v>
      </c>
      <c r="O2628" s="355" t="s">
        <v>27</v>
      </c>
      <c r="P2628" s="77"/>
      <c r="Q2628" s="355" t="s">
        <v>445</v>
      </c>
    </row>
    <row r="2629" spans="1:20" ht="30" customHeight="1" thickBot="1" x14ac:dyDescent="0.35">
      <c r="A2629" s="362"/>
      <c r="B2629" s="363"/>
      <c r="C2629" s="114">
        <v>13205</v>
      </c>
      <c r="D2629" s="362"/>
      <c r="E2629" s="363"/>
      <c r="F2629" s="362"/>
      <c r="G2629" s="356"/>
      <c r="H2629" s="362"/>
      <c r="I2629" s="363"/>
      <c r="J2629" s="363"/>
      <c r="K2629" s="456"/>
      <c r="L2629" s="356"/>
      <c r="M2629" s="356"/>
      <c r="N2629" s="356"/>
      <c r="O2629" s="356"/>
      <c r="P2629" s="78"/>
      <c r="Q2629" s="356"/>
      <c r="T2629" s="287">
        <v>1</v>
      </c>
    </row>
    <row r="2630" spans="1:20" ht="30" customHeight="1" thickBot="1" x14ac:dyDescent="0.35">
      <c r="A2630" s="363"/>
      <c r="B2630" s="115" t="s">
        <v>446</v>
      </c>
      <c r="C2630" s="115">
        <v>25825</v>
      </c>
      <c r="D2630" s="363"/>
      <c r="E2630" s="115" t="s">
        <v>168</v>
      </c>
      <c r="F2630" s="363"/>
      <c r="G2630" s="357"/>
      <c r="H2630" s="363"/>
      <c r="I2630" s="115">
        <v>95</v>
      </c>
      <c r="J2630" s="115" t="s">
        <v>45</v>
      </c>
      <c r="K2630" s="457"/>
      <c r="L2630" s="357"/>
      <c r="M2630" s="357"/>
      <c r="N2630" s="357"/>
      <c r="O2630" s="357"/>
      <c r="P2630" s="79"/>
      <c r="Q2630" s="357"/>
    </row>
    <row r="2631" spans="1:20" ht="30" hidden="1" customHeight="1" x14ac:dyDescent="0.3">
      <c r="A2631" s="376">
        <v>733</v>
      </c>
      <c r="B2631" s="376" t="s">
        <v>444</v>
      </c>
      <c r="C2631" s="58">
        <v>17210</v>
      </c>
      <c r="D2631" s="376">
        <v>2</v>
      </c>
      <c r="E2631" s="376" t="s">
        <v>161</v>
      </c>
      <c r="F2631" s="376">
        <v>1450</v>
      </c>
      <c r="G2631" s="373">
        <v>1100</v>
      </c>
      <c r="H2631" s="376" t="s">
        <v>25</v>
      </c>
      <c r="I2631" s="376">
        <v>95</v>
      </c>
      <c r="J2631" s="376" t="s">
        <v>45</v>
      </c>
      <c r="K2631" s="402" t="s">
        <v>193</v>
      </c>
      <c r="L2631" s="373" t="s">
        <v>13</v>
      </c>
      <c r="M2631" s="379" t="s">
        <v>14</v>
      </c>
      <c r="N2631" s="408" t="s">
        <v>437</v>
      </c>
      <c r="O2631" s="373" t="s">
        <v>27</v>
      </c>
      <c r="P2631" s="83"/>
      <c r="Q2631" s="373" t="s">
        <v>445</v>
      </c>
    </row>
    <row r="2632" spans="1:20" ht="30" customHeight="1" thickBot="1" x14ac:dyDescent="0.35">
      <c r="A2632" s="377"/>
      <c r="B2632" s="378"/>
      <c r="C2632" s="59">
        <v>12945</v>
      </c>
      <c r="D2632" s="377"/>
      <c r="E2632" s="378"/>
      <c r="F2632" s="377"/>
      <c r="G2632" s="374"/>
      <c r="H2632" s="377"/>
      <c r="I2632" s="378"/>
      <c r="J2632" s="378"/>
      <c r="K2632" s="403"/>
      <c r="L2632" s="374"/>
      <c r="M2632" s="380"/>
      <c r="N2632" s="409"/>
      <c r="O2632" s="374"/>
      <c r="P2632" s="84"/>
      <c r="Q2632" s="374"/>
      <c r="T2632" s="288">
        <v>1</v>
      </c>
    </row>
    <row r="2633" spans="1:20" ht="30" customHeight="1" thickBot="1" x14ac:dyDescent="0.35">
      <c r="A2633" s="378"/>
      <c r="B2633" s="57" t="s">
        <v>446</v>
      </c>
      <c r="C2633" s="57">
        <v>25825</v>
      </c>
      <c r="D2633" s="378"/>
      <c r="E2633" s="57" t="s">
        <v>168</v>
      </c>
      <c r="F2633" s="378"/>
      <c r="G2633" s="375"/>
      <c r="H2633" s="378"/>
      <c r="I2633" s="57">
        <v>95</v>
      </c>
      <c r="J2633" s="57" t="s">
        <v>45</v>
      </c>
      <c r="K2633" s="404"/>
      <c r="L2633" s="375"/>
      <c r="M2633" s="381"/>
      <c r="N2633" s="410"/>
      <c r="O2633" s="375"/>
      <c r="P2633" s="85"/>
      <c r="Q2633" s="375"/>
    </row>
    <row r="2634" spans="1:20" ht="15" hidden="1" customHeight="1" x14ac:dyDescent="0.3">
      <c r="A2634" s="367">
        <v>734</v>
      </c>
      <c r="B2634" s="367" t="s">
        <v>174</v>
      </c>
      <c r="C2634" s="40">
        <v>17145</v>
      </c>
      <c r="D2634" s="370">
        <v>0</v>
      </c>
      <c r="E2634" s="367" t="s">
        <v>13</v>
      </c>
      <c r="F2634" s="367">
        <v>1450</v>
      </c>
      <c r="G2634" s="367">
        <v>1100</v>
      </c>
      <c r="H2634" s="370" t="s">
        <v>25</v>
      </c>
      <c r="I2634" s="367" t="s">
        <v>13</v>
      </c>
      <c r="J2634" s="367" t="s">
        <v>13</v>
      </c>
      <c r="K2634" s="367" t="s">
        <v>13</v>
      </c>
      <c r="L2634" s="367" t="s">
        <v>13</v>
      </c>
      <c r="M2634" s="358" t="s">
        <v>14</v>
      </c>
      <c r="N2634" s="396" t="s">
        <v>442</v>
      </c>
      <c r="O2634" s="367" t="s">
        <v>27</v>
      </c>
      <c r="P2634" s="65"/>
      <c r="Q2634" s="367" t="s">
        <v>176</v>
      </c>
      <c r="T2634" s="200">
        <v>1</v>
      </c>
    </row>
    <row r="2635" spans="1:20" ht="15" customHeight="1" x14ac:dyDescent="0.3">
      <c r="A2635" s="368"/>
      <c r="B2635" s="368"/>
      <c r="C2635" s="41">
        <v>12685</v>
      </c>
      <c r="D2635" s="371"/>
      <c r="E2635" s="368"/>
      <c r="F2635" s="368"/>
      <c r="G2635" s="368"/>
      <c r="H2635" s="371"/>
      <c r="I2635" s="368"/>
      <c r="J2635" s="368"/>
      <c r="K2635" s="368"/>
      <c r="L2635" s="368"/>
      <c r="M2635" s="359"/>
      <c r="N2635" s="397"/>
      <c r="O2635" s="368"/>
      <c r="P2635" s="226">
        <v>44066</v>
      </c>
      <c r="Q2635" s="368"/>
    </row>
    <row r="2636" spans="1:20" ht="15" customHeight="1" thickBot="1" x14ac:dyDescent="0.35">
      <c r="A2636" s="369"/>
      <c r="B2636" s="369"/>
      <c r="C2636" s="42">
        <v>25825</v>
      </c>
      <c r="D2636" s="372"/>
      <c r="E2636" s="369"/>
      <c r="F2636" s="369"/>
      <c r="G2636" s="369"/>
      <c r="H2636" s="372"/>
      <c r="I2636" s="369"/>
      <c r="J2636" s="369"/>
      <c r="K2636" s="369"/>
      <c r="L2636" s="369"/>
      <c r="M2636" s="360"/>
      <c r="N2636" s="398"/>
      <c r="O2636" s="369"/>
      <c r="P2636" s="67"/>
      <c r="Q2636" s="369"/>
    </row>
    <row r="2637" spans="1:20" ht="15" hidden="1" customHeight="1" x14ac:dyDescent="0.3">
      <c r="A2637" s="367">
        <v>735</v>
      </c>
      <c r="B2637" s="367" t="s">
        <v>174</v>
      </c>
      <c r="C2637" s="40">
        <v>17165</v>
      </c>
      <c r="D2637" s="370">
        <v>0</v>
      </c>
      <c r="E2637" s="367" t="s">
        <v>13</v>
      </c>
      <c r="F2637" s="367">
        <v>1450</v>
      </c>
      <c r="G2637" s="367">
        <v>1100</v>
      </c>
      <c r="H2637" s="370" t="s">
        <v>25</v>
      </c>
      <c r="I2637" s="367" t="s">
        <v>13</v>
      </c>
      <c r="J2637" s="367" t="s">
        <v>13</v>
      </c>
      <c r="K2637" s="367" t="s">
        <v>13</v>
      </c>
      <c r="L2637" s="367" t="s">
        <v>13</v>
      </c>
      <c r="M2637" s="358" t="s">
        <v>14</v>
      </c>
      <c r="N2637" s="396" t="s">
        <v>442</v>
      </c>
      <c r="O2637" s="367" t="s">
        <v>27</v>
      </c>
      <c r="P2637" s="65"/>
      <c r="Q2637" s="367" t="s">
        <v>176</v>
      </c>
    </row>
    <row r="2638" spans="1:20" ht="15" customHeight="1" x14ac:dyDescent="0.3">
      <c r="A2638" s="368"/>
      <c r="B2638" s="368"/>
      <c r="C2638" s="41">
        <v>12245</v>
      </c>
      <c r="D2638" s="371"/>
      <c r="E2638" s="368"/>
      <c r="F2638" s="368"/>
      <c r="G2638" s="368"/>
      <c r="H2638" s="371"/>
      <c r="I2638" s="368"/>
      <c r="J2638" s="368"/>
      <c r="K2638" s="368"/>
      <c r="L2638" s="368"/>
      <c r="M2638" s="359"/>
      <c r="N2638" s="397"/>
      <c r="O2638" s="368"/>
      <c r="P2638" s="66"/>
      <c r="Q2638" s="368"/>
    </row>
    <row r="2639" spans="1:20" ht="15" customHeight="1" thickBot="1" x14ac:dyDescent="0.35">
      <c r="A2639" s="369"/>
      <c r="B2639" s="369"/>
      <c r="C2639" s="42">
        <v>25825</v>
      </c>
      <c r="D2639" s="372"/>
      <c r="E2639" s="369"/>
      <c r="F2639" s="369"/>
      <c r="G2639" s="369"/>
      <c r="H2639" s="372"/>
      <c r="I2639" s="369"/>
      <c r="J2639" s="369"/>
      <c r="K2639" s="369"/>
      <c r="L2639" s="369"/>
      <c r="M2639" s="360"/>
      <c r="N2639" s="398"/>
      <c r="O2639" s="369"/>
      <c r="P2639" s="227">
        <v>44066</v>
      </c>
      <c r="Q2639" s="369"/>
      <c r="T2639" s="200">
        <v>1</v>
      </c>
    </row>
    <row r="2640" spans="1:20" ht="15" hidden="1" customHeight="1" x14ac:dyDescent="0.3">
      <c r="A2640" s="367">
        <v>736</v>
      </c>
      <c r="B2640" s="367" t="s">
        <v>174</v>
      </c>
      <c r="C2640" s="40">
        <v>-13166</v>
      </c>
      <c r="D2640" s="370">
        <v>0</v>
      </c>
      <c r="E2640" s="367" t="s">
        <v>13</v>
      </c>
      <c r="F2640" s="367">
        <v>1450</v>
      </c>
      <c r="G2640" s="367">
        <v>1100</v>
      </c>
      <c r="H2640" s="370" t="s">
        <v>25</v>
      </c>
      <c r="I2640" s="367" t="s">
        <v>13</v>
      </c>
      <c r="J2640" s="367" t="s">
        <v>13</v>
      </c>
      <c r="K2640" s="367" t="s">
        <v>13</v>
      </c>
      <c r="L2640" s="367" t="s">
        <v>13</v>
      </c>
      <c r="M2640" s="358" t="s">
        <v>14</v>
      </c>
      <c r="N2640" s="396" t="s">
        <v>447</v>
      </c>
      <c r="O2640" s="367" t="s">
        <v>27</v>
      </c>
      <c r="P2640" s="65"/>
      <c r="Q2640" s="367" t="s">
        <v>176</v>
      </c>
    </row>
    <row r="2641" spans="1:20" ht="15" customHeight="1" x14ac:dyDescent="0.3">
      <c r="A2641" s="368"/>
      <c r="B2641" s="368"/>
      <c r="C2641" s="41">
        <v>-14820</v>
      </c>
      <c r="D2641" s="371"/>
      <c r="E2641" s="368"/>
      <c r="F2641" s="368"/>
      <c r="G2641" s="368"/>
      <c r="H2641" s="371"/>
      <c r="I2641" s="368"/>
      <c r="J2641" s="368"/>
      <c r="K2641" s="368"/>
      <c r="L2641" s="368"/>
      <c r="M2641" s="359"/>
      <c r="N2641" s="397"/>
      <c r="O2641" s="368"/>
      <c r="P2641" s="226">
        <v>44066</v>
      </c>
      <c r="Q2641" s="368"/>
      <c r="T2641" s="200">
        <v>1</v>
      </c>
    </row>
    <row r="2642" spans="1:20" ht="15" customHeight="1" thickBot="1" x14ac:dyDescent="0.35">
      <c r="A2642" s="369"/>
      <c r="B2642" s="369"/>
      <c r="C2642" s="42">
        <v>25825</v>
      </c>
      <c r="D2642" s="372"/>
      <c r="E2642" s="369"/>
      <c r="F2642" s="369"/>
      <c r="G2642" s="369"/>
      <c r="H2642" s="372"/>
      <c r="I2642" s="369"/>
      <c r="J2642" s="369"/>
      <c r="K2642" s="369"/>
      <c r="L2642" s="369"/>
      <c r="M2642" s="360"/>
      <c r="N2642" s="398"/>
      <c r="O2642" s="369"/>
      <c r="P2642" s="67"/>
      <c r="Q2642" s="369"/>
    </row>
    <row r="2643" spans="1:20" ht="15" hidden="1" customHeight="1" x14ac:dyDescent="0.3">
      <c r="A2643" s="367">
        <v>737</v>
      </c>
      <c r="B2643" s="367" t="s">
        <v>174</v>
      </c>
      <c r="C2643" s="40">
        <v>-13306</v>
      </c>
      <c r="D2643" s="370">
        <v>0</v>
      </c>
      <c r="E2643" s="367" t="s">
        <v>13</v>
      </c>
      <c r="F2643" s="367">
        <v>1450</v>
      </c>
      <c r="G2643" s="367">
        <v>1100</v>
      </c>
      <c r="H2643" s="370" t="s">
        <v>25</v>
      </c>
      <c r="I2643" s="367" t="s">
        <v>13</v>
      </c>
      <c r="J2643" s="367" t="s">
        <v>13</v>
      </c>
      <c r="K2643" s="367" t="s">
        <v>13</v>
      </c>
      <c r="L2643" s="367" t="s">
        <v>13</v>
      </c>
      <c r="M2643" s="358" t="s">
        <v>14</v>
      </c>
      <c r="N2643" s="396" t="s">
        <v>447</v>
      </c>
      <c r="O2643" s="367" t="s">
        <v>27</v>
      </c>
      <c r="P2643" s="65"/>
      <c r="Q2643" s="367" t="s">
        <v>176</v>
      </c>
    </row>
    <row r="2644" spans="1:20" ht="15" customHeight="1" x14ac:dyDescent="0.3">
      <c r="A2644" s="368"/>
      <c r="B2644" s="368"/>
      <c r="C2644" s="41">
        <v>-14915</v>
      </c>
      <c r="D2644" s="371"/>
      <c r="E2644" s="368"/>
      <c r="F2644" s="368"/>
      <c r="G2644" s="368"/>
      <c r="H2644" s="371"/>
      <c r="I2644" s="368"/>
      <c r="J2644" s="368"/>
      <c r="K2644" s="368"/>
      <c r="L2644" s="368"/>
      <c r="M2644" s="359"/>
      <c r="N2644" s="397"/>
      <c r="O2644" s="368"/>
      <c r="P2644" s="226">
        <v>44066</v>
      </c>
      <c r="Q2644" s="368"/>
      <c r="T2644" s="200">
        <v>1</v>
      </c>
    </row>
    <row r="2645" spans="1:20" ht="15" customHeight="1" thickBot="1" x14ac:dyDescent="0.35">
      <c r="A2645" s="369"/>
      <c r="B2645" s="369"/>
      <c r="C2645" s="42">
        <v>25825</v>
      </c>
      <c r="D2645" s="372"/>
      <c r="E2645" s="369"/>
      <c r="F2645" s="369"/>
      <c r="G2645" s="369"/>
      <c r="H2645" s="372"/>
      <c r="I2645" s="369"/>
      <c r="J2645" s="369"/>
      <c r="K2645" s="369"/>
      <c r="L2645" s="369"/>
      <c r="M2645" s="360"/>
      <c r="N2645" s="398"/>
      <c r="O2645" s="369"/>
      <c r="P2645" s="67"/>
      <c r="Q2645" s="369"/>
    </row>
    <row r="2646" spans="1:20" ht="15" hidden="1" customHeight="1" x14ac:dyDescent="0.3">
      <c r="A2646" s="367">
        <v>738</v>
      </c>
      <c r="B2646" s="367" t="s">
        <v>174</v>
      </c>
      <c r="C2646" s="40">
        <v>-15846</v>
      </c>
      <c r="D2646" s="370">
        <v>0</v>
      </c>
      <c r="E2646" s="367" t="s">
        <v>13</v>
      </c>
      <c r="F2646" s="367">
        <v>1450</v>
      </c>
      <c r="G2646" s="367">
        <v>1100</v>
      </c>
      <c r="H2646" s="370" t="s">
        <v>25</v>
      </c>
      <c r="I2646" s="367" t="s">
        <v>13</v>
      </c>
      <c r="J2646" s="367" t="s">
        <v>13</v>
      </c>
      <c r="K2646" s="367" t="s">
        <v>13</v>
      </c>
      <c r="L2646" s="367" t="s">
        <v>13</v>
      </c>
      <c r="M2646" s="358" t="s">
        <v>14</v>
      </c>
      <c r="N2646" s="396" t="s">
        <v>437</v>
      </c>
      <c r="O2646" s="367" t="s">
        <v>27</v>
      </c>
      <c r="P2646" s="228">
        <v>44066</v>
      </c>
      <c r="Q2646" s="367" t="s">
        <v>176</v>
      </c>
    </row>
    <row r="2647" spans="1:20" ht="15" customHeight="1" x14ac:dyDescent="0.3">
      <c r="A2647" s="368"/>
      <c r="B2647" s="368"/>
      <c r="C2647" s="41">
        <v>-14540</v>
      </c>
      <c r="D2647" s="371"/>
      <c r="E2647" s="368"/>
      <c r="F2647" s="368"/>
      <c r="G2647" s="368"/>
      <c r="H2647" s="371"/>
      <c r="I2647" s="368"/>
      <c r="J2647" s="368"/>
      <c r="K2647" s="368"/>
      <c r="L2647" s="368"/>
      <c r="M2647" s="359"/>
      <c r="N2647" s="397"/>
      <c r="O2647" s="368"/>
      <c r="P2647" s="66"/>
      <c r="Q2647" s="368"/>
      <c r="T2647" s="200">
        <v>1</v>
      </c>
    </row>
    <row r="2648" spans="1:20" ht="15" customHeight="1" thickBot="1" x14ac:dyDescent="0.35">
      <c r="A2648" s="369"/>
      <c r="B2648" s="369"/>
      <c r="C2648" s="42">
        <v>25825</v>
      </c>
      <c r="D2648" s="372"/>
      <c r="E2648" s="369"/>
      <c r="F2648" s="369"/>
      <c r="G2648" s="369"/>
      <c r="H2648" s="372"/>
      <c r="I2648" s="369"/>
      <c r="J2648" s="369"/>
      <c r="K2648" s="369"/>
      <c r="L2648" s="369"/>
      <c r="M2648" s="360"/>
      <c r="N2648" s="398"/>
      <c r="O2648" s="369"/>
      <c r="P2648" s="67"/>
      <c r="Q2648" s="369"/>
    </row>
    <row r="2649" spans="1:20" ht="15" hidden="1" customHeight="1" x14ac:dyDescent="0.3">
      <c r="A2649" s="367">
        <v>739</v>
      </c>
      <c r="B2649" s="367" t="s">
        <v>174</v>
      </c>
      <c r="C2649" s="40">
        <v>-16101</v>
      </c>
      <c r="D2649" s="370">
        <v>0</v>
      </c>
      <c r="E2649" s="367" t="s">
        <v>13</v>
      </c>
      <c r="F2649" s="367">
        <v>1450</v>
      </c>
      <c r="G2649" s="367">
        <v>1100</v>
      </c>
      <c r="H2649" s="370" t="s">
        <v>25</v>
      </c>
      <c r="I2649" s="367" t="s">
        <v>13</v>
      </c>
      <c r="J2649" s="367" t="s">
        <v>13</v>
      </c>
      <c r="K2649" s="367" t="s">
        <v>13</v>
      </c>
      <c r="L2649" s="367" t="s">
        <v>13</v>
      </c>
      <c r="M2649" s="358" t="s">
        <v>14</v>
      </c>
      <c r="N2649" s="396" t="s">
        <v>437</v>
      </c>
      <c r="O2649" s="367" t="s">
        <v>27</v>
      </c>
      <c r="P2649" s="228">
        <v>44066</v>
      </c>
      <c r="Q2649" s="367" t="s">
        <v>176</v>
      </c>
    </row>
    <row r="2650" spans="1:20" ht="15" customHeight="1" x14ac:dyDescent="0.3">
      <c r="A2650" s="368"/>
      <c r="B2650" s="368"/>
      <c r="C2650" s="41">
        <v>-14250</v>
      </c>
      <c r="D2650" s="371"/>
      <c r="E2650" s="368"/>
      <c r="F2650" s="368"/>
      <c r="G2650" s="368"/>
      <c r="H2650" s="371"/>
      <c r="I2650" s="368"/>
      <c r="J2650" s="368"/>
      <c r="K2650" s="368"/>
      <c r="L2650" s="368"/>
      <c r="M2650" s="359"/>
      <c r="N2650" s="397"/>
      <c r="O2650" s="368"/>
      <c r="P2650" s="66"/>
      <c r="Q2650" s="368"/>
      <c r="T2650" s="200">
        <v>1</v>
      </c>
    </row>
    <row r="2651" spans="1:20" ht="15" customHeight="1" thickBot="1" x14ac:dyDescent="0.35">
      <c r="A2651" s="369"/>
      <c r="B2651" s="369"/>
      <c r="C2651" s="42">
        <v>25825</v>
      </c>
      <c r="D2651" s="372"/>
      <c r="E2651" s="369"/>
      <c r="F2651" s="369"/>
      <c r="G2651" s="369"/>
      <c r="H2651" s="372"/>
      <c r="I2651" s="369"/>
      <c r="J2651" s="369"/>
      <c r="K2651" s="369"/>
      <c r="L2651" s="369"/>
      <c r="M2651" s="360"/>
      <c r="N2651" s="398"/>
      <c r="O2651" s="369"/>
      <c r="P2651" s="67"/>
      <c r="Q2651" s="369"/>
    </row>
    <row r="2652" spans="1:20" ht="15" hidden="1" customHeight="1" x14ac:dyDescent="0.3">
      <c r="A2652" s="367">
        <v>740</v>
      </c>
      <c r="B2652" s="367" t="s">
        <v>174</v>
      </c>
      <c r="C2652" s="40">
        <v>-18911</v>
      </c>
      <c r="D2652" s="370">
        <v>0</v>
      </c>
      <c r="E2652" s="367" t="s">
        <v>13</v>
      </c>
      <c r="F2652" s="367">
        <v>1700</v>
      </c>
      <c r="G2652" s="367">
        <v>1530</v>
      </c>
      <c r="H2652" s="370" t="s">
        <v>25</v>
      </c>
      <c r="I2652" s="367" t="s">
        <v>13</v>
      </c>
      <c r="J2652" s="367" t="s">
        <v>13</v>
      </c>
      <c r="K2652" s="367" t="s">
        <v>13</v>
      </c>
      <c r="L2652" s="367" t="s">
        <v>13</v>
      </c>
      <c r="M2652" s="358" t="s">
        <v>14</v>
      </c>
      <c r="N2652" s="396" t="s">
        <v>437</v>
      </c>
      <c r="O2652" s="367" t="s">
        <v>27</v>
      </c>
      <c r="P2652" s="65"/>
      <c r="Q2652" s="367" t="s">
        <v>176</v>
      </c>
      <c r="T2652" s="200">
        <v>1</v>
      </c>
    </row>
    <row r="2653" spans="1:20" ht="15" customHeight="1" x14ac:dyDescent="0.3">
      <c r="A2653" s="368"/>
      <c r="B2653" s="368"/>
      <c r="C2653" s="41">
        <v>-10245</v>
      </c>
      <c r="D2653" s="371"/>
      <c r="E2653" s="368"/>
      <c r="F2653" s="368"/>
      <c r="G2653" s="368"/>
      <c r="H2653" s="371"/>
      <c r="I2653" s="368"/>
      <c r="J2653" s="368"/>
      <c r="K2653" s="368"/>
      <c r="L2653" s="368"/>
      <c r="M2653" s="359"/>
      <c r="N2653" s="397"/>
      <c r="O2653" s="368"/>
      <c r="P2653" s="226">
        <v>44066</v>
      </c>
      <c r="Q2653" s="368"/>
    </row>
    <row r="2654" spans="1:20" ht="15" customHeight="1" thickBot="1" x14ac:dyDescent="0.35">
      <c r="A2654" s="369"/>
      <c r="B2654" s="369"/>
      <c r="C2654" s="42">
        <v>25663</v>
      </c>
      <c r="D2654" s="372"/>
      <c r="E2654" s="369"/>
      <c r="F2654" s="369"/>
      <c r="G2654" s="369"/>
      <c r="H2654" s="372"/>
      <c r="I2654" s="369"/>
      <c r="J2654" s="369"/>
      <c r="K2654" s="369"/>
      <c r="L2654" s="369"/>
      <c r="M2654" s="360"/>
      <c r="N2654" s="398"/>
      <c r="O2654" s="369"/>
      <c r="P2654" s="67"/>
      <c r="Q2654" s="369"/>
    </row>
    <row r="2655" spans="1:20" ht="15" hidden="1" customHeight="1" x14ac:dyDescent="0.3">
      <c r="A2655" s="367">
        <v>741</v>
      </c>
      <c r="B2655" s="367" t="s">
        <v>174</v>
      </c>
      <c r="C2655" s="40">
        <v>-19091</v>
      </c>
      <c r="D2655" s="370">
        <v>0</v>
      </c>
      <c r="E2655" s="367" t="s">
        <v>13</v>
      </c>
      <c r="F2655" s="367">
        <v>1700</v>
      </c>
      <c r="G2655" s="367">
        <v>1530</v>
      </c>
      <c r="H2655" s="370" t="s">
        <v>25</v>
      </c>
      <c r="I2655" s="367" t="s">
        <v>13</v>
      </c>
      <c r="J2655" s="367" t="s">
        <v>13</v>
      </c>
      <c r="K2655" s="367" t="s">
        <v>13</v>
      </c>
      <c r="L2655" s="367" t="s">
        <v>13</v>
      </c>
      <c r="M2655" s="358" t="s">
        <v>14</v>
      </c>
      <c r="N2655" s="396" t="s">
        <v>437</v>
      </c>
      <c r="O2655" s="367" t="s">
        <v>27</v>
      </c>
      <c r="P2655" s="65"/>
      <c r="Q2655" s="367" t="s">
        <v>176</v>
      </c>
    </row>
    <row r="2656" spans="1:20" ht="15" customHeight="1" x14ac:dyDescent="0.3">
      <c r="A2656" s="368"/>
      <c r="B2656" s="368"/>
      <c r="C2656" s="41">
        <v>-9905</v>
      </c>
      <c r="D2656" s="371"/>
      <c r="E2656" s="368"/>
      <c r="F2656" s="368"/>
      <c r="G2656" s="368"/>
      <c r="H2656" s="371"/>
      <c r="I2656" s="368"/>
      <c r="J2656" s="368"/>
      <c r="K2656" s="368"/>
      <c r="L2656" s="368"/>
      <c r="M2656" s="359"/>
      <c r="N2656" s="397"/>
      <c r="O2656" s="368"/>
      <c r="P2656" s="226">
        <v>44066</v>
      </c>
      <c r="Q2656" s="368"/>
      <c r="T2656" s="200">
        <v>1</v>
      </c>
    </row>
    <row r="2657" spans="1:20" ht="15" customHeight="1" thickBot="1" x14ac:dyDescent="0.35">
      <c r="A2657" s="369"/>
      <c r="B2657" s="369"/>
      <c r="C2657" s="42">
        <v>25950</v>
      </c>
      <c r="D2657" s="372"/>
      <c r="E2657" s="369"/>
      <c r="F2657" s="369"/>
      <c r="G2657" s="369"/>
      <c r="H2657" s="372"/>
      <c r="I2657" s="369"/>
      <c r="J2657" s="369"/>
      <c r="K2657" s="369"/>
      <c r="L2657" s="369"/>
      <c r="M2657" s="360"/>
      <c r="N2657" s="398"/>
      <c r="O2657" s="369"/>
      <c r="P2657" s="67"/>
      <c r="Q2657" s="369"/>
    </row>
    <row r="2658" spans="1:20" ht="15" hidden="1" customHeight="1" x14ac:dyDescent="0.3">
      <c r="A2658" s="367">
        <v>742</v>
      </c>
      <c r="B2658" s="367" t="s">
        <v>174</v>
      </c>
      <c r="C2658" s="40">
        <v>-19380</v>
      </c>
      <c r="D2658" s="370">
        <v>0</v>
      </c>
      <c r="E2658" s="367" t="s">
        <v>13</v>
      </c>
      <c r="F2658" s="367">
        <v>1450</v>
      </c>
      <c r="G2658" s="367">
        <v>1100</v>
      </c>
      <c r="H2658" s="370" t="s">
        <v>25</v>
      </c>
      <c r="I2658" s="367" t="s">
        <v>13</v>
      </c>
      <c r="J2658" s="367" t="s">
        <v>13</v>
      </c>
      <c r="K2658" s="367" t="s">
        <v>13</v>
      </c>
      <c r="L2658" s="367" t="s">
        <v>13</v>
      </c>
      <c r="M2658" s="358" t="s">
        <v>14</v>
      </c>
      <c r="N2658" s="396" t="s">
        <v>437</v>
      </c>
      <c r="O2658" s="367" t="s">
        <v>27</v>
      </c>
      <c r="P2658" s="65"/>
      <c r="Q2658" s="367" t="s">
        <v>176</v>
      </c>
    </row>
    <row r="2659" spans="1:20" ht="15" customHeight="1" x14ac:dyDescent="0.3">
      <c r="A2659" s="368"/>
      <c r="B2659" s="368"/>
      <c r="C2659" s="41">
        <v>-3630</v>
      </c>
      <c r="D2659" s="371"/>
      <c r="E2659" s="368"/>
      <c r="F2659" s="368"/>
      <c r="G2659" s="368"/>
      <c r="H2659" s="371"/>
      <c r="I2659" s="368"/>
      <c r="J2659" s="368"/>
      <c r="K2659" s="368"/>
      <c r="L2659" s="368"/>
      <c r="M2659" s="359"/>
      <c r="N2659" s="397"/>
      <c r="O2659" s="368"/>
      <c r="P2659" s="226">
        <v>44066</v>
      </c>
      <c r="Q2659" s="368"/>
      <c r="T2659" s="200">
        <v>1</v>
      </c>
    </row>
    <row r="2660" spans="1:20" ht="15" customHeight="1" thickBot="1" x14ac:dyDescent="0.35">
      <c r="A2660" s="369"/>
      <c r="B2660" s="369"/>
      <c r="C2660" s="42">
        <v>25825</v>
      </c>
      <c r="D2660" s="372"/>
      <c r="E2660" s="369"/>
      <c r="F2660" s="369"/>
      <c r="G2660" s="369"/>
      <c r="H2660" s="372"/>
      <c r="I2660" s="369"/>
      <c r="J2660" s="369"/>
      <c r="K2660" s="369"/>
      <c r="L2660" s="369"/>
      <c r="M2660" s="360"/>
      <c r="N2660" s="398"/>
      <c r="O2660" s="369"/>
      <c r="P2660" s="67"/>
      <c r="Q2660" s="369"/>
    </row>
    <row r="2661" spans="1:20" ht="15" hidden="1" customHeight="1" x14ac:dyDescent="0.3">
      <c r="A2661" s="367">
        <v>743</v>
      </c>
      <c r="B2661" s="367" t="s">
        <v>270</v>
      </c>
      <c r="C2661" s="40">
        <v>7845</v>
      </c>
      <c r="D2661" s="367">
        <v>1</v>
      </c>
      <c r="E2661" s="367" t="s">
        <v>50</v>
      </c>
      <c r="F2661" s="367">
        <v>1450</v>
      </c>
      <c r="G2661" s="367">
        <v>1100</v>
      </c>
      <c r="H2661" s="367" t="s">
        <v>19</v>
      </c>
      <c r="I2661" s="367">
        <v>30</v>
      </c>
      <c r="J2661" s="370">
        <f>-0.01/-1.67</f>
        <v>5.9880239520958087E-3</v>
      </c>
      <c r="K2661" s="367">
        <v>0</v>
      </c>
      <c r="L2661" s="367">
        <v>48.5</v>
      </c>
      <c r="M2661" s="358" t="s">
        <v>14</v>
      </c>
      <c r="N2661" s="396" t="s">
        <v>437</v>
      </c>
      <c r="O2661" s="367" t="s">
        <v>27</v>
      </c>
      <c r="P2661" s="65"/>
      <c r="Q2661" s="367" t="s">
        <v>448</v>
      </c>
      <c r="T2661" s="200">
        <v>1</v>
      </c>
    </row>
    <row r="2662" spans="1:20" ht="15" customHeight="1" x14ac:dyDescent="0.3">
      <c r="A2662" s="368"/>
      <c r="B2662" s="368"/>
      <c r="C2662" s="41">
        <v>18945</v>
      </c>
      <c r="D2662" s="368"/>
      <c r="E2662" s="368"/>
      <c r="F2662" s="368"/>
      <c r="G2662" s="368"/>
      <c r="H2662" s="368"/>
      <c r="I2662" s="368"/>
      <c r="J2662" s="371"/>
      <c r="K2662" s="368"/>
      <c r="L2662" s="368"/>
      <c r="M2662" s="359"/>
      <c r="N2662" s="397"/>
      <c r="O2662" s="368"/>
      <c r="P2662" s="226">
        <v>44066</v>
      </c>
      <c r="Q2662" s="368"/>
    </row>
    <row r="2663" spans="1:20" ht="15" customHeight="1" thickBot="1" x14ac:dyDescent="0.35">
      <c r="A2663" s="369"/>
      <c r="B2663" s="369"/>
      <c r="C2663" s="42">
        <v>25825</v>
      </c>
      <c r="D2663" s="369"/>
      <c r="E2663" s="369"/>
      <c r="F2663" s="369"/>
      <c r="G2663" s="369"/>
      <c r="H2663" s="369"/>
      <c r="I2663" s="369"/>
      <c r="J2663" s="372"/>
      <c r="K2663" s="369"/>
      <c r="L2663" s="369"/>
      <c r="M2663" s="360"/>
      <c r="N2663" s="398"/>
      <c r="O2663" s="369"/>
      <c r="P2663" s="67"/>
      <c r="Q2663" s="369"/>
    </row>
    <row r="2664" spans="1:20" ht="15" hidden="1" customHeight="1" x14ac:dyDescent="0.3">
      <c r="A2664" s="367">
        <v>744</v>
      </c>
      <c r="B2664" s="367" t="s">
        <v>174</v>
      </c>
      <c r="C2664" s="40">
        <v>8665</v>
      </c>
      <c r="D2664" s="370">
        <v>0</v>
      </c>
      <c r="E2664" s="367" t="s">
        <v>13</v>
      </c>
      <c r="F2664" s="367">
        <v>1450</v>
      </c>
      <c r="G2664" s="367">
        <v>1100</v>
      </c>
      <c r="H2664" s="367" t="s">
        <v>19</v>
      </c>
      <c r="I2664" s="367" t="s">
        <v>13</v>
      </c>
      <c r="J2664" s="367" t="s">
        <v>13</v>
      </c>
      <c r="K2664" s="367" t="s">
        <v>13</v>
      </c>
      <c r="L2664" s="367" t="s">
        <v>13</v>
      </c>
      <c r="M2664" s="358" t="s">
        <v>14</v>
      </c>
      <c r="N2664" s="396" t="s">
        <v>443</v>
      </c>
      <c r="O2664" s="367" t="s">
        <v>27</v>
      </c>
      <c r="P2664" s="65"/>
      <c r="Q2664" s="367" t="s">
        <v>176</v>
      </c>
    </row>
    <row r="2665" spans="1:20" ht="15" customHeight="1" x14ac:dyDescent="0.3">
      <c r="A2665" s="368"/>
      <c r="B2665" s="368"/>
      <c r="C2665" s="41">
        <v>18605</v>
      </c>
      <c r="D2665" s="371"/>
      <c r="E2665" s="368"/>
      <c r="F2665" s="368"/>
      <c r="G2665" s="368"/>
      <c r="H2665" s="368"/>
      <c r="I2665" s="368"/>
      <c r="J2665" s="368"/>
      <c r="K2665" s="368"/>
      <c r="L2665" s="368"/>
      <c r="M2665" s="359"/>
      <c r="N2665" s="397"/>
      <c r="O2665" s="368"/>
      <c r="P2665" s="226">
        <v>44066</v>
      </c>
      <c r="Q2665" s="368"/>
      <c r="T2665" s="200">
        <v>1</v>
      </c>
    </row>
    <row r="2666" spans="1:20" ht="15" customHeight="1" thickBot="1" x14ac:dyDescent="0.35">
      <c r="A2666" s="369"/>
      <c r="B2666" s="369"/>
      <c r="C2666" s="42">
        <v>25825</v>
      </c>
      <c r="D2666" s="372"/>
      <c r="E2666" s="369"/>
      <c r="F2666" s="369"/>
      <c r="G2666" s="369"/>
      <c r="H2666" s="369"/>
      <c r="I2666" s="369"/>
      <c r="J2666" s="369"/>
      <c r="K2666" s="369"/>
      <c r="L2666" s="369"/>
      <c r="M2666" s="360"/>
      <c r="N2666" s="398"/>
      <c r="O2666" s="369"/>
      <c r="P2666" s="67"/>
      <c r="Q2666" s="369"/>
    </row>
    <row r="2667" spans="1:20" ht="15" hidden="1" customHeight="1" x14ac:dyDescent="0.3">
      <c r="A2667" s="367">
        <v>745</v>
      </c>
      <c r="B2667" s="367" t="s">
        <v>270</v>
      </c>
      <c r="C2667" s="40">
        <v>-7900</v>
      </c>
      <c r="D2667" s="367">
        <v>1</v>
      </c>
      <c r="E2667" s="367" t="s">
        <v>271</v>
      </c>
      <c r="F2667" s="367">
        <v>1450</v>
      </c>
      <c r="G2667" s="367">
        <v>1100</v>
      </c>
      <c r="H2667" s="367" t="s">
        <v>19</v>
      </c>
      <c r="I2667" s="367">
        <v>30</v>
      </c>
      <c r="J2667" s="370">
        <f>-0.16/-0.75</f>
        <v>0.21333333333333335</v>
      </c>
      <c r="K2667" s="367">
        <v>0</v>
      </c>
      <c r="L2667" s="367">
        <v>83.5</v>
      </c>
      <c r="M2667" s="358" t="s">
        <v>14</v>
      </c>
      <c r="N2667" s="396" t="s">
        <v>437</v>
      </c>
      <c r="O2667" s="367" t="s">
        <v>27</v>
      </c>
      <c r="P2667" s="65"/>
      <c r="Q2667" s="367" t="s">
        <v>449</v>
      </c>
      <c r="T2667" s="200">
        <v>1</v>
      </c>
    </row>
    <row r="2668" spans="1:20" ht="15" customHeight="1" x14ac:dyDescent="0.3">
      <c r="A2668" s="368"/>
      <c r="B2668" s="368"/>
      <c r="C2668" s="41">
        <v>-19440</v>
      </c>
      <c r="D2668" s="368"/>
      <c r="E2668" s="368"/>
      <c r="F2668" s="368"/>
      <c r="G2668" s="368"/>
      <c r="H2668" s="368"/>
      <c r="I2668" s="368"/>
      <c r="J2668" s="371"/>
      <c r="K2668" s="368"/>
      <c r="L2668" s="368"/>
      <c r="M2668" s="359"/>
      <c r="N2668" s="397"/>
      <c r="O2668" s="368"/>
      <c r="P2668" s="226">
        <v>44066</v>
      </c>
      <c r="Q2668" s="368"/>
    </row>
    <row r="2669" spans="1:20" ht="15" customHeight="1" thickBot="1" x14ac:dyDescent="0.35">
      <c r="A2669" s="369"/>
      <c r="B2669" s="369"/>
      <c r="C2669" s="42">
        <v>25825</v>
      </c>
      <c r="D2669" s="369"/>
      <c r="E2669" s="369"/>
      <c r="F2669" s="369"/>
      <c r="G2669" s="369"/>
      <c r="H2669" s="369"/>
      <c r="I2669" s="369"/>
      <c r="J2669" s="372"/>
      <c r="K2669" s="369"/>
      <c r="L2669" s="369"/>
      <c r="M2669" s="360"/>
      <c r="N2669" s="398"/>
      <c r="O2669" s="369"/>
      <c r="P2669" s="67"/>
      <c r="Q2669" s="369"/>
    </row>
    <row r="2670" spans="1:20" ht="15" hidden="1" customHeight="1" x14ac:dyDescent="0.3">
      <c r="A2670" s="367">
        <v>746</v>
      </c>
      <c r="B2670" s="367" t="s">
        <v>174</v>
      </c>
      <c r="C2670" s="40">
        <v>16380</v>
      </c>
      <c r="D2670" s="370">
        <v>0</v>
      </c>
      <c r="E2670" s="367" t="s">
        <v>13</v>
      </c>
      <c r="F2670" s="367">
        <v>1450</v>
      </c>
      <c r="G2670" s="367">
        <v>1100</v>
      </c>
      <c r="H2670" s="367" t="s">
        <v>50</v>
      </c>
      <c r="I2670" s="367" t="s">
        <v>13</v>
      </c>
      <c r="J2670" s="367" t="s">
        <v>13</v>
      </c>
      <c r="K2670" s="367" t="s">
        <v>13</v>
      </c>
      <c r="L2670" s="367" t="s">
        <v>13</v>
      </c>
      <c r="M2670" s="358" t="s">
        <v>14</v>
      </c>
      <c r="N2670" s="396" t="s">
        <v>442</v>
      </c>
      <c r="O2670" s="367" t="s">
        <v>27</v>
      </c>
      <c r="P2670" s="65"/>
      <c r="Q2670" s="367" t="s">
        <v>176</v>
      </c>
    </row>
    <row r="2671" spans="1:20" ht="15" customHeight="1" x14ac:dyDescent="0.3">
      <c r="A2671" s="368"/>
      <c r="B2671" s="368"/>
      <c r="C2671" s="41">
        <v>11715</v>
      </c>
      <c r="D2671" s="371"/>
      <c r="E2671" s="368"/>
      <c r="F2671" s="368"/>
      <c r="G2671" s="368"/>
      <c r="H2671" s="368"/>
      <c r="I2671" s="368"/>
      <c r="J2671" s="368"/>
      <c r="K2671" s="368"/>
      <c r="L2671" s="368"/>
      <c r="M2671" s="359"/>
      <c r="N2671" s="397"/>
      <c r="O2671" s="368"/>
      <c r="P2671" s="226">
        <v>44066</v>
      </c>
      <c r="Q2671" s="368"/>
      <c r="T2671" s="200">
        <v>1</v>
      </c>
    </row>
    <row r="2672" spans="1:20" ht="15" customHeight="1" thickBot="1" x14ac:dyDescent="0.35">
      <c r="A2672" s="369"/>
      <c r="B2672" s="369"/>
      <c r="C2672" s="42">
        <v>25825</v>
      </c>
      <c r="D2672" s="372"/>
      <c r="E2672" s="369"/>
      <c r="F2672" s="369"/>
      <c r="G2672" s="369"/>
      <c r="H2672" s="369"/>
      <c r="I2672" s="369"/>
      <c r="J2672" s="369"/>
      <c r="K2672" s="369"/>
      <c r="L2672" s="369"/>
      <c r="M2672" s="360"/>
      <c r="N2672" s="398"/>
      <c r="O2672" s="369"/>
      <c r="P2672" s="67"/>
      <c r="Q2672" s="369"/>
    </row>
    <row r="2673" spans="1:20" ht="15" hidden="1" customHeight="1" x14ac:dyDescent="0.3">
      <c r="A2673" s="367">
        <v>747</v>
      </c>
      <c r="B2673" s="367" t="s">
        <v>65</v>
      </c>
      <c r="C2673" s="40">
        <v>18510</v>
      </c>
      <c r="D2673" s="367">
        <v>1</v>
      </c>
      <c r="E2673" s="367" t="s">
        <v>49</v>
      </c>
      <c r="F2673" s="367">
        <v>1450</v>
      </c>
      <c r="G2673" s="367">
        <v>1100</v>
      </c>
      <c r="H2673" s="367" t="s">
        <v>50</v>
      </c>
      <c r="I2673" s="367">
        <v>150</v>
      </c>
      <c r="J2673" s="370" t="s">
        <v>45</v>
      </c>
      <c r="K2673" s="367">
        <v>40</v>
      </c>
      <c r="L2673" s="367">
        <v>-19.5</v>
      </c>
      <c r="M2673" s="358" t="s">
        <v>14</v>
      </c>
      <c r="N2673" s="396" t="s">
        <v>442</v>
      </c>
      <c r="O2673" s="367" t="s">
        <v>27</v>
      </c>
      <c r="P2673" s="243"/>
      <c r="Q2673" s="367" t="s">
        <v>243</v>
      </c>
      <c r="T2673" s="200">
        <v>1</v>
      </c>
    </row>
    <row r="2674" spans="1:20" ht="15" customHeight="1" x14ac:dyDescent="0.3">
      <c r="A2674" s="368"/>
      <c r="B2674" s="368"/>
      <c r="C2674" s="41">
        <v>2225</v>
      </c>
      <c r="D2674" s="368"/>
      <c r="E2674" s="368"/>
      <c r="F2674" s="368"/>
      <c r="G2674" s="368"/>
      <c r="H2674" s="368"/>
      <c r="I2674" s="368"/>
      <c r="J2674" s="371"/>
      <c r="K2674" s="368"/>
      <c r="L2674" s="368"/>
      <c r="M2674" s="359"/>
      <c r="N2674" s="397"/>
      <c r="O2674" s="368"/>
      <c r="P2674" s="226">
        <v>44080</v>
      </c>
      <c r="Q2674" s="368"/>
      <c r="R2674" s="186">
        <v>44080</v>
      </c>
    </row>
    <row r="2675" spans="1:20" ht="15" customHeight="1" thickBot="1" x14ac:dyDescent="0.35">
      <c r="A2675" s="369"/>
      <c r="B2675" s="369"/>
      <c r="C2675" s="42">
        <v>25825</v>
      </c>
      <c r="D2675" s="369"/>
      <c r="E2675" s="369"/>
      <c r="F2675" s="369"/>
      <c r="G2675" s="369"/>
      <c r="H2675" s="369"/>
      <c r="I2675" s="369"/>
      <c r="J2675" s="372"/>
      <c r="K2675" s="369"/>
      <c r="L2675" s="369"/>
      <c r="M2675" s="360"/>
      <c r="N2675" s="398"/>
      <c r="O2675" s="369"/>
      <c r="P2675" s="244"/>
      <c r="Q2675" s="369"/>
    </row>
    <row r="2676" spans="1:20" ht="15" hidden="1" customHeight="1" x14ac:dyDescent="0.3">
      <c r="A2676" s="370">
        <v>748</v>
      </c>
      <c r="B2676" s="370" t="s">
        <v>191</v>
      </c>
      <c r="C2676" s="37">
        <v>18720</v>
      </c>
      <c r="D2676" s="370">
        <v>1</v>
      </c>
      <c r="E2676" s="370" t="s">
        <v>168</v>
      </c>
      <c r="F2676" s="370">
        <v>1650</v>
      </c>
      <c r="G2676" s="370">
        <v>1400</v>
      </c>
      <c r="H2676" s="367" t="s">
        <v>50</v>
      </c>
      <c r="I2676" s="370">
        <v>150</v>
      </c>
      <c r="J2676" s="370" t="s">
        <v>45</v>
      </c>
      <c r="K2676" s="370">
        <v>30</v>
      </c>
      <c r="L2676" s="367">
        <v>12</v>
      </c>
      <c r="M2676" s="358" t="s">
        <v>14</v>
      </c>
      <c r="N2676" s="396" t="s">
        <v>442</v>
      </c>
      <c r="O2676" s="367" t="s">
        <v>27</v>
      </c>
      <c r="P2676" s="243"/>
      <c r="Q2676" s="367" t="s">
        <v>450</v>
      </c>
      <c r="T2676" s="200">
        <v>1</v>
      </c>
    </row>
    <row r="2677" spans="1:20" ht="15" customHeight="1" x14ac:dyDescent="0.3">
      <c r="A2677" s="371"/>
      <c r="B2677" s="371"/>
      <c r="C2677" s="38">
        <v>8480</v>
      </c>
      <c r="D2677" s="371"/>
      <c r="E2677" s="371"/>
      <c r="F2677" s="371"/>
      <c r="G2677" s="371"/>
      <c r="H2677" s="368"/>
      <c r="I2677" s="371"/>
      <c r="J2677" s="371"/>
      <c r="K2677" s="371"/>
      <c r="L2677" s="368"/>
      <c r="M2677" s="359"/>
      <c r="N2677" s="397"/>
      <c r="O2677" s="368"/>
      <c r="P2677" s="226">
        <v>44080</v>
      </c>
      <c r="Q2677" s="368"/>
      <c r="R2677" s="186">
        <v>44080</v>
      </c>
    </row>
    <row r="2678" spans="1:20" ht="15" customHeight="1" thickBot="1" x14ac:dyDescent="0.35">
      <c r="A2678" s="372"/>
      <c r="B2678" s="372"/>
      <c r="C2678" s="39">
        <v>25925</v>
      </c>
      <c r="D2678" s="372"/>
      <c r="E2678" s="372"/>
      <c r="F2678" s="372"/>
      <c r="G2678" s="372"/>
      <c r="H2678" s="369"/>
      <c r="I2678" s="372"/>
      <c r="J2678" s="372"/>
      <c r="K2678" s="372"/>
      <c r="L2678" s="369"/>
      <c r="M2678" s="360"/>
      <c r="N2678" s="398"/>
      <c r="O2678" s="369"/>
      <c r="P2678" s="244"/>
      <c r="Q2678" s="369"/>
    </row>
    <row r="2679" spans="1:20" ht="15" hidden="1" customHeight="1" x14ac:dyDescent="0.3">
      <c r="A2679" s="370">
        <v>749</v>
      </c>
      <c r="B2679" s="370" t="s">
        <v>191</v>
      </c>
      <c r="C2679" s="40">
        <v>19150</v>
      </c>
      <c r="D2679" s="370">
        <v>1</v>
      </c>
      <c r="E2679" s="367" t="s">
        <v>168</v>
      </c>
      <c r="F2679" s="367">
        <v>1650</v>
      </c>
      <c r="G2679" s="370">
        <v>1400</v>
      </c>
      <c r="H2679" s="367" t="s">
        <v>50</v>
      </c>
      <c r="I2679" s="367">
        <v>150</v>
      </c>
      <c r="J2679" s="370" t="s">
        <v>45</v>
      </c>
      <c r="K2679" s="367">
        <v>30</v>
      </c>
      <c r="L2679" s="367">
        <v>12</v>
      </c>
      <c r="M2679" s="358" t="s">
        <v>14</v>
      </c>
      <c r="N2679" s="396" t="s">
        <v>442</v>
      </c>
      <c r="O2679" s="367" t="s">
        <v>27</v>
      </c>
      <c r="P2679" s="243"/>
      <c r="Q2679" s="367" t="s">
        <v>450</v>
      </c>
      <c r="T2679" s="200">
        <v>1</v>
      </c>
    </row>
    <row r="2680" spans="1:20" ht="15" customHeight="1" x14ac:dyDescent="0.3">
      <c r="A2680" s="371"/>
      <c r="B2680" s="371"/>
      <c r="C2680" s="41">
        <v>7775</v>
      </c>
      <c r="D2680" s="371"/>
      <c r="E2680" s="368"/>
      <c r="F2680" s="368"/>
      <c r="G2680" s="371"/>
      <c r="H2680" s="368"/>
      <c r="I2680" s="368"/>
      <c r="J2680" s="371"/>
      <c r="K2680" s="368"/>
      <c r="L2680" s="368"/>
      <c r="M2680" s="359"/>
      <c r="N2680" s="397"/>
      <c r="O2680" s="368"/>
      <c r="P2680" s="226">
        <v>44080</v>
      </c>
      <c r="Q2680" s="368"/>
      <c r="R2680" s="186">
        <v>44080</v>
      </c>
    </row>
    <row r="2681" spans="1:20" ht="15" customHeight="1" thickBot="1" x14ac:dyDescent="0.35">
      <c r="A2681" s="372"/>
      <c r="B2681" s="372"/>
      <c r="C2681" s="42">
        <v>25925</v>
      </c>
      <c r="D2681" s="372"/>
      <c r="E2681" s="369"/>
      <c r="F2681" s="369"/>
      <c r="G2681" s="372"/>
      <c r="H2681" s="369"/>
      <c r="I2681" s="369"/>
      <c r="J2681" s="372"/>
      <c r="K2681" s="369"/>
      <c r="L2681" s="369"/>
      <c r="M2681" s="360"/>
      <c r="N2681" s="398"/>
      <c r="O2681" s="369"/>
      <c r="P2681" s="244"/>
      <c r="Q2681" s="369"/>
    </row>
    <row r="2682" spans="1:20" ht="15" hidden="1" customHeight="1" x14ac:dyDescent="0.3">
      <c r="A2682" s="367">
        <v>750</v>
      </c>
      <c r="B2682" s="367" t="s">
        <v>174</v>
      </c>
      <c r="C2682" s="40">
        <v>20815</v>
      </c>
      <c r="D2682" s="370">
        <v>0</v>
      </c>
      <c r="E2682" s="367" t="s">
        <v>13</v>
      </c>
      <c r="F2682" s="367">
        <v>1650</v>
      </c>
      <c r="G2682" s="370">
        <v>1400</v>
      </c>
      <c r="H2682" s="367" t="s">
        <v>50</v>
      </c>
      <c r="I2682" s="367" t="s">
        <v>13</v>
      </c>
      <c r="J2682" s="367" t="s">
        <v>13</v>
      </c>
      <c r="K2682" s="367" t="s">
        <v>13</v>
      </c>
      <c r="L2682" s="367" t="s">
        <v>13</v>
      </c>
      <c r="M2682" s="358" t="s">
        <v>14</v>
      </c>
      <c r="N2682" s="396" t="s">
        <v>442</v>
      </c>
      <c r="O2682" s="367" t="s">
        <v>27</v>
      </c>
      <c r="P2682" s="65"/>
      <c r="Q2682" s="367" t="s">
        <v>176</v>
      </c>
    </row>
    <row r="2683" spans="1:20" ht="15" customHeight="1" x14ac:dyDescent="0.3">
      <c r="A2683" s="368"/>
      <c r="B2683" s="368"/>
      <c r="C2683" s="41">
        <v>4755</v>
      </c>
      <c r="D2683" s="371"/>
      <c r="E2683" s="368"/>
      <c r="F2683" s="368"/>
      <c r="G2683" s="371"/>
      <c r="H2683" s="368"/>
      <c r="I2683" s="368"/>
      <c r="J2683" s="368"/>
      <c r="K2683" s="368"/>
      <c r="L2683" s="368"/>
      <c r="M2683" s="359"/>
      <c r="N2683" s="397"/>
      <c r="O2683" s="368"/>
      <c r="P2683" s="226">
        <v>44066</v>
      </c>
      <c r="Q2683" s="368"/>
      <c r="T2683" s="200">
        <v>1</v>
      </c>
    </row>
    <row r="2684" spans="1:20" ht="15" customHeight="1" thickBot="1" x14ac:dyDescent="0.35">
      <c r="A2684" s="369"/>
      <c r="B2684" s="369"/>
      <c r="C2684" s="42">
        <v>25925</v>
      </c>
      <c r="D2684" s="372"/>
      <c r="E2684" s="369"/>
      <c r="F2684" s="369"/>
      <c r="G2684" s="372"/>
      <c r="H2684" s="369"/>
      <c r="I2684" s="369"/>
      <c r="J2684" s="369"/>
      <c r="K2684" s="369"/>
      <c r="L2684" s="369"/>
      <c r="M2684" s="360"/>
      <c r="N2684" s="398"/>
      <c r="O2684" s="369"/>
      <c r="P2684" s="67"/>
      <c r="Q2684" s="369"/>
    </row>
    <row r="2685" spans="1:20" ht="15" hidden="1" customHeight="1" x14ac:dyDescent="0.3">
      <c r="A2685" s="367">
        <v>751</v>
      </c>
      <c r="B2685" s="367" t="s">
        <v>174</v>
      </c>
      <c r="C2685" s="40">
        <v>-17750</v>
      </c>
      <c r="D2685" s="370">
        <v>0</v>
      </c>
      <c r="E2685" s="367" t="s">
        <v>13</v>
      </c>
      <c r="F2685" s="367">
        <v>1650</v>
      </c>
      <c r="G2685" s="370">
        <v>1400</v>
      </c>
      <c r="H2685" s="367" t="s">
        <v>50</v>
      </c>
      <c r="I2685" s="367" t="s">
        <v>13</v>
      </c>
      <c r="J2685" s="367" t="s">
        <v>13</v>
      </c>
      <c r="K2685" s="367" t="s">
        <v>13</v>
      </c>
      <c r="L2685" s="367" t="s">
        <v>13</v>
      </c>
      <c r="M2685" s="358" t="s">
        <v>14</v>
      </c>
      <c r="N2685" s="396" t="s">
        <v>437</v>
      </c>
      <c r="O2685" s="367" t="s">
        <v>27</v>
      </c>
      <c r="P2685" s="65"/>
      <c r="Q2685" s="367" t="s">
        <v>176</v>
      </c>
    </row>
    <row r="2686" spans="1:20" ht="15" customHeight="1" x14ac:dyDescent="0.3">
      <c r="A2686" s="368"/>
      <c r="B2686" s="368"/>
      <c r="C2686" s="41">
        <v>11575</v>
      </c>
      <c r="D2686" s="371"/>
      <c r="E2686" s="368"/>
      <c r="F2686" s="368"/>
      <c r="G2686" s="371"/>
      <c r="H2686" s="368"/>
      <c r="I2686" s="368"/>
      <c r="J2686" s="368"/>
      <c r="K2686" s="368"/>
      <c r="L2686" s="368"/>
      <c r="M2686" s="359"/>
      <c r="N2686" s="397"/>
      <c r="O2686" s="368"/>
      <c r="P2686" s="226">
        <v>44066</v>
      </c>
      <c r="Q2686" s="368"/>
    </row>
    <row r="2687" spans="1:20" ht="15" customHeight="1" thickBot="1" x14ac:dyDescent="0.35">
      <c r="A2687" s="369"/>
      <c r="B2687" s="369"/>
      <c r="C2687" s="42">
        <v>25925</v>
      </c>
      <c r="D2687" s="372"/>
      <c r="E2687" s="369"/>
      <c r="F2687" s="369"/>
      <c r="G2687" s="372"/>
      <c r="H2687" s="369"/>
      <c r="I2687" s="369"/>
      <c r="J2687" s="369"/>
      <c r="K2687" s="369"/>
      <c r="L2687" s="369"/>
      <c r="M2687" s="360"/>
      <c r="N2687" s="398"/>
      <c r="O2687" s="369"/>
      <c r="P2687" s="67"/>
      <c r="Q2687" s="369"/>
      <c r="T2687" s="200">
        <v>1</v>
      </c>
    </row>
    <row r="2688" spans="1:20" ht="15" hidden="1" customHeight="1" x14ac:dyDescent="0.3">
      <c r="A2688" s="367">
        <v>752</v>
      </c>
      <c r="B2688" s="367" t="s">
        <v>174</v>
      </c>
      <c r="C2688" s="40">
        <v>-18995</v>
      </c>
      <c r="D2688" s="370">
        <v>0</v>
      </c>
      <c r="E2688" s="367" t="s">
        <v>13</v>
      </c>
      <c r="F2688" s="367">
        <v>1650</v>
      </c>
      <c r="G2688" s="370">
        <v>1400</v>
      </c>
      <c r="H2688" s="367" t="s">
        <v>50</v>
      </c>
      <c r="I2688" s="367" t="s">
        <v>13</v>
      </c>
      <c r="J2688" s="367" t="s">
        <v>13</v>
      </c>
      <c r="K2688" s="367" t="s">
        <v>13</v>
      </c>
      <c r="L2688" s="367" t="s">
        <v>13</v>
      </c>
      <c r="M2688" s="358" t="s">
        <v>14</v>
      </c>
      <c r="N2688" s="396" t="s">
        <v>437</v>
      </c>
      <c r="O2688" s="367" t="s">
        <v>27</v>
      </c>
      <c r="P2688" s="65"/>
      <c r="Q2688" s="367" t="s">
        <v>176</v>
      </c>
    </row>
    <row r="2689" spans="1:20" ht="15" customHeight="1" x14ac:dyDescent="0.3">
      <c r="A2689" s="368"/>
      <c r="B2689" s="368"/>
      <c r="C2689" s="41">
        <v>8210</v>
      </c>
      <c r="D2689" s="371"/>
      <c r="E2689" s="368"/>
      <c r="F2689" s="368"/>
      <c r="G2689" s="371"/>
      <c r="H2689" s="368"/>
      <c r="I2689" s="368"/>
      <c r="J2689" s="368"/>
      <c r="K2689" s="368"/>
      <c r="L2689" s="368"/>
      <c r="M2689" s="359"/>
      <c r="N2689" s="397"/>
      <c r="O2689" s="368"/>
      <c r="P2689" s="226">
        <v>44066</v>
      </c>
      <c r="Q2689" s="368"/>
      <c r="T2689" s="200">
        <v>1</v>
      </c>
    </row>
    <row r="2690" spans="1:20" ht="15" customHeight="1" thickBot="1" x14ac:dyDescent="0.35">
      <c r="A2690" s="369"/>
      <c r="B2690" s="369"/>
      <c r="C2690" s="42">
        <v>25925</v>
      </c>
      <c r="D2690" s="372"/>
      <c r="E2690" s="369"/>
      <c r="F2690" s="369"/>
      <c r="G2690" s="372"/>
      <c r="H2690" s="369"/>
      <c r="I2690" s="369"/>
      <c r="J2690" s="369"/>
      <c r="K2690" s="369"/>
      <c r="L2690" s="369"/>
      <c r="M2690" s="360"/>
      <c r="N2690" s="398"/>
      <c r="O2690" s="369"/>
      <c r="P2690" s="67"/>
      <c r="Q2690" s="369"/>
    </row>
    <row r="2691" spans="1:20" ht="15" hidden="1" customHeight="1" x14ac:dyDescent="0.3">
      <c r="A2691" s="367">
        <v>753</v>
      </c>
      <c r="B2691" s="367" t="s">
        <v>174</v>
      </c>
      <c r="C2691" s="37">
        <v>-19375</v>
      </c>
      <c r="D2691" s="370">
        <v>0</v>
      </c>
      <c r="E2691" s="370" t="s">
        <v>13</v>
      </c>
      <c r="F2691" s="370">
        <v>1650</v>
      </c>
      <c r="G2691" s="370">
        <v>1400</v>
      </c>
      <c r="H2691" s="367" t="s">
        <v>50</v>
      </c>
      <c r="I2691" s="370" t="s">
        <v>13</v>
      </c>
      <c r="J2691" s="370" t="s">
        <v>13</v>
      </c>
      <c r="K2691" s="370" t="s">
        <v>13</v>
      </c>
      <c r="L2691" s="370" t="s">
        <v>13</v>
      </c>
      <c r="M2691" s="358" t="s">
        <v>14</v>
      </c>
      <c r="N2691" s="367" t="s">
        <v>437</v>
      </c>
      <c r="O2691" s="367" t="s">
        <v>27</v>
      </c>
      <c r="P2691" s="65"/>
      <c r="Q2691" s="367" t="s">
        <v>176</v>
      </c>
    </row>
    <row r="2692" spans="1:20" ht="15" customHeight="1" x14ac:dyDescent="0.3">
      <c r="A2692" s="368"/>
      <c r="B2692" s="368"/>
      <c r="C2692" s="38">
        <v>7520</v>
      </c>
      <c r="D2692" s="371"/>
      <c r="E2692" s="371"/>
      <c r="F2692" s="371"/>
      <c r="G2692" s="371"/>
      <c r="H2692" s="368"/>
      <c r="I2692" s="371"/>
      <c r="J2692" s="371"/>
      <c r="K2692" s="371"/>
      <c r="L2692" s="371"/>
      <c r="M2692" s="359"/>
      <c r="N2692" s="368"/>
      <c r="O2692" s="368"/>
      <c r="P2692" s="226">
        <v>44066</v>
      </c>
      <c r="Q2692" s="368"/>
      <c r="T2692" s="200">
        <v>1</v>
      </c>
    </row>
    <row r="2693" spans="1:20" ht="15" customHeight="1" thickBot="1" x14ac:dyDescent="0.35">
      <c r="A2693" s="369"/>
      <c r="B2693" s="369"/>
      <c r="C2693" s="39">
        <v>25925</v>
      </c>
      <c r="D2693" s="372"/>
      <c r="E2693" s="372"/>
      <c r="F2693" s="372"/>
      <c r="G2693" s="372"/>
      <c r="H2693" s="369"/>
      <c r="I2693" s="372"/>
      <c r="J2693" s="372"/>
      <c r="K2693" s="372"/>
      <c r="L2693" s="372"/>
      <c r="M2693" s="360"/>
      <c r="N2693" s="369"/>
      <c r="O2693" s="369"/>
      <c r="P2693" s="67"/>
      <c r="Q2693" s="369"/>
    </row>
    <row r="2694" spans="1:20" ht="15" hidden="1" customHeight="1" x14ac:dyDescent="0.3">
      <c r="A2694" s="376">
        <v>754</v>
      </c>
      <c r="B2694" s="376" t="s">
        <v>446</v>
      </c>
      <c r="C2694" s="58">
        <v>-20915</v>
      </c>
      <c r="D2694" s="376">
        <v>1</v>
      </c>
      <c r="E2694" s="376" t="s">
        <v>255</v>
      </c>
      <c r="F2694" s="376">
        <v>1650</v>
      </c>
      <c r="G2694" s="376">
        <v>1400</v>
      </c>
      <c r="H2694" s="373" t="s">
        <v>50</v>
      </c>
      <c r="I2694" s="376">
        <v>90</v>
      </c>
      <c r="J2694" s="376" t="s">
        <v>45</v>
      </c>
      <c r="K2694" s="376">
        <v>30</v>
      </c>
      <c r="L2694" s="373">
        <v>6.5</v>
      </c>
      <c r="M2694" s="379" t="s">
        <v>14</v>
      </c>
      <c r="N2694" s="373" t="s">
        <v>437</v>
      </c>
      <c r="O2694" s="373" t="s">
        <v>27</v>
      </c>
      <c r="P2694" s="271"/>
      <c r="Q2694" s="373" t="s">
        <v>451</v>
      </c>
    </row>
    <row r="2695" spans="1:20" ht="15" customHeight="1" x14ac:dyDescent="0.3">
      <c r="A2695" s="377"/>
      <c r="B2695" s="377"/>
      <c r="C2695" s="59">
        <v>4605</v>
      </c>
      <c r="D2695" s="377"/>
      <c r="E2695" s="377"/>
      <c r="F2695" s="377"/>
      <c r="G2695" s="377"/>
      <c r="H2695" s="374"/>
      <c r="I2695" s="377"/>
      <c r="J2695" s="377"/>
      <c r="K2695" s="377"/>
      <c r="L2695" s="374"/>
      <c r="M2695" s="380"/>
      <c r="N2695" s="374"/>
      <c r="O2695" s="374"/>
      <c r="P2695" s="240">
        <v>44090</v>
      </c>
      <c r="Q2695" s="374"/>
    </row>
    <row r="2696" spans="1:20" ht="15" customHeight="1" thickBot="1" x14ac:dyDescent="0.35">
      <c r="A2696" s="378"/>
      <c r="B2696" s="378"/>
      <c r="C2696" s="57">
        <v>25925</v>
      </c>
      <c r="D2696" s="378"/>
      <c r="E2696" s="378"/>
      <c r="F2696" s="378"/>
      <c r="G2696" s="378"/>
      <c r="H2696" s="375"/>
      <c r="I2696" s="378"/>
      <c r="J2696" s="378"/>
      <c r="K2696" s="378"/>
      <c r="L2696" s="375"/>
      <c r="M2696" s="381"/>
      <c r="N2696" s="375"/>
      <c r="O2696" s="375"/>
      <c r="P2696" s="273"/>
      <c r="Q2696" s="375"/>
      <c r="T2696" s="288">
        <v>1</v>
      </c>
    </row>
    <row r="2697" spans="1:20" ht="15" hidden="1" customHeight="1" x14ac:dyDescent="0.3">
      <c r="A2697" s="367">
        <v>755</v>
      </c>
      <c r="B2697" s="367" t="s">
        <v>174</v>
      </c>
      <c r="C2697" s="40">
        <v>17370</v>
      </c>
      <c r="D2697" s="370">
        <v>0</v>
      </c>
      <c r="E2697" s="367" t="s">
        <v>13</v>
      </c>
      <c r="F2697" s="367">
        <v>1650</v>
      </c>
      <c r="G2697" s="367">
        <v>1400</v>
      </c>
      <c r="H2697" s="367" t="s">
        <v>25</v>
      </c>
      <c r="I2697" s="367" t="s">
        <v>13</v>
      </c>
      <c r="J2697" s="367" t="s">
        <v>13</v>
      </c>
      <c r="K2697" s="367" t="s">
        <v>13</v>
      </c>
      <c r="L2697" s="367" t="s">
        <v>13</v>
      </c>
      <c r="M2697" s="358" t="s">
        <v>14</v>
      </c>
      <c r="N2697" s="367" t="s">
        <v>442</v>
      </c>
      <c r="O2697" s="367" t="s">
        <v>27</v>
      </c>
      <c r="P2697" s="228">
        <v>44066</v>
      </c>
      <c r="Q2697" s="367" t="s">
        <v>176</v>
      </c>
      <c r="R2697" s="186">
        <v>44066</v>
      </c>
    </row>
    <row r="2698" spans="1:20" ht="15" customHeight="1" x14ac:dyDescent="0.3">
      <c r="A2698" s="368"/>
      <c r="B2698" s="368"/>
      <c r="C2698" s="41">
        <v>11940</v>
      </c>
      <c r="D2698" s="371"/>
      <c r="E2698" s="368"/>
      <c r="F2698" s="368"/>
      <c r="G2698" s="368"/>
      <c r="H2698" s="368"/>
      <c r="I2698" s="368"/>
      <c r="J2698" s="368"/>
      <c r="K2698" s="368"/>
      <c r="L2698" s="368"/>
      <c r="M2698" s="359"/>
      <c r="N2698" s="368"/>
      <c r="O2698" s="368"/>
      <c r="P2698" s="202"/>
      <c r="Q2698" s="368"/>
    </row>
    <row r="2699" spans="1:20" ht="15" customHeight="1" thickBot="1" x14ac:dyDescent="0.35">
      <c r="A2699" s="369"/>
      <c r="B2699" s="369"/>
      <c r="C2699" s="42">
        <v>25925</v>
      </c>
      <c r="D2699" s="372"/>
      <c r="E2699" s="369"/>
      <c r="F2699" s="369"/>
      <c r="G2699" s="369"/>
      <c r="H2699" s="369"/>
      <c r="I2699" s="369"/>
      <c r="J2699" s="369"/>
      <c r="K2699" s="369"/>
      <c r="L2699" s="369"/>
      <c r="M2699" s="360"/>
      <c r="N2699" s="369"/>
      <c r="O2699" s="369"/>
      <c r="P2699" s="203"/>
      <c r="Q2699" s="369"/>
      <c r="T2699" s="200">
        <v>1</v>
      </c>
    </row>
    <row r="2700" spans="1:20" ht="15" hidden="1" customHeight="1" x14ac:dyDescent="0.3">
      <c r="A2700" s="367">
        <v>756</v>
      </c>
      <c r="B2700" s="367" t="s">
        <v>174</v>
      </c>
      <c r="C2700" s="37">
        <v>18030</v>
      </c>
      <c r="D2700" s="370">
        <v>0</v>
      </c>
      <c r="E2700" s="370" t="s">
        <v>13</v>
      </c>
      <c r="F2700" s="370">
        <v>1650</v>
      </c>
      <c r="G2700" s="367">
        <v>1400</v>
      </c>
      <c r="H2700" s="367" t="s">
        <v>25</v>
      </c>
      <c r="I2700" s="370" t="s">
        <v>13</v>
      </c>
      <c r="J2700" s="370" t="s">
        <v>13</v>
      </c>
      <c r="K2700" s="370" t="s">
        <v>13</v>
      </c>
      <c r="L2700" s="370" t="s">
        <v>13</v>
      </c>
      <c r="M2700" s="358" t="s">
        <v>14</v>
      </c>
      <c r="N2700" s="367" t="s">
        <v>442</v>
      </c>
      <c r="O2700" s="367" t="s">
        <v>27</v>
      </c>
      <c r="P2700" s="201"/>
      <c r="Q2700" s="367" t="s">
        <v>176</v>
      </c>
      <c r="R2700" s="186">
        <v>44066</v>
      </c>
    </row>
    <row r="2701" spans="1:20" ht="15" customHeight="1" x14ac:dyDescent="0.3">
      <c r="A2701" s="368"/>
      <c r="B2701" s="368"/>
      <c r="C2701" s="38">
        <v>11490</v>
      </c>
      <c r="D2701" s="371"/>
      <c r="E2701" s="371"/>
      <c r="F2701" s="371"/>
      <c r="G2701" s="368"/>
      <c r="H2701" s="368"/>
      <c r="I2701" s="371"/>
      <c r="J2701" s="371"/>
      <c r="K2701" s="371"/>
      <c r="L2701" s="371"/>
      <c r="M2701" s="359"/>
      <c r="N2701" s="368"/>
      <c r="O2701" s="368"/>
      <c r="P2701" s="226">
        <v>44066</v>
      </c>
      <c r="Q2701" s="368"/>
      <c r="T2701" s="200">
        <v>1</v>
      </c>
    </row>
    <row r="2702" spans="1:20" ht="15" customHeight="1" thickBot="1" x14ac:dyDescent="0.35">
      <c r="A2702" s="369"/>
      <c r="B2702" s="369"/>
      <c r="C2702" s="39">
        <v>25925</v>
      </c>
      <c r="D2702" s="372"/>
      <c r="E2702" s="372"/>
      <c r="F2702" s="372"/>
      <c r="G2702" s="369"/>
      <c r="H2702" s="369"/>
      <c r="I2702" s="372"/>
      <c r="J2702" s="372"/>
      <c r="K2702" s="372"/>
      <c r="L2702" s="372"/>
      <c r="M2702" s="360"/>
      <c r="N2702" s="369"/>
      <c r="O2702" s="369"/>
      <c r="P2702" s="203"/>
      <c r="Q2702" s="369"/>
    </row>
    <row r="2703" spans="1:20" ht="15" hidden="1" customHeight="1" x14ac:dyDescent="0.3">
      <c r="A2703" s="367">
        <v>757</v>
      </c>
      <c r="B2703" s="367" t="s">
        <v>174</v>
      </c>
      <c r="C2703" s="40">
        <v>18940</v>
      </c>
      <c r="D2703" s="370">
        <v>0</v>
      </c>
      <c r="E2703" s="367" t="s">
        <v>13</v>
      </c>
      <c r="F2703" s="367">
        <v>1650</v>
      </c>
      <c r="G2703" s="367">
        <v>1400</v>
      </c>
      <c r="H2703" s="367" t="s">
        <v>107</v>
      </c>
      <c r="I2703" s="367" t="s">
        <v>13</v>
      </c>
      <c r="J2703" s="367" t="s">
        <v>13</v>
      </c>
      <c r="K2703" s="367" t="s">
        <v>13</v>
      </c>
      <c r="L2703" s="367" t="s">
        <v>13</v>
      </c>
      <c r="M2703" s="358" t="s">
        <v>14</v>
      </c>
      <c r="N2703" s="367" t="s">
        <v>442</v>
      </c>
      <c r="O2703" s="367" t="s">
        <v>27</v>
      </c>
      <c r="P2703" s="201"/>
      <c r="Q2703" s="367" t="s">
        <v>176</v>
      </c>
      <c r="R2703" s="186">
        <v>44066</v>
      </c>
    </row>
    <row r="2704" spans="1:20" ht="15" customHeight="1" x14ac:dyDescent="0.3">
      <c r="A2704" s="368"/>
      <c r="B2704" s="368"/>
      <c r="C2704" s="41">
        <v>8710</v>
      </c>
      <c r="D2704" s="371"/>
      <c r="E2704" s="368"/>
      <c r="F2704" s="368"/>
      <c r="G2704" s="368"/>
      <c r="H2704" s="368"/>
      <c r="I2704" s="368"/>
      <c r="J2704" s="368"/>
      <c r="K2704" s="368"/>
      <c r="L2704" s="368"/>
      <c r="M2704" s="359"/>
      <c r="N2704" s="368"/>
      <c r="O2704" s="368"/>
      <c r="P2704" s="226">
        <v>44066</v>
      </c>
      <c r="Q2704" s="368"/>
      <c r="T2704" s="200">
        <v>1</v>
      </c>
    </row>
    <row r="2705" spans="1:20" ht="15" customHeight="1" thickBot="1" x14ac:dyDescent="0.35">
      <c r="A2705" s="369"/>
      <c r="B2705" s="369"/>
      <c r="C2705" s="42">
        <v>25925</v>
      </c>
      <c r="D2705" s="372"/>
      <c r="E2705" s="369"/>
      <c r="F2705" s="369"/>
      <c r="G2705" s="369"/>
      <c r="H2705" s="369"/>
      <c r="I2705" s="369"/>
      <c r="J2705" s="369"/>
      <c r="K2705" s="369"/>
      <c r="L2705" s="369"/>
      <c r="M2705" s="360"/>
      <c r="N2705" s="369"/>
      <c r="O2705" s="369"/>
      <c r="P2705" s="203"/>
      <c r="Q2705" s="369"/>
    </row>
    <row r="2706" spans="1:20" ht="15" hidden="1" customHeight="1" x14ac:dyDescent="0.3">
      <c r="A2706" s="367">
        <v>758</v>
      </c>
      <c r="B2706" s="367" t="s">
        <v>174</v>
      </c>
      <c r="C2706" s="40">
        <v>19465</v>
      </c>
      <c r="D2706" s="370">
        <v>0</v>
      </c>
      <c r="E2706" s="367" t="s">
        <v>13</v>
      </c>
      <c r="F2706" s="367">
        <v>1650</v>
      </c>
      <c r="G2706" s="367">
        <v>1400</v>
      </c>
      <c r="H2706" s="367" t="s">
        <v>107</v>
      </c>
      <c r="I2706" s="367" t="s">
        <v>13</v>
      </c>
      <c r="J2706" s="367" t="s">
        <v>13</v>
      </c>
      <c r="K2706" s="367" t="s">
        <v>13</v>
      </c>
      <c r="L2706" s="367" t="s">
        <v>13</v>
      </c>
      <c r="M2706" s="358" t="s">
        <v>14</v>
      </c>
      <c r="N2706" s="367" t="s">
        <v>442</v>
      </c>
      <c r="O2706" s="367" t="s">
        <v>27</v>
      </c>
      <c r="P2706" s="201"/>
      <c r="Q2706" s="367" t="s">
        <v>176</v>
      </c>
      <c r="R2706" s="186">
        <v>44066</v>
      </c>
    </row>
    <row r="2707" spans="1:20" ht="15" customHeight="1" x14ac:dyDescent="0.3">
      <c r="A2707" s="368"/>
      <c r="B2707" s="368"/>
      <c r="C2707" s="41">
        <v>7735</v>
      </c>
      <c r="D2707" s="371"/>
      <c r="E2707" s="368"/>
      <c r="F2707" s="368"/>
      <c r="G2707" s="368"/>
      <c r="H2707" s="368"/>
      <c r="I2707" s="368"/>
      <c r="J2707" s="368"/>
      <c r="K2707" s="368"/>
      <c r="L2707" s="368"/>
      <c r="M2707" s="359"/>
      <c r="N2707" s="368"/>
      <c r="O2707" s="368"/>
      <c r="P2707" s="226">
        <v>44066</v>
      </c>
      <c r="Q2707" s="368"/>
      <c r="T2707" s="200">
        <v>1</v>
      </c>
    </row>
    <row r="2708" spans="1:20" ht="15" customHeight="1" thickBot="1" x14ac:dyDescent="0.35">
      <c r="A2708" s="369"/>
      <c r="B2708" s="369"/>
      <c r="C2708" s="42">
        <v>25925</v>
      </c>
      <c r="D2708" s="372"/>
      <c r="E2708" s="369"/>
      <c r="F2708" s="369"/>
      <c r="G2708" s="369"/>
      <c r="H2708" s="369"/>
      <c r="I2708" s="369"/>
      <c r="J2708" s="369"/>
      <c r="K2708" s="369"/>
      <c r="L2708" s="369"/>
      <c r="M2708" s="360"/>
      <c r="N2708" s="369"/>
      <c r="O2708" s="369"/>
      <c r="P2708" s="203"/>
      <c r="Q2708" s="369"/>
    </row>
    <row r="2709" spans="1:20" ht="15" hidden="1" customHeight="1" x14ac:dyDescent="0.3">
      <c r="A2709" s="367">
        <v>759</v>
      </c>
      <c r="B2709" s="367" t="s">
        <v>441</v>
      </c>
      <c r="C2709" s="40">
        <v>20685</v>
      </c>
      <c r="D2709" s="367">
        <v>1</v>
      </c>
      <c r="E2709" s="367" t="s">
        <v>255</v>
      </c>
      <c r="F2709" s="367">
        <v>1650</v>
      </c>
      <c r="G2709" s="367">
        <v>1400</v>
      </c>
      <c r="H2709" s="367" t="s">
        <v>107</v>
      </c>
      <c r="I2709" s="367">
        <v>60</v>
      </c>
      <c r="J2709" s="411" t="s">
        <v>565</v>
      </c>
      <c r="K2709" s="367">
        <v>30</v>
      </c>
      <c r="L2709" s="367">
        <v>19</v>
      </c>
      <c r="M2709" s="358" t="s">
        <v>14</v>
      </c>
      <c r="N2709" s="367" t="s">
        <v>442</v>
      </c>
      <c r="O2709" s="367" t="s">
        <v>27</v>
      </c>
      <c r="P2709" s="201"/>
      <c r="Q2709" s="367" t="s">
        <v>439</v>
      </c>
      <c r="R2709" s="186">
        <v>44066</v>
      </c>
    </row>
    <row r="2710" spans="1:20" ht="15" customHeight="1" x14ac:dyDescent="0.3">
      <c r="A2710" s="368"/>
      <c r="B2710" s="368"/>
      <c r="C2710" s="41">
        <v>4460</v>
      </c>
      <c r="D2710" s="368"/>
      <c r="E2710" s="368"/>
      <c r="F2710" s="368"/>
      <c r="G2710" s="368"/>
      <c r="H2710" s="368"/>
      <c r="I2710" s="368"/>
      <c r="J2710" s="412"/>
      <c r="K2710" s="368"/>
      <c r="L2710" s="368"/>
      <c r="M2710" s="359"/>
      <c r="N2710" s="368"/>
      <c r="O2710" s="368"/>
      <c r="P2710" s="202"/>
      <c r="Q2710" s="368"/>
      <c r="T2710" s="200">
        <v>1</v>
      </c>
    </row>
    <row r="2711" spans="1:20" ht="15" customHeight="1" thickBot="1" x14ac:dyDescent="0.35">
      <c r="A2711" s="369"/>
      <c r="B2711" s="369"/>
      <c r="C2711" s="42">
        <v>25925</v>
      </c>
      <c r="D2711" s="369"/>
      <c r="E2711" s="369"/>
      <c r="F2711" s="369"/>
      <c r="G2711" s="369"/>
      <c r="H2711" s="369"/>
      <c r="I2711" s="369"/>
      <c r="J2711" s="413"/>
      <c r="K2711" s="369"/>
      <c r="L2711" s="369"/>
      <c r="M2711" s="360"/>
      <c r="N2711" s="369"/>
      <c r="O2711" s="369"/>
      <c r="P2711" s="227">
        <v>44066</v>
      </c>
      <c r="Q2711" s="369"/>
    </row>
    <row r="2712" spans="1:20" ht="15" hidden="1" customHeight="1" x14ac:dyDescent="0.3">
      <c r="A2712" s="367">
        <v>760</v>
      </c>
      <c r="B2712" s="367" t="s">
        <v>174</v>
      </c>
      <c r="C2712" s="40">
        <v>-20765</v>
      </c>
      <c r="D2712" s="370">
        <v>0</v>
      </c>
      <c r="E2712" s="367" t="s">
        <v>13</v>
      </c>
      <c r="F2712" s="367">
        <v>1650</v>
      </c>
      <c r="G2712" s="367">
        <v>1400</v>
      </c>
      <c r="H2712" s="367" t="s">
        <v>107</v>
      </c>
      <c r="I2712" s="367" t="s">
        <v>13</v>
      </c>
      <c r="J2712" s="367" t="s">
        <v>13</v>
      </c>
      <c r="K2712" s="367" t="s">
        <v>13</v>
      </c>
      <c r="L2712" s="367" t="s">
        <v>13</v>
      </c>
      <c r="M2712" s="358" t="s">
        <v>14</v>
      </c>
      <c r="N2712" s="367" t="s">
        <v>437</v>
      </c>
      <c r="O2712" s="367" t="s">
        <v>27</v>
      </c>
      <c r="P2712" s="201"/>
      <c r="Q2712" s="367" t="s">
        <v>176</v>
      </c>
      <c r="R2712" s="186">
        <v>44066</v>
      </c>
    </row>
    <row r="2713" spans="1:20" ht="15" customHeight="1" x14ac:dyDescent="0.3">
      <c r="A2713" s="368"/>
      <c r="B2713" s="368"/>
      <c r="C2713" s="41">
        <v>4345</v>
      </c>
      <c r="D2713" s="371"/>
      <c r="E2713" s="368"/>
      <c r="F2713" s="368"/>
      <c r="G2713" s="368"/>
      <c r="H2713" s="368"/>
      <c r="I2713" s="368"/>
      <c r="J2713" s="368"/>
      <c r="K2713" s="368"/>
      <c r="L2713" s="368"/>
      <c r="M2713" s="359"/>
      <c r="N2713" s="368"/>
      <c r="O2713" s="368"/>
      <c r="P2713" s="226">
        <v>44066</v>
      </c>
      <c r="Q2713" s="368"/>
      <c r="T2713" s="200">
        <v>1</v>
      </c>
    </row>
    <row r="2714" spans="1:20" ht="15" customHeight="1" thickBot="1" x14ac:dyDescent="0.35">
      <c r="A2714" s="369"/>
      <c r="B2714" s="369"/>
      <c r="C2714" s="42">
        <v>25925</v>
      </c>
      <c r="D2714" s="372"/>
      <c r="E2714" s="369"/>
      <c r="F2714" s="369"/>
      <c r="G2714" s="369"/>
      <c r="H2714" s="369"/>
      <c r="I2714" s="369"/>
      <c r="J2714" s="369"/>
      <c r="K2714" s="369"/>
      <c r="L2714" s="369"/>
      <c r="M2714" s="360"/>
      <c r="N2714" s="369"/>
      <c r="O2714" s="369"/>
      <c r="P2714" s="203"/>
      <c r="Q2714" s="369"/>
    </row>
    <row r="2715" spans="1:20" ht="15" hidden="1" customHeight="1" x14ac:dyDescent="0.3">
      <c r="A2715" s="370">
        <v>761</v>
      </c>
      <c r="B2715" s="370" t="s">
        <v>441</v>
      </c>
      <c r="C2715" s="37">
        <v>-19655</v>
      </c>
      <c r="D2715" s="370">
        <v>1</v>
      </c>
      <c r="E2715" s="367" t="s">
        <v>209</v>
      </c>
      <c r="F2715" s="370">
        <v>1650</v>
      </c>
      <c r="G2715" s="367">
        <v>1400</v>
      </c>
      <c r="H2715" s="367" t="s">
        <v>107</v>
      </c>
      <c r="I2715" s="370">
        <v>60</v>
      </c>
      <c r="J2715" s="370" t="s">
        <v>452</v>
      </c>
      <c r="K2715" s="370">
        <v>30</v>
      </c>
      <c r="L2715" s="367">
        <v>15.5</v>
      </c>
      <c r="M2715" s="358" t="s">
        <v>14</v>
      </c>
      <c r="N2715" s="367" t="s">
        <v>437</v>
      </c>
      <c r="O2715" s="367" t="s">
        <v>27</v>
      </c>
      <c r="P2715" s="201"/>
      <c r="Q2715" s="367" t="s">
        <v>211</v>
      </c>
      <c r="R2715" s="186">
        <v>44066</v>
      </c>
      <c r="T2715" s="200">
        <v>1</v>
      </c>
    </row>
    <row r="2716" spans="1:20" ht="15" customHeight="1" x14ac:dyDescent="0.3">
      <c r="A2716" s="371"/>
      <c r="B2716" s="371"/>
      <c r="C2716" s="38">
        <v>7415</v>
      </c>
      <c r="D2716" s="371"/>
      <c r="E2716" s="368"/>
      <c r="F2716" s="371"/>
      <c r="G2716" s="368"/>
      <c r="H2716" s="368"/>
      <c r="I2716" s="371"/>
      <c r="J2716" s="371"/>
      <c r="K2716" s="371"/>
      <c r="L2716" s="368"/>
      <c r="M2716" s="359"/>
      <c r="N2716" s="368"/>
      <c r="O2716" s="368"/>
      <c r="P2716" s="226">
        <v>44066</v>
      </c>
      <c r="Q2716" s="368"/>
    </row>
    <row r="2717" spans="1:20" ht="15" customHeight="1" thickBot="1" x14ac:dyDescent="0.35">
      <c r="A2717" s="372"/>
      <c r="B2717" s="372"/>
      <c r="C2717" s="39">
        <v>25925</v>
      </c>
      <c r="D2717" s="372"/>
      <c r="E2717" s="369"/>
      <c r="F2717" s="372"/>
      <c r="G2717" s="369"/>
      <c r="H2717" s="369"/>
      <c r="I2717" s="372"/>
      <c r="J2717" s="372"/>
      <c r="K2717" s="372"/>
      <c r="L2717" s="369"/>
      <c r="M2717" s="360"/>
      <c r="N2717" s="369"/>
      <c r="O2717" s="369"/>
      <c r="P2717" s="203"/>
      <c r="Q2717" s="369"/>
    </row>
    <row r="2718" spans="1:20" ht="15" hidden="1" customHeight="1" x14ac:dyDescent="0.3">
      <c r="A2718" s="367">
        <v>762</v>
      </c>
      <c r="B2718" s="367" t="s">
        <v>334</v>
      </c>
      <c r="C2718" s="40">
        <v>-19140</v>
      </c>
      <c r="D2718" s="367">
        <v>1</v>
      </c>
      <c r="E2718" s="367" t="s">
        <v>66</v>
      </c>
      <c r="F2718" s="367">
        <v>1650</v>
      </c>
      <c r="G2718" s="367">
        <v>1400</v>
      </c>
      <c r="H2718" s="367" t="s">
        <v>107</v>
      </c>
      <c r="I2718" s="367">
        <v>60</v>
      </c>
      <c r="J2718" s="411" t="s">
        <v>566</v>
      </c>
      <c r="K2718" s="367">
        <v>30</v>
      </c>
      <c r="L2718" s="367">
        <v>22.5</v>
      </c>
      <c r="M2718" s="358" t="s">
        <v>14</v>
      </c>
      <c r="N2718" s="367" t="s">
        <v>437</v>
      </c>
      <c r="O2718" s="367" t="s">
        <v>27</v>
      </c>
      <c r="P2718" s="201"/>
      <c r="Q2718" s="367" t="s">
        <v>453</v>
      </c>
      <c r="R2718" s="186">
        <v>44066</v>
      </c>
      <c r="T2718" s="200">
        <v>1</v>
      </c>
    </row>
    <row r="2719" spans="1:20" ht="15" customHeight="1" x14ac:dyDescent="0.3">
      <c r="A2719" s="368"/>
      <c r="B2719" s="368"/>
      <c r="C2719" s="41">
        <v>8475</v>
      </c>
      <c r="D2719" s="368"/>
      <c r="E2719" s="368"/>
      <c r="F2719" s="368"/>
      <c r="G2719" s="368"/>
      <c r="H2719" s="368"/>
      <c r="I2719" s="368"/>
      <c r="J2719" s="412"/>
      <c r="K2719" s="368"/>
      <c r="L2719" s="368"/>
      <c r="M2719" s="359"/>
      <c r="N2719" s="368"/>
      <c r="O2719" s="368"/>
      <c r="P2719" s="226">
        <v>44066</v>
      </c>
      <c r="Q2719" s="368"/>
    </row>
    <row r="2720" spans="1:20" ht="15" customHeight="1" thickBot="1" x14ac:dyDescent="0.35">
      <c r="A2720" s="369"/>
      <c r="B2720" s="369"/>
      <c r="C2720" s="42">
        <v>25925</v>
      </c>
      <c r="D2720" s="369"/>
      <c r="E2720" s="369"/>
      <c r="F2720" s="369"/>
      <c r="G2720" s="369"/>
      <c r="H2720" s="369"/>
      <c r="I2720" s="369"/>
      <c r="J2720" s="413"/>
      <c r="K2720" s="369"/>
      <c r="L2720" s="369"/>
      <c r="M2720" s="360"/>
      <c r="N2720" s="369"/>
      <c r="O2720" s="369"/>
      <c r="P2720" s="203"/>
      <c r="Q2720" s="369"/>
    </row>
    <row r="2721" spans="1:20" ht="15" hidden="1" customHeight="1" x14ac:dyDescent="0.3">
      <c r="A2721" s="367">
        <v>763</v>
      </c>
      <c r="B2721" s="367" t="s">
        <v>441</v>
      </c>
      <c r="C2721" s="40">
        <v>-17460</v>
      </c>
      <c r="D2721" s="367">
        <v>1</v>
      </c>
      <c r="E2721" s="367" t="s">
        <v>255</v>
      </c>
      <c r="F2721" s="367">
        <v>1650</v>
      </c>
      <c r="G2721" s="367">
        <v>1400</v>
      </c>
      <c r="H2721" s="367" t="s">
        <v>107</v>
      </c>
      <c r="I2721" s="367">
        <v>60</v>
      </c>
      <c r="J2721" s="411" t="s">
        <v>567</v>
      </c>
      <c r="K2721" s="367">
        <v>30</v>
      </c>
      <c r="L2721" s="367">
        <v>19</v>
      </c>
      <c r="M2721" s="358" t="s">
        <v>14</v>
      </c>
      <c r="N2721" s="396" t="s">
        <v>437</v>
      </c>
      <c r="O2721" s="367" t="s">
        <v>27</v>
      </c>
      <c r="P2721" s="65"/>
      <c r="Q2721" s="367" t="s">
        <v>439</v>
      </c>
      <c r="T2721" s="200">
        <v>1</v>
      </c>
    </row>
    <row r="2722" spans="1:20" ht="15" customHeight="1" x14ac:dyDescent="0.3">
      <c r="A2722" s="368"/>
      <c r="B2722" s="368"/>
      <c r="C2722" s="41">
        <v>11445</v>
      </c>
      <c r="D2722" s="368"/>
      <c r="E2722" s="368"/>
      <c r="F2722" s="368"/>
      <c r="G2722" s="368"/>
      <c r="H2722" s="368"/>
      <c r="I2722" s="368"/>
      <c r="J2722" s="412"/>
      <c r="K2722" s="368"/>
      <c r="L2722" s="368"/>
      <c r="M2722" s="359"/>
      <c r="N2722" s="397"/>
      <c r="O2722" s="368"/>
      <c r="P2722" s="226">
        <v>44066</v>
      </c>
      <c r="Q2722" s="368"/>
    </row>
    <row r="2723" spans="1:20" ht="15" customHeight="1" thickBot="1" x14ac:dyDescent="0.35">
      <c r="A2723" s="369"/>
      <c r="B2723" s="369"/>
      <c r="C2723" s="42">
        <v>25925</v>
      </c>
      <c r="D2723" s="369"/>
      <c r="E2723" s="369"/>
      <c r="F2723" s="369"/>
      <c r="G2723" s="369"/>
      <c r="H2723" s="369"/>
      <c r="I2723" s="369"/>
      <c r="J2723" s="413"/>
      <c r="K2723" s="369"/>
      <c r="L2723" s="369"/>
      <c r="M2723" s="360"/>
      <c r="N2723" s="398"/>
      <c r="O2723" s="369"/>
      <c r="P2723" s="67"/>
      <c r="Q2723" s="369"/>
    </row>
    <row r="2724" spans="1:20" ht="15" hidden="1" customHeight="1" x14ac:dyDescent="0.3">
      <c r="A2724" s="367">
        <v>764</v>
      </c>
      <c r="B2724" s="367" t="s">
        <v>174</v>
      </c>
      <c r="C2724" s="40">
        <v>-12100</v>
      </c>
      <c r="D2724" s="370">
        <v>0</v>
      </c>
      <c r="E2724" s="367" t="s">
        <v>13</v>
      </c>
      <c r="F2724" s="367">
        <v>1450</v>
      </c>
      <c r="G2724" s="367">
        <v>1100</v>
      </c>
      <c r="H2724" s="370" t="s">
        <v>187</v>
      </c>
      <c r="I2724" s="367" t="s">
        <v>13</v>
      </c>
      <c r="J2724" s="367" t="s">
        <v>13</v>
      </c>
      <c r="K2724" s="367" t="s">
        <v>13</v>
      </c>
      <c r="L2724" s="367" t="s">
        <v>13</v>
      </c>
      <c r="M2724" s="358" t="s">
        <v>14</v>
      </c>
      <c r="N2724" s="396" t="s">
        <v>437</v>
      </c>
      <c r="O2724" s="367" t="s">
        <v>27</v>
      </c>
      <c r="P2724" s="65"/>
      <c r="Q2724" s="367" t="s">
        <v>244</v>
      </c>
    </row>
    <row r="2725" spans="1:20" ht="15" customHeight="1" x14ac:dyDescent="0.3">
      <c r="A2725" s="368"/>
      <c r="B2725" s="368"/>
      <c r="C2725" s="41">
        <v>13600</v>
      </c>
      <c r="D2725" s="371"/>
      <c r="E2725" s="368"/>
      <c r="F2725" s="368"/>
      <c r="G2725" s="368"/>
      <c r="H2725" s="371"/>
      <c r="I2725" s="368"/>
      <c r="J2725" s="368"/>
      <c r="K2725" s="368"/>
      <c r="L2725" s="368"/>
      <c r="M2725" s="359"/>
      <c r="N2725" s="397"/>
      <c r="O2725" s="368"/>
      <c r="P2725" s="226">
        <v>44066</v>
      </c>
      <c r="Q2725" s="368"/>
      <c r="T2725" s="200">
        <v>1</v>
      </c>
    </row>
    <row r="2726" spans="1:20" ht="15" customHeight="1" thickBot="1" x14ac:dyDescent="0.35">
      <c r="A2726" s="369"/>
      <c r="B2726" s="369"/>
      <c r="C2726" s="42">
        <v>25825</v>
      </c>
      <c r="D2726" s="372"/>
      <c r="E2726" s="369"/>
      <c r="F2726" s="369"/>
      <c r="G2726" s="369"/>
      <c r="H2726" s="372"/>
      <c r="I2726" s="369"/>
      <c r="J2726" s="369"/>
      <c r="K2726" s="369"/>
      <c r="L2726" s="369"/>
      <c r="M2726" s="360"/>
      <c r="N2726" s="398"/>
      <c r="O2726" s="369"/>
      <c r="P2726" s="67"/>
      <c r="Q2726" s="369"/>
    </row>
    <row r="2727" spans="1:20" ht="15" hidden="1" customHeight="1" x14ac:dyDescent="0.3">
      <c r="A2727" s="367">
        <v>765</v>
      </c>
      <c r="B2727" s="367" t="s">
        <v>48</v>
      </c>
      <c r="C2727" s="40">
        <v>-16825</v>
      </c>
      <c r="D2727" s="367">
        <v>1</v>
      </c>
      <c r="E2727" s="367" t="s">
        <v>133</v>
      </c>
      <c r="F2727" s="367">
        <v>1450</v>
      </c>
      <c r="G2727" s="367">
        <v>1100</v>
      </c>
      <c r="H2727" s="367" t="s">
        <v>416</v>
      </c>
      <c r="I2727" s="367">
        <v>300</v>
      </c>
      <c r="J2727" s="370" t="s">
        <v>45</v>
      </c>
      <c r="K2727" s="367">
        <v>60</v>
      </c>
      <c r="L2727" s="367">
        <v>170.5</v>
      </c>
      <c r="M2727" s="358" t="s">
        <v>14</v>
      </c>
      <c r="N2727" s="396" t="s">
        <v>437</v>
      </c>
      <c r="O2727" s="367" t="s">
        <v>27</v>
      </c>
      <c r="P2727" s="65"/>
      <c r="Q2727" s="367" t="s">
        <v>454</v>
      </c>
      <c r="T2727" s="200">
        <v>1</v>
      </c>
    </row>
    <row r="2728" spans="1:20" ht="15" customHeight="1" x14ac:dyDescent="0.3">
      <c r="A2728" s="368"/>
      <c r="B2728" s="368"/>
      <c r="C2728" s="41">
        <v>-13120</v>
      </c>
      <c r="D2728" s="368"/>
      <c r="E2728" s="368"/>
      <c r="F2728" s="368"/>
      <c r="G2728" s="368"/>
      <c r="H2728" s="368"/>
      <c r="I2728" s="368"/>
      <c r="J2728" s="371"/>
      <c r="K2728" s="368"/>
      <c r="L2728" s="368"/>
      <c r="M2728" s="359"/>
      <c r="N2728" s="397"/>
      <c r="O2728" s="368"/>
      <c r="P2728" s="226">
        <v>44066</v>
      </c>
      <c r="Q2728" s="368"/>
    </row>
    <row r="2729" spans="1:20" ht="15" customHeight="1" thickBot="1" x14ac:dyDescent="0.35">
      <c r="A2729" s="369"/>
      <c r="B2729" s="369"/>
      <c r="C2729" s="42">
        <v>25825</v>
      </c>
      <c r="D2729" s="369"/>
      <c r="E2729" s="369"/>
      <c r="F2729" s="369"/>
      <c r="G2729" s="369"/>
      <c r="H2729" s="369"/>
      <c r="I2729" s="369"/>
      <c r="J2729" s="372"/>
      <c r="K2729" s="369"/>
      <c r="L2729" s="369"/>
      <c r="M2729" s="360"/>
      <c r="N2729" s="398"/>
      <c r="O2729" s="369"/>
      <c r="P2729" s="67"/>
      <c r="Q2729" s="369"/>
    </row>
    <row r="2730" spans="1:20" ht="15" customHeight="1" thickBot="1" x14ac:dyDescent="0.35">
      <c r="A2730" s="352" t="s">
        <v>99</v>
      </c>
      <c r="B2730" s="353"/>
      <c r="C2730" s="353"/>
      <c r="D2730" s="353"/>
      <c r="E2730" s="353"/>
      <c r="F2730" s="353"/>
      <c r="G2730" s="353"/>
      <c r="H2730" s="353"/>
      <c r="I2730" s="353"/>
      <c r="J2730" s="353"/>
      <c r="K2730" s="353"/>
      <c r="L2730" s="353"/>
      <c r="M2730" s="353"/>
      <c r="N2730" s="353"/>
      <c r="O2730" s="353"/>
      <c r="P2730" s="353"/>
      <c r="Q2730" s="354"/>
    </row>
    <row r="2731" spans="1:20" ht="15" hidden="1" customHeight="1" x14ac:dyDescent="0.3">
      <c r="A2731" s="373">
        <v>766</v>
      </c>
      <c r="B2731" s="373" t="s">
        <v>230</v>
      </c>
      <c r="C2731" s="49">
        <v>-13673</v>
      </c>
      <c r="D2731" s="373">
        <v>1</v>
      </c>
      <c r="E2731" s="373" t="s">
        <v>255</v>
      </c>
      <c r="F2731" s="373">
        <v>500</v>
      </c>
      <c r="G2731" s="373">
        <v>500</v>
      </c>
      <c r="H2731" s="373" t="s">
        <v>342</v>
      </c>
      <c r="I2731" s="373">
        <v>150</v>
      </c>
      <c r="J2731" s="376" t="s">
        <v>45</v>
      </c>
      <c r="K2731" s="373">
        <v>30</v>
      </c>
      <c r="L2731" s="373">
        <v>-1.5</v>
      </c>
      <c r="M2731" s="379" t="s">
        <v>14</v>
      </c>
      <c r="N2731" s="408" t="s">
        <v>455</v>
      </c>
      <c r="O2731" s="373" t="s">
        <v>27</v>
      </c>
      <c r="P2731" s="271"/>
      <c r="Q2731" s="373" t="s">
        <v>456</v>
      </c>
    </row>
    <row r="2732" spans="1:20" ht="15" customHeight="1" x14ac:dyDescent="0.3">
      <c r="A2732" s="374"/>
      <c r="B2732" s="374"/>
      <c r="C2732" s="51">
        <v>-5461</v>
      </c>
      <c r="D2732" s="374"/>
      <c r="E2732" s="374"/>
      <c r="F2732" s="374"/>
      <c r="G2732" s="374"/>
      <c r="H2732" s="374"/>
      <c r="I2732" s="374"/>
      <c r="J2732" s="377"/>
      <c r="K2732" s="374"/>
      <c r="L2732" s="374"/>
      <c r="M2732" s="380"/>
      <c r="N2732" s="409"/>
      <c r="O2732" s="374"/>
      <c r="P2732" s="240">
        <v>44090</v>
      </c>
      <c r="Q2732" s="374"/>
      <c r="T2732" s="288">
        <v>1</v>
      </c>
    </row>
    <row r="2733" spans="1:20" ht="15" customHeight="1" thickBot="1" x14ac:dyDescent="0.35">
      <c r="A2733" s="375"/>
      <c r="B2733" s="375"/>
      <c r="C2733" s="50">
        <v>26600</v>
      </c>
      <c r="D2733" s="375"/>
      <c r="E2733" s="375"/>
      <c r="F2733" s="375"/>
      <c r="G2733" s="375"/>
      <c r="H2733" s="375"/>
      <c r="I2733" s="375"/>
      <c r="J2733" s="378"/>
      <c r="K2733" s="375"/>
      <c r="L2733" s="375"/>
      <c r="M2733" s="381"/>
      <c r="N2733" s="410"/>
      <c r="O2733" s="375"/>
      <c r="P2733" s="273"/>
      <c r="Q2733" s="375"/>
    </row>
    <row r="2734" spans="1:20" ht="15" hidden="1" customHeight="1" x14ac:dyDescent="0.3">
      <c r="A2734" s="367">
        <v>767</v>
      </c>
      <c r="B2734" s="367" t="s">
        <v>174</v>
      </c>
      <c r="C2734" s="40">
        <v>-14514</v>
      </c>
      <c r="D2734" s="370">
        <v>0</v>
      </c>
      <c r="E2734" s="367" t="s">
        <v>13</v>
      </c>
      <c r="F2734" s="367">
        <v>700</v>
      </c>
      <c r="G2734" s="367">
        <v>700</v>
      </c>
      <c r="H2734" s="367" t="s">
        <v>175</v>
      </c>
      <c r="I2734" s="367" t="s">
        <v>13</v>
      </c>
      <c r="J2734" s="367" t="s">
        <v>13</v>
      </c>
      <c r="K2734" s="367" t="s">
        <v>13</v>
      </c>
      <c r="L2734" s="367" t="s">
        <v>13</v>
      </c>
      <c r="M2734" s="358" t="s">
        <v>14</v>
      </c>
      <c r="N2734" s="396" t="s">
        <v>455</v>
      </c>
      <c r="O2734" s="367" t="s">
        <v>27</v>
      </c>
      <c r="P2734" s="261"/>
      <c r="Q2734" s="367" t="s">
        <v>184</v>
      </c>
    </row>
    <row r="2735" spans="1:20" ht="15" customHeight="1" x14ac:dyDescent="0.3">
      <c r="A2735" s="368"/>
      <c r="B2735" s="368"/>
      <c r="C2735" s="41">
        <v>-13164</v>
      </c>
      <c r="D2735" s="371"/>
      <c r="E2735" s="368"/>
      <c r="F2735" s="368"/>
      <c r="G2735" s="368"/>
      <c r="H2735" s="368"/>
      <c r="I2735" s="368"/>
      <c r="J2735" s="368"/>
      <c r="K2735" s="368"/>
      <c r="L2735" s="368"/>
      <c r="M2735" s="359"/>
      <c r="N2735" s="397"/>
      <c r="O2735" s="368"/>
      <c r="P2735" s="226">
        <v>44090</v>
      </c>
      <c r="Q2735" s="368"/>
      <c r="T2735" s="200">
        <v>1</v>
      </c>
    </row>
    <row r="2736" spans="1:20" ht="15" customHeight="1" thickBot="1" x14ac:dyDescent="0.35">
      <c r="A2736" s="369"/>
      <c r="B2736" s="369"/>
      <c r="C2736" s="42">
        <v>26700</v>
      </c>
      <c r="D2736" s="372"/>
      <c r="E2736" s="369"/>
      <c r="F2736" s="369"/>
      <c r="G2736" s="369"/>
      <c r="H2736" s="369"/>
      <c r="I2736" s="369"/>
      <c r="J2736" s="369"/>
      <c r="K2736" s="369"/>
      <c r="L2736" s="369"/>
      <c r="M2736" s="360"/>
      <c r="N2736" s="398"/>
      <c r="O2736" s="369"/>
      <c r="P2736" s="262"/>
      <c r="Q2736" s="369"/>
    </row>
    <row r="2737" spans="1:20" ht="15" hidden="1" customHeight="1" x14ac:dyDescent="0.3">
      <c r="A2737" s="367">
        <v>768</v>
      </c>
      <c r="B2737" s="367" t="s">
        <v>441</v>
      </c>
      <c r="C2737" s="40">
        <v>-17672</v>
      </c>
      <c r="D2737" s="367">
        <v>1</v>
      </c>
      <c r="E2737" s="367" t="s">
        <v>255</v>
      </c>
      <c r="F2737" s="367">
        <v>700</v>
      </c>
      <c r="G2737" s="367">
        <v>700</v>
      </c>
      <c r="H2737" s="367" t="s">
        <v>50</v>
      </c>
      <c r="I2737" s="367">
        <v>60</v>
      </c>
      <c r="J2737" s="370">
        <f>-0.21/0.12</f>
        <v>-1.75</v>
      </c>
      <c r="K2737" s="367">
        <v>30</v>
      </c>
      <c r="L2737" s="367">
        <v>6.5</v>
      </c>
      <c r="M2737" s="358" t="s">
        <v>14</v>
      </c>
      <c r="N2737" s="396" t="s">
        <v>455</v>
      </c>
      <c r="O2737" s="367" t="s">
        <v>27</v>
      </c>
      <c r="P2737" s="261"/>
      <c r="Q2737" s="367" t="s">
        <v>414</v>
      </c>
    </row>
    <row r="2738" spans="1:20" ht="15" customHeight="1" x14ac:dyDescent="0.3">
      <c r="A2738" s="368"/>
      <c r="B2738" s="368"/>
      <c r="C2738" s="41">
        <v>-8583</v>
      </c>
      <c r="D2738" s="368"/>
      <c r="E2738" s="368"/>
      <c r="F2738" s="368"/>
      <c r="G2738" s="368"/>
      <c r="H2738" s="368"/>
      <c r="I2738" s="368"/>
      <c r="J2738" s="371"/>
      <c r="K2738" s="368"/>
      <c r="L2738" s="368"/>
      <c r="M2738" s="359"/>
      <c r="N2738" s="397"/>
      <c r="O2738" s="368"/>
      <c r="P2738" s="226">
        <v>44090</v>
      </c>
      <c r="Q2738" s="368"/>
      <c r="T2738" s="200">
        <v>1</v>
      </c>
    </row>
    <row r="2739" spans="1:20" ht="15" customHeight="1" thickBot="1" x14ac:dyDescent="0.35">
      <c r="A2739" s="369"/>
      <c r="B2739" s="369"/>
      <c r="C2739" s="42">
        <v>30145</v>
      </c>
      <c r="D2739" s="369"/>
      <c r="E2739" s="369"/>
      <c r="F2739" s="369"/>
      <c r="G2739" s="369"/>
      <c r="H2739" s="369"/>
      <c r="I2739" s="369"/>
      <c r="J2739" s="372"/>
      <c r="K2739" s="369"/>
      <c r="L2739" s="369"/>
      <c r="M2739" s="360"/>
      <c r="N2739" s="398"/>
      <c r="O2739" s="369"/>
      <c r="P2739" s="262"/>
      <c r="Q2739" s="369"/>
    </row>
    <row r="2740" spans="1:20" ht="15" customHeight="1" thickBot="1" x14ac:dyDescent="0.35">
      <c r="A2740" s="352" t="s">
        <v>457</v>
      </c>
      <c r="B2740" s="353"/>
      <c r="C2740" s="353"/>
      <c r="D2740" s="353"/>
      <c r="E2740" s="353"/>
      <c r="F2740" s="353"/>
      <c r="G2740" s="353"/>
      <c r="H2740" s="353"/>
      <c r="I2740" s="353"/>
      <c r="J2740" s="353"/>
      <c r="K2740" s="353"/>
      <c r="L2740" s="353"/>
      <c r="M2740" s="353"/>
      <c r="N2740" s="353"/>
      <c r="O2740" s="353"/>
      <c r="P2740" s="353"/>
      <c r="Q2740" s="354"/>
    </row>
    <row r="2741" spans="1:20" ht="15" hidden="1" customHeight="1" x14ac:dyDescent="0.3">
      <c r="A2741" s="388">
        <v>769</v>
      </c>
      <c r="B2741" s="388" t="s">
        <v>48</v>
      </c>
      <c r="C2741" s="43">
        <v>-16781</v>
      </c>
      <c r="D2741" s="385">
        <v>1</v>
      </c>
      <c r="E2741" s="385" t="s">
        <v>133</v>
      </c>
      <c r="F2741" s="385">
        <v>440</v>
      </c>
      <c r="G2741" s="385">
        <v>340</v>
      </c>
      <c r="H2741" s="385" t="s">
        <v>348</v>
      </c>
      <c r="I2741" s="385">
        <v>300</v>
      </c>
      <c r="J2741" s="385" t="s">
        <v>45</v>
      </c>
      <c r="K2741" s="385">
        <v>60</v>
      </c>
      <c r="L2741" s="388">
        <v>154.5</v>
      </c>
      <c r="M2741" s="355" t="s">
        <v>14</v>
      </c>
      <c r="N2741" s="437" t="s">
        <v>455</v>
      </c>
      <c r="O2741" s="388" t="s">
        <v>27</v>
      </c>
      <c r="P2741" s="80"/>
      <c r="Q2741" s="388" t="s">
        <v>458</v>
      </c>
      <c r="T2741" s="287">
        <v>1</v>
      </c>
    </row>
    <row r="2742" spans="1:20" ht="15" customHeight="1" x14ac:dyDescent="0.3">
      <c r="A2742" s="389"/>
      <c r="B2742" s="389"/>
      <c r="C2742" s="48">
        <v>-13093</v>
      </c>
      <c r="D2742" s="386"/>
      <c r="E2742" s="386"/>
      <c r="F2742" s="386"/>
      <c r="G2742" s="386"/>
      <c r="H2742" s="386"/>
      <c r="I2742" s="386"/>
      <c r="J2742" s="386"/>
      <c r="K2742" s="386"/>
      <c r="L2742" s="389"/>
      <c r="M2742" s="356"/>
      <c r="N2742" s="438"/>
      <c r="O2742" s="389"/>
      <c r="P2742" s="81"/>
      <c r="Q2742" s="389"/>
    </row>
    <row r="2743" spans="1:20" ht="15" customHeight="1" thickBot="1" x14ac:dyDescent="0.35">
      <c r="A2743" s="390"/>
      <c r="B2743" s="390"/>
      <c r="C2743" s="44">
        <v>34400</v>
      </c>
      <c r="D2743" s="387"/>
      <c r="E2743" s="387"/>
      <c r="F2743" s="387"/>
      <c r="G2743" s="387"/>
      <c r="H2743" s="387"/>
      <c r="I2743" s="387"/>
      <c r="J2743" s="387"/>
      <c r="K2743" s="387"/>
      <c r="L2743" s="390"/>
      <c r="M2743" s="357"/>
      <c r="N2743" s="439"/>
      <c r="O2743" s="390"/>
      <c r="P2743" s="82"/>
      <c r="Q2743" s="390"/>
    </row>
    <row r="2744" spans="1:20" ht="15" customHeight="1" thickBot="1" x14ac:dyDescent="0.35">
      <c r="A2744" s="352" t="s">
        <v>102</v>
      </c>
      <c r="B2744" s="353"/>
      <c r="C2744" s="353"/>
      <c r="D2744" s="353"/>
      <c r="E2744" s="353"/>
      <c r="F2744" s="353"/>
      <c r="G2744" s="353"/>
      <c r="H2744" s="353"/>
      <c r="I2744" s="353"/>
      <c r="J2744" s="353"/>
      <c r="K2744" s="353"/>
      <c r="L2744" s="353"/>
      <c r="M2744" s="353"/>
      <c r="N2744" s="353"/>
      <c r="O2744" s="353"/>
      <c r="P2744" s="353"/>
      <c r="Q2744" s="354"/>
    </row>
    <row r="2745" spans="1:20" ht="30" customHeight="1" thickBot="1" x14ac:dyDescent="0.35">
      <c r="A2745" s="370">
        <v>770</v>
      </c>
      <c r="B2745" s="39" t="s">
        <v>446</v>
      </c>
      <c r="C2745" s="37">
        <v>5570</v>
      </c>
      <c r="D2745" s="370">
        <v>3</v>
      </c>
      <c r="E2745" s="39" t="s">
        <v>168</v>
      </c>
      <c r="F2745" s="370">
        <v>800</v>
      </c>
      <c r="G2745" s="370">
        <v>800</v>
      </c>
      <c r="H2745" s="370" t="s">
        <v>50</v>
      </c>
      <c r="I2745" s="39">
        <v>350</v>
      </c>
      <c r="J2745" s="39" t="s">
        <v>45</v>
      </c>
      <c r="K2745" s="370" t="s">
        <v>275</v>
      </c>
      <c r="L2745" s="367" t="s">
        <v>13</v>
      </c>
      <c r="M2745" s="358" t="s">
        <v>14</v>
      </c>
      <c r="N2745" s="399" t="s">
        <v>103</v>
      </c>
      <c r="O2745" s="367" t="s">
        <v>459</v>
      </c>
      <c r="P2745" s="261"/>
      <c r="Q2745" s="367" t="s">
        <v>460</v>
      </c>
    </row>
    <row r="2746" spans="1:20" ht="30" customHeight="1" thickBot="1" x14ac:dyDescent="0.35">
      <c r="A2746" s="371"/>
      <c r="B2746" s="39" t="s">
        <v>446</v>
      </c>
      <c r="C2746" s="38">
        <v>24782</v>
      </c>
      <c r="D2746" s="371"/>
      <c r="E2746" s="39" t="s">
        <v>168</v>
      </c>
      <c r="F2746" s="371"/>
      <c r="G2746" s="371"/>
      <c r="H2746" s="371"/>
      <c r="I2746" s="39">
        <v>90</v>
      </c>
      <c r="J2746" s="39" t="s">
        <v>45</v>
      </c>
      <c r="K2746" s="371"/>
      <c r="L2746" s="368"/>
      <c r="M2746" s="359"/>
      <c r="N2746" s="400"/>
      <c r="O2746" s="368"/>
      <c r="P2746" s="226">
        <v>44090</v>
      </c>
      <c r="Q2746" s="368"/>
      <c r="T2746" s="200">
        <v>1</v>
      </c>
    </row>
    <row r="2747" spans="1:20" ht="30" customHeight="1" thickBot="1" x14ac:dyDescent="0.35">
      <c r="A2747" s="372"/>
      <c r="B2747" s="39" t="s">
        <v>274</v>
      </c>
      <c r="C2747" s="39">
        <v>11250</v>
      </c>
      <c r="D2747" s="372"/>
      <c r="E2747" s="39" t="s">
        <v>168</v>
      </c>
      <c r="F2747" s="372"/>
      <c r="G2747" s="372"/>
      <c r="H2747" s="372"/>
      <c r="I2747" s="39">
        <v>40</v>
      </c>
      <c r="J2747" s="39" t="s">
        <v>461</v>
      </c>
      <c r="K2747" s="372"/>
      <c r="L2747" s="369"/>
      <c r="M2747" s="360"/>
      <c r="N2747" s="401"/>
      <c r="O2747" s="369"/>
      <c r="P2747" s="262"/>
      <c r="Q2747" s="369"/>
    </row>
    <row r="2748" spans="1:20" ht="15" customHeight="1" x14ac:dyDescent="0.3">
      <c r="A2748" s="367">
        <v>771</v>
      </c>
      <c r="B2748" s="367" t="s">
        <v>160</v>
      </c>
      <c r="C2748" s="40">
        <v>19327</v>
      </c>
      <c r="D2748" s="367">
        <v>1</v>
      </c>
      <c r="E2748" s="367" t="s">
        <v>462</v>
      </c>
      <c r="F2748" s="367">
        <v>800</v>
      </c>
      <c r="G2748" s="367">
        <v>800</v>
      </c>
      <c r="H2748" s="367" t="s">
        <v>175</v>
      </c>
      <c r="I2748" s="367">
        <v>100</v>
      </c>
      <c r="J2748" s="370" t="s">
        <v>45</v>
      </c>
      <c r="K2748" s="367">
        <v>30</v>
      </c>
      <c r="L2748" s="367">
        <v>-21</v>
      </c>
      <c r="M2748" s="358" t="s">
        <v>14</v>
      </c>
      <c r="N2748" s="399" t="s">
        <v>463</v>
      </c>
      <c r="O2748" s="367" t="s">
        <v>459</v>
      </c>
      <c r="P2748" s="261"/>
      <c r="Q2748" s="367" t="s">
        <v>464</v>
      </c>
    </row>
    <row r="2749" spans="1:20" ht="15" customHeight="1" x14ac:dyDescent="0.3">
      <c r="A2749" s="368"/>
      <c r="B2749" s="368"/>
      <c r="C2749" s="41">
        <v>16482</v>
      </c>
      <c r="D2749" s="368"/>
      <c r="E2749" s="368"/>
      <c r="F2749" s="368"/>
      <c r="G2749" s="368"/>
      <c r="H2749" s="368"/>
      <c r="I2749" s="368"/>
      <c r="J2749" s="371"/>
      <c r="K2749" s="368"/>
      <c r="L2749" s="368"/>
      <c r="M2749" s="359"/>
      <c r="N2749" s="400"/>
      <c r="O2749" s="368"/>
      <c r="P2749" s="226">
        <v>44090</v>
      </c>
      <c r="Q2749" s="368"/>
    </row>
    <row r="2750" spans="1:20" ht="15" customHeight="1" thickBot="1" x14ac:dyDescent="0.35">
      <c r="A2750" s="369"/>
      <c r="B2750" s="369"/>
      <c r="C2750" s="42">
        <v>10000</v>
      </c>
      <c r="D2750" s="369"/>
      <c r="E2750" s="369"/>
      <c r="F2750" s="369"/>
      <c r="G2750" s="369"/>
      <c r="H2750" s="369"/>
      <c r="I2750" s="369"/>
      <c r="J2750" s="372"/>
      <c r="K2750" s="369"/>
      <c r="L2750" s="369"/>
      <c r="M2750" s="360"/>
      <c r="N2750" s="401"/>
      <c r="O2750" s="369"/>
      <c r="P2750" s="262"/>
      <c r="Q2750" s="369"/>
      <c r="T2750" s="200">
        <v>1</v>
      </c>
    </row>
    <row r="2751" spans="1:20" ht="15" customHeight="1" x14ac:dyDescent="0.3">
      <c r="A2751" s="367">
        <v>772</v>
      </c>
      <c r="B2751" s="367" t="s">
        <v>160</v>
      </c>
      <c r="C2751" s="40">
        <v>19890</v>
      </c>
      <c r="D2751" s="367">
        <v>1</v>
      </c>
      <c r="E2751" s="367" t="s">
        <v>161</v>
      </c>
      <c r="F2751" s="367">
        <v>800</v>
      </c>
      <c r="G2751" s="367">
        <v>800</v>
      </c>
      <c r="H2751" s="367" t="s">
        <v>175</v>
      </c>
      <c r="I2751" s="367">
        <v>100</v>
      </c>
      <c r="J2751" s="370" t="s">
        <v>45</v>
      </c>
      <c r="K2751" s="367">
        <v>30</v>
      </c>
      <c r="L2751" s="367">
        <v>-21</v>
      </c>
      <c r="M2751" s="358" t="s">
        <v>14</v>
      </c>
      <c r="N2751" s="399" t="s">
        <v>463</v>
      </c>
      <c r="O2751" s="367" t="s">
        <v>459</v>
      </c>
      <c r="P2751" s="261"/>
      <c r="Q2751" s="367" t="s">
        <v>464</v>
      </c>
    </row>
    <row r="2752" spans="1:20" ht="15" customHeight="1" x14ac:dyDescent="0.3">
      <c r="A2752" s="368"/>
      <c r="B2752" s="368"/>
      <c r="C2752" s="41">
        <v>15798</v>
      </c>
      <c r="D2752" s="368"/>
      <c r="E2752" s="368"/>
      <c r="F2752" s="368"/>
      <c r="G2752" s="368"/>
      <c r="H2752" s="368"/>
      <c r="I2752" s="368"/>
      <c r="J2752" s="371"/>
      <c r="K2752" s="368"/>
      <c r="L2752" s="368"/>
      <c r="M2752" s="359"/>
      <c r="N2752" s="400"/>
      <c r="O2752" s="368"/>
      <c r="P2752" s="226">
        <v>44090</v>
      </c>
      <c r="Q2752" s="368"/>
      <c r="T2752" s="200">
        <v>1</v>
      </c>
    </row>
    <row r="2753" spans="1:20" ht="15" customHeight="1" thickBot="1" x14ac:dyDescent="0.35">
      <c r="A2753" s="369"/>
      <c r="B2753" s="369"/>
      <c r="C2753" s="42">
        <v>10000</v>
      </c>
      <c r="D2753" s="369"/>
      <c r="E2753" s="369"/>
      <c r="F2753" s="369"/>
      <c r="G2753" s="369"/>
      <c r="H2753" s="369"/>
      <c r="I2753" s="369"/>
      <c r="J2753" s="372"/>
      <c r="K2753" s="369"/>
      <c r="L2753" s="369"/>
      <c r="M2753" s="360"/>
      <c r="N2753" s="401"/>
      <c r="O2753" s="369"/>
      <c r="P2753" s="262"/>
      <c r="Q2753" s="369"/>
    </row>
    <row r="2754" spans="1:20" ht="15" customHeight="1" x14ac:dyDescent="0.3">
      <c r="A2754" s="367">
        <v>773</v>
      </c>
      <c r="B2754" s="367" t="s">
        <v>160</v>
      </c>
      <c r="C2754" s="40">
        <v>25278</v>
      </c>
      <c r="D2754" s="370">
        <v>1</v>
      </c>
      <c r="E2754" s="367" t="s">
        <v>161</v>
      </c>
      <c r="F2754" s="367">
        <v>800</v>
      </c>
      <c r="G2754" s="367">
        <v>800</v>
      </c>
      <c r="H2754" s="367" t="s">
        <v>175</v>
      </c>
      <c r="I2754" s="367">
        <v>100</v>
      </c>
      <c r="J2754" s="370" t="s">
        <v>45</v>
      </c>
      <c r="K2754" s="367">
        <v>30</v>
      </c>
      <c r="L2754" s="367">
        <v>-21</v>
      </c>
      <c r="M2754" s="358" t="s">
        <v>14</v>
      </c>
      <c r="N2754" s="399" t="s">
        <v>463</v>
      </c>
      <c r="O2754" s="367" t="s">
        <v>459</v>
      </c>
      <c r="P2754" s="261"/>
      <c r="Q2754" s="367" t="s">
        <v>464</v>
      </c>
      <c r="T2754" s="200">
        <v>1</v>
      </c>
    </row>
    <row r="2755" spans="1:20" ht="15" customHeight="1" x14ac:dyDescent="0.3">
      <c r="A2755" s="368"/>
      <c r="B2755" s="368"/>
      <c r="C2755" s="41">
        <v>2482</v>
      </c>
      <c r="D2755" s="371"/>
      <c r="E2755" s="368"/>
      <c r="F2755" s="368"/>
      <c r="G2755" s="368"/>
      <c r="H2755" s="368"/>
      <c r="I2755" s="368"/>
      <c r="J2755" s="371"/>
      <c r="K2755" s="368"/>
      <c r="L2755" s="368"/>
      <c r="M2755" s="359"/>
      <c r="N2755" s="400"/>
      <c r="O2755" s="368"/>
      <c r="P2755" s="226">
        <v>44090</v>
      </c>
      <c r="Q2755" s="368"/>
    </row>
    <row r="2756" spans="1:20" ht="15" customHeight="1" thickBot="1" x14ac:dyDescent="0.35">
      <c r="A2756" s="369"/>
      <c r="B2756" s="369"/>
      <c r="C2756" s="42">
        <v>9050</v>
      </c>
      <c r="D2756" s="372"/>
      <c r="E2756" s="369"/>
      <c r="F2756" s="369"/>
      <c r="G2756" s="369"/>
      <c r="H2756" s="369"/>
      <c r="I2756" s="369"/>
      <c r="J2756" s="372"/>
      <c r="K2756" s="369"/>
      <c r="L2756" s="369"/>
      <c r="M2756" s="360"/>
      <c r="N2756" s="401"/>
      <c r="O2756" s="369"/>
      <c r="P2756" s="262"/>
      <c r="Q2756" s="369"/>
    </row>
    <row r="2757" spans="1:20" ht="15" customHeight="1" x14ac:dyDescent="0.3">
      <c r="A2757" s="367">
        <v>774</v>
      </c>
      <c r="B2757" s="367" t="s">
        <v>160</v>
      </c>
      <c r="C2757" s="40">
        <v>25338</v>
      </c>
      <c r="D2757" s="370">
        <v>1</v>
      </c>
      <c r="E2757" s="367" t="s">
        <v>161</v>
      </c>
      <c r="F2757" s="367">
        <v>800</v>
      </c>
      <c r="G2757" s="367">
        <v>800</v>
      </c>
      <c r="H2757" s="367" t="s">
        <v>175</v>
      </c>
      <c r="I2757" s="367">
        <v>100</v>
      </c>
      <c r="J2757" s="370" t="s">
        <v>45</v>
      </c>
      <c r="K2757" s="367">
        <v>30</v>
      </c>
      <c r="L2757" s="367">
        <v>-21</v>
      </c>
      <c r="M2757" s="358" t="s">
        <v>14</v>
      </c>
      <c r="N2757" s="399" t="s">
        <v>463</v>
      </c>
      <c r="O2757" s="367" t="s">
        <v>459</v>
      </c>
      <c r="P2757" s="261"/>
      <c r="Q2757" s="367" t="s">
        <v>464</v>
      </c>
    </row>
    <row r="2758" spans="1:20" ht="15" customHeight="1" x14ac:dyDescent="0.3">
      <c r="A2758" s="368"/>
      <c r="B2758" s="368"/>
      <c r="C2758" s="41">
        <v>1772</v>
      </c>
      <c r="D2758" s="371"/>
      <c r="E2758" s="368"/>
      <c r="F2758" s="368"/>
      <c r="G2758" s="368"/>
      <c r="H2758" s="368"/>
      <c r="I2758" s="368"/>
      <c r="J2758" s="371"/>
      <c r="K2758" s="368"/>
      <c r="L2758" s="368"/>
      <c r="M2758" s="359"/>
      <c r="N2758" s="400"/>
      <c r="O2758" s="368"/>
      <c r="P2758" s="226">
        <v>44090</v>
      </c>
      <c r="Q2758" s="368"/>
      <c r="T2758" s="200">
        <v>1</v>
      </c>
    </row>
    <row r="2759" spans="1:20" ht="15" customHeight="1" thickBot="1" x14ac:dyDescent="0.35">
      <c r="A2759" s="369"/>
      <c r="B2759" s="369"/>
      <c r="C2759" s="42">
        <v>9050</v>
      </c>
      <c r="D2759" s="372"/>
      <c r="E2759" s="369"/>
      <c r="F2759" s="369"/>
      <c r="G2759" s="369"/>
      <c r="H2759" s="369"/>
      <c r="I2759" s="369"/>
      <c r="J2759" s="372"/>
      <c r="K2759" s="369"/>
      <c r="L2759" s="369"/>
      <c r="M2759" s="360"/>
      <c r="N2759" s="401"/>
      <c r="O2759" s="369"/>
      <c r="P2759" s="262"/>
      <c r="Q2759" s="369"/>
    </row>
    <row r="2760" spans="1:20" ht="15" customHeight="1" x14ac:dyDescent="0.3">
      <c r="A2760" s="367">
        <v>775</v>
      </c>
      <c r="B2760" s="367" t="s">
        <v>160</v>
      </c>
      <c r="C2760" s="40">
        <v>24224</v>
      </c>
      <c r="D2760" s="370">
        <v>1</v>
      </c>
      <c r="E2760" s="367" t="s">
        <v>161</v>
      </c>
      <c r="F2760" s="367">
        <v>800</v>
      </c>
      <c r="G2760" s="367">
        <v>800</v>
      </c>
      <c r="H2760" s="367" t="s">
        <v>175</v>
      </c>
      <c r="I2760" s="367">
        <v>100</v>
      </c>
      <c r="J2760" s="370" t="s">
        <v>45</v>
      </c>
      <c r="K2760" s="367">
        <v>30</v>
      </c>
      <c r="L2760" s="367">
        <v>-21</v>
      </c>
      <c r="M2760" s="358" t="s">
        <v>14</v>
      </c>
      <c r="N2760" s="399" t="s">
        <v>463</v>
      </c>
      <c r="O2760" s="367" t="s">
        <v>459</v>
      </c>
      <c r="P2760" s="261"/>
      <c r="Q2760" s="367" t="s">
        <v>464</v>
      </c>
    </row>
    <row r="2761" spans="1:20" ht="15" customHeight="1" x14ac:dyDescent="0.3">
      <c r="A2761" s="368"/>
      <c r="B2761" s="368"/>
      <c r="C2761" s="41">
        <v>-7638</v>
      </c>
      <c r="D2761" s="371"/>
      <c r="E2761" s="368"/>
      <c r="F2761" s="368"/>
      <c r="G2761" s="368"/>
      <c r="H2761" s="368"/>
      <c r="I2761" s="368"/>
      <c r="J2761" s="371"/>
      <c r="K2761" s="368"/>
      <c r="L2761" s="368"/>
      <c r="M2761" s="359"/>
      <c r="N2761" s="400"/>
      <c r="O2761" s="368"/>
      <c r="P2761" s="226">
        <v>44090</v>
      </c>
      <c r="Q2761" s="368"/>
      <c r="T2761" s="200">
        <v>1</v>
      </c>
    </row>
    <row r="2762" spans="1:20" ht="15" customHeight="1" thickBot="1" x14ac:dyDescent="0.35">
      <c r="A2762" s="369"/>
      <c r="B2762" s="369"/>
      <c r="C2762" s="42">
        <v>8250</v>
      </c>
      <c r="D2762" s="372"/>
      <c r="E2762" s="369"/>
      <c r="F2762" s="369"/>
      <c r="G2762" s="369"/>
      <c r="H2762" s="369"/>
      <c r="I2762" s="369"/>
      <c r="J2762" s="372"/>
      <c r="K2762" s="369"/>
      <c r="L2762" s="369"/>
      <c r="M2762" s="360"/>
      <c r="N2762" s="401"/>
      <c r="O2762" s="369"/>
      <c r="P2762" s="262"/>
      <c r="Q2762" s="369"/>
    </row>
    <row r="2763" spans="1:20" ht="15" customHeight="1" x14ac:dyDescent="0.3">
      <c r="A2763" s="358">
        <v>776</v>
      </c>
      <c r="B2763" s="358" t="s">
        <v>160</v>
      </c>
      <c r="C2763" s="110">
        <v>24003</v>
      </c>
      <c r="D2763" s="364">
        <v>1</v>
      </c>
      <c r="E2763" s="358" t="s">
        <v>161</v>
      </c>
      <c r="F2763" s="358">
        <v>800</v>
      </c>
      <c r="G2763" s="358">
        <v>800</v>
      </c>
      <c r="H2763" s="358" t="s">
        <v>175</v>
      </c>
      <c r="I2763" s="358">
        <v>100</v>
      </c>
      <c r="J2763" s="364" t="s">
        <v>45</v>
      </c>
      <c r="K2763" s="358">
        <v>30</v>
      </c>
      <c r="L2763" s="358">
        <v>-21</v>
      </c>
      <c r="M2763" s="358" t="s">
        <v>14</v>
      </c>
      <c r="N2763" s="399" t="s">
        <v>463</v>
      </c>
      <c r="O2763" s="358" t="s">
        <v>459</v>
      </c>
      <c r="P2763" s="258"/>
      <c r="Q2763" s="358" t="s">
        <v>464</v>
      </c>
    </row>
    <row r="2764" spans="1:20" ht="15" customHeight="1" x14ac:dyDescent="0.3">
      <c r="A2764" s="359"/>
      <c r="B2764" s="359"/>
      <c r="C2764" s="111">
        <v>-8307</v>
      </c>
      <c r="D2764" s="365"/>
      <c r="E2764" s="359"/>
      <c r="F2764" s="359"/>
      <c r="G2764" s="359"/>
      <c r="H2764" s="359"/>
      <c r="I2764" s="359"/>
      <c r="J2764" s="365"/>
      <c r="K2764" s="359"/>
      <c r="L2764" s="359"/>
      <c r="M2764" s="359"/>
      <c r="N2764" s="400"/>
      <c r="O2764" s="359"/>
      <c r="P2764" s="236">
        <v>44090</v>
      </c>
      <c r="Q2764" s="359"/>
      <c r="T2764" s="200">
        <v>1</v>
      </c>
    </row>
    <row r="2765" spans="1:20" ht="15" customHeight="1" thickBot="1" x14ac:dyDescent="0.35">
      <c r="A2765" s="360"/>
      <c r="B2765" s="360"/>
      <c r="C2765" s="112">
        <v>8250</v>
      </c>
      <c r="D2765" s="366"/>
      <c r="E2765" s="360"/>
      <c r="F2765" s="360"/>
      <c r="G2765" s="360"/>
      <c r="H2765" s="360"/>
      <c r="I2765" s="360"/>
      <c r="J2765" s="366"/>
      <c r="K2765" s="360"/>
      <c r="L2765" s="360"/>
      <c r="M2765" s="360"/>
      <c r="N2765" s="401"/>
      <c r="O2765" s="360"/>
      <c r="P2765" s="260"/>
      <c r="Q2765" s="360"/>
    </row>
    <row r="2766" spans="1:20" ht="15" customHeight="1" x14ac:dyDescent="0.3">
      <c r="A2766" s="358">
        <v>777</v>
      </c>
      <c r="B2766" s="358" t="s">
        <v>160</v>
      </c>
      <c r="C2766" s="110">
        <v>20418</v>
      </c>
      <c r="D2766" s="364">
        <v>1</v>
      </c>
      <c r="E2766" s="358" t="s">
        <v>161</v>
      </c>
      <c r="F2766" s="358">
        <v>800</v>
      </c>
      <c r="G2766" s="358">
        <v>800</v>
      </c>
      <c r="H2766" s="358" t="s">
        <v>175</v>
      </c>
      <c r="I2766" s="358">
        <v>100</v>
      </c>
      <c r="J2766" s="364" t="s">
        <v>45</v>
      </c>
      <c r="K2766" s="358">
        <v>30</v>
      </c>
      <c r="L2766" s="358">
        <v>-21</v>
      </c>
      <c r="M2766" s="358" t="s">
        <v>14</v>
      </c>
      <c r="N2766" s="399" t="s">
        <v>463</v>
      </c>
      <c r="O2766" s="358" t="s">
        <v>459</v>
      </c>
      <c r="P2766" s="258"/>
      <c r="Q2766" s="358" t="s">
        <v>464</v>
      </c>
    </row>
    <row r="2767" spans="1:20" ht="15" customHeight="1" x14ac:dyDescent="0.3">
      <c r="A2767" s="359"/>
      <c r="B2767" s="359"/>
      <c r="C2767" s="111">
        <v>-15108</v>
      </c>
      <c r="D2767" s="365"/>
      <c r="E2767" s="359"/>
      <c r="F2767" s="359"/>
      <c r="G2767" s="359"/>
      <c r="H2767" s="359"/>
      <c r="I2767" s="359"/>
      <c r="J2767" s="365"/>
      <c r="K2767" s="359"/>
      <c r="L2767" s="359"/>
      <c r="M2767" s="359"/>
      <c r="N2767" s="400"/>
      <c r="O2767" s="359"/>
      <c r="P2767" s="236">
        <v>44090</v>
      </c>
      <c r="Q2767" s="359"/>
      <c r="T2767" s="200">
        <v>1</v>
      </c>
    </row>
    <row r="2768" spans="1:20" ht="15" customHeight="1" thickBot="1" x14ac:dyDescent="0.35">
      <c r="A2768" s="360"/>
      <c r="B2768" s="360"/>
      <c r="C2768" s="112">
        <v>9250</v>
      </c>
      <c r="D2768" s="366"/>
      <c r="E2768" s="360"/>
      <c r="F2768" s="360"/>
      <c r="G2768" s="360"/>
      <c r="H2768" s="360"/>
      <c r="I2768" s="360"/>
      <c r="J2768" s="366"/>
      <c r="K2768" s="360"/>
      <c r="L2768" s="360"/>
      <c r="M2768" s="360"/>
      <c r="N2768" s="401"/>
      <c r="O2768" s="360"/>
      <c r="P2768" s="260"/>
      <c r="Q2768" s="360"/>
    </row>
    <row r="2769" spans="1:20" ht="15" customHeight="1" x14ac:dyDescent="0.3">
      <c r="A2769" s="358">
        <v>778</v>
      </c>
      <c r="B2769" s="358" t="s">
        <v>160</v>
      </c>
      <c r="C2769" s="110">
        <v>19878</v>
      </c>
      <c r="D2769" s="364">
        <v>1</v>
      </c>
      <c r="E2769" s="358" t="s">
        <v>161</v>
      </c>
      <c r="F2769" s="358">
        <v>800</v>
      </c>
      <c r="G2769" s="358">
        <v>800</v>
      </c>
      <c r="H2769" s="358" t="s">
        <v>175</v>
      </c>
      <c r="I2769" s="358">
        <v>100</v>
      </c>
      <c r="J2769" s="364" t="s">
        <v>45</v>
      </c>
      <c r="K2769" s="358">
        <v>30</v>
      </c>
      <c r="L2769" s="358">
        <v>-21</v>
      </c>
      <c r="M2769" s="358" t="s">
        <v>14</v>
      </c>
      <c r="N2769" s="364" t="s">
        <v>463</v>
      </c>
      <c r="O2769" s="358" t="s">
        <v>459</v>
      </c>
      <c r="P2769" s="258"/>
      <c r="Q2769" s="358" t="s">
        <v>464</v>
      </c>
    </row>
    <row r="2770" spans="1:20" ht="15" customHeight="1" x14ac:dyDescent="0.3">
      <c r="A2770" s="359"/>
      <c r="B2770" s="359"/>
      <c r="C2770" s="111">
        <v>-15812</v>
      </c>
      <c r="D2770" s="365"/>
      <c r="E2770" s="359"/>
      <c r="F2770" s="359"/>
      <c r="G2770" s="359"/>
      <c r="H2770" s="359"/>
      <c r="I2770" s="359"/>
      <c r="J2770" s="365"/>
      <c r="K2770" s="359"/>
      <c r="L2770" s="359"/>
      <c r="M2770" s="359"/>
      <c r="N2770" s="365"/>
      <c r="O2770" s="359"/>
      <c r="P2770" s="236">
        <v>44090</v>
      </c>
      <c r="Q2770" s="359"/>
      <c r="T2770" s="200">
        <v>1</v>
      </c>
    </row>
    <row r="2771" spans="1:20" ht="15" customHeight="1" thickBot="1" x14ac:dyDescent="0.35">
      <c r="A2771" s="360"/>
      <c r="B2771" s="360"/>
      <c r="C2771" s="112">
        <v>9250</v>
      </c>
      <c r="D2771" s="366"/>
      <c r="E2771" s="360"/>
      <c r="F2771" s="360"/>
      <c r="G2771" s="360"/>
      <c r="H2771" s="360"/>
      <c r="I2771" s="360"/>
      <c r="J2771" s="366"/>
      <c r="K2771" s="360"/>
      <c r="L2771" s="360"/>
      <c r="M2771" s="360"/>
      <c r="N2771" s="366"/>
      <c r="O2771" s="360"/>
      <c r="P2771" s="260"/>
      <c r="Q2771" s="360"/>
    </row>
    <row r="2772" spans="1:20" ht="15" customHeight="1" x14ac:dyDescent="0.3">
      <c r="A2772" s="358">
        <v>779</v>
      </c>
      <c r="B2772" s="358" t="s">
        <v>174</v>
      </c>
      <c r="C2772" s="110">
        <v>15797</v>
      </c>
      <c r="D2772" s="364">
        <v>0</v>
      </c>
      <c r="E2772" s="358" t="s">
        <v>13</v>
      </c>
      <c r="F2772" s="358">
        <v>1110</v>
      </c>
      <c r="G2772" s="358">
        <v>800</v>
      </c>
      <c r="H2772" s="358" t="s">
        <v>50</v>
      </c>
      <c r="I2772" s="358" t="s">
        <v>13</v>
      </c>
      <c r="J2772" s="358" t="s">
        <v>13</v>
      </c>
      <c r="K2772" s="358" t="s">
        <v>13</v>
      </c>
      <c r="L2772" s="358" t="s">
        <v>13</v>
      </c>
      <c r="M2772" s="358" t="s">
        <v>14</v>
      </c>
      <c r="N2772" s="364" t="s">
        <v>463</v>
      </c>
      <c r="O2772" s="358" t="s">
        <v>27</v>
      </c>
      <c r="P2772" s="258"/>
      <c r="Q2772" s="358" t="s">
        <v>184</v>
      </c>
    </row>
    <row r="2773" spans="1:20" ht="15" customHeight="1" x14ac:dyDescent="0.3">
      <c r="A2773" s="359"/>
      <c r="B2773" s="359"/>
      <c r="C2773" s="111">
        <v>19887</v>
      </c>
      <c r="D2773" s="365"/>
      <c r="E2773" s="359"/>
      <c r="F2773" s="359"/>
      <c r="G2773" s="359"/>
      <c r="H2773" s="359"/>
      <c r="I2773" s="359"/>
      <c r="J2773" s="359"/>
      <c r="K2773" s="359"/>
      <c r="L2773" s="359"/>
      <c r="M2773" s="359"/>
      <c r="N2773" s="365"/>
      <c r="O2773" s="359"/>
      <c r="P2773" s="236">
        <v>44090</v>
      </c>
      <c r="Q2773" s="359"/>
      <c r="T2773" s="200">
        <v>1</v>
      </c>
    </row>
    <row r="2774" spans="1:20" ht="15" customHeight="1" thickBot="1" x14ac:dyDescent="0.35">
      <c r="A2774" s="360"/>
      <c r="B2774" s="360"/>
      <c r="C2774" s="112">
        <v>176</v>
      </c>
      <c r="D2774" s="366"/>
      <c r="E2774" s="360"/>
      <c r="F2774" s="360"/>
      <c r="G2774" s="360"/>
      <c r="H2774" s="360"/>
      <c r="I2774" s="360"/>
      <c r="J2774" s="360"/>
      <c r="K2774" s="360"/>
      <c r="L2774" s="360"/>
      <c r="M2774" s="360"/>
      <c r="N2774" s="366"/>
      <c r="O2774" s="360"/>
      <c r="P2774" s="260"/>
      <c r="Q2774" s="360"/>
    </row>
    <row r="2775" spans="1:20" ht="15" customHeight="1" x14ac:dyDescent="0.3">
      <c r="A2775" s="364">
        <v>780</v>
      </c>
      <c r="B2775" s="364" t="s">
        <v>270</v>
      </c>
      <c r="C2775" s="249">
        <v>-6574</v>
      </c>
      <c r="D2775" s="364">
        <v>1</v>
      </c>
      <c r="E2775" s="364" t="s">
        <v>44</v>
      </c>
      <c r="F2775" s="358">
        <v>800</v>
      </c>
      <c r="G2775" s="358">
        <v>800</v>
      </c>
      <c r="H2775" s="364" t="s">
        <v>61</v>
      </c>
      <c r="I2775" s="364">
        <v>30</v>
      </c>
      <c r="J2775" s="364">
        <f>-0.1/0.23</f>
        <v>-0.43478260869565216</v>
      </c>
      <c r="K2775" s="364">
        <v>0</v>
      </c>
      <c r="L2775" s="358">
        <v>43.5</v>
      </c>
      <c r="M2775" s="358" t="s">
        <v>14</v>
      </c>
      <c r="N2775" s="364" t="s">
        <v>465</v>
      </c>
      <c r="O2775" s="358" t="s">
        <v>459</v>
      </c>
      <c r="P2775" s="258"/>
      <c r="Q2775" s="364" t="s">
        <v>466</v>
      </c>
      <c r="T2775" s="200">
        <v>1</v>
      </c>
    </row>
    <row r="2776" spans="1:20" ht="15" customHeight="1" x14ac:dyDescent="0.3">
      <c r="A2776" s="365"/>
      <c r="B2776" s="365"/>
      <c r="C2776" s="250">
        <v>-24535</v>
      </c>
      <c r="D2776" s="365"/>
      <c r="E2776" s="365"/>
      <c r="F2776" s="359"/>
      <c r="G2776" s="359"/>
      <c r="H2776" s="365"/>
      <c r="I2776" s="365"/>
      <c r="J2776" s="365"/>
      <c r="K2776" s="365"/>
      <c r="L2776" s="359"/>
      <c r="M2776" s="359"/>
      <c r="N2776" s="365"/>
      <c r="O2776" s="359"/>
      <c r="P2776" s="236">
        <v>44090</v>
      </c>
      <c r="Q2776" s="365"/>
    </row>
    <row r="2777" spans="1:20" ht="15" customHeight="1" thickBot="1" x14ac:dyDescent="0.35">
      <c r="A2777" s="366"/>
      <c r="B2777" s="366"/>
      <c r="C2777" s="251">
        <v>8420</v>
      </c>
      <c r="D2777" s="366"/>
      <c r="E2777" s="366"/>
      <c r="F2777" s="360"/>
      <c r="G2777" s="360"/>
      <c r="H2777" s="366"/>
      <c r="I2777" s="366"/>
      <c r="J2777" s="366"/>
      <c r="K2777" s="366"/>
      <c r="L2777" s="360"/>
      <c r="M2777" s="360"/>
      <c r="N2777" s="366"/>
      <c r="O2777" s="360"/>
      <c r="P2777" s="260"/>
      <c r="Q2777" s="366"/>
    </row>
    <row r="2778" spans="1:20" ht="15" customHeight="1" thickBot="1" x14ac:dyDescent="0.35">
      <c r="A2778" s="364">
        <v>781</v>
      </c>
      <c r="B2778" s="251" t="s">
        <v>446</v>
      </c>
      <c r="C2778" s="249">
        <v>5389</v>
      </c>
      <c r="D2778" s="364">
        <v>3</v>
      </c>
      <c r="E2778" s="251" t="s">
        <v>168</v>
      </c>
      <c r="F2778" s="364">
        <v>794</v>
      </c>
      <c r="G2778" s="358">
        <v>800</v>
      </c>
      <c r="H2778" s="364" t="s">
        <v>50</v>
      </c>
      <c r="I2778" s="251">
        <v>350</v>
      </c>
      <c r="J2778" s="251" t="s">
        <v>45</v>
      </c>
      <c r="K2778" s="249" t="s">
        <v>275</v>
      </c>
      <c r="L2778" s="358" t="s">
        <v>13</v>
      </c>
      <c r="M2778" s="358" t="s">
        <v>14</v>
      </c>
      <c r="N2778" s="364" t="s">
        <v>103</v>
      </c>
      <c r="O2778" s="358" t="s">
        <v>459</v>
      </c>
      <c r="P2778" s="258"/>
      <c r="Q2778" s="358" t="s">
        <v>467</v>
      </c>
    </row>
    <row r="2779" spans="1:20" ht="15" customHeight="1" thickBot="1" x14ac:dyDescent="0.35">
      <c r="A2779" s="365"/>
      <c r="B2779" s="251" t="s">
        <v>446</v>
      </c>
      <c r="C2779" s="250">
        <v>24822</v>
      </c>
      <c r="D2779" s="365"/>
      <c r="E2779" s="251" t="s">
        <v>168</v>
      </c>
      <c r="F2779" s="365"/>
      <c r="G2779" s="359"/>
      <c r="H2779" s="365"/>
      <c r="I2779" s="251">
        <v>90</v>
      </c>
      <c r="J2779" s="251" t="s">
        <v>45</v>
      </c>
      <c r="K2779" s="249"/>
      <c r="L2779" s="359"/>
      <c r="M2779" s="359"/>
      <c r="N2779" s="365"/>
      <c r="O2779" s="359"/>
      <c r="P2779" s="236">
        <v>44090</v>
      </c>
      <c r="Q2779" s="359"/>
      <c r="T2779" s="200">
        <v>1</v>
      </c>
    </row>
    <row r="2780" spans="1:20" ht="15" customHeight="1" thickBot="1" x14ac:dyDescent="0.35">
      <c r="A2780" s="366"/>
      <c r="B2780" s="251" t="s">
        <v>274</v>
      </c>
      <c r="C2780" s="251">
        <v>11250</v>
      </c>
      <c r="D2780" s="366"/>
      <c r="E2780" s="251" t="s">
        <v>168</v>
      </c>
      <c r="F2780" s="366"/>
      <c r="G2780" s="360"/>
      <c r="H2780" s="366"/>
      <c r="I2780" s="251">
        <v>40</v>
      </c>
      <c r="J2780" s="251" t="s">
        <v>45</v>
      </c>
      <c r="K2780" s="251"/>
      <c r="L2780" s="360"/>
      <c r="M2780" s="360"/>
      <c r="N2780" s="366"/>
      <c r="O2780" s="360"/>
      <c r="P2780" s="260"/>
      <c r="Q2780" s="360"/>
    </row>
    <row r="2781" spans="1:20" ht="15" customHeight="1" x14ac:dyDescent="0.3">
      <c r="A2781" s="358">
        <v>782</v>
      </c>
      <c r="B2781" s="358" t="s">
        <v>327</v>
      </c>
      <c r="C2781" s="110">
        <v>13082</v>
      </c>
      <c r="D2781" s="358">
        <v>1</v>
      </c>
      <c r="E2781" s="358" t="s">
        <v>168</v>
      </c>
      <c r="F2781" s="358">
        <v>794</v>
      </c>
      <c r="G2781" s="358">
        <v>800</v>
      </c>
      <c r="H2781" s="358" t="s">
        <v>50</v>
      </c>
      <c r="I2781" s="358">
        <v>50</v>
      </c>
      <c r="J2781" s="358">
        <f>-0.03/0.36</f>
        <v>-8.3333333333333329E-2</v>
      </c>
      <c r="K2781" s="358">
        <v>30</v>
      </c>
      <c r="L2781" s="358">
        <v>12</v>
      </c>
      <c r="M2781" s="358" t="s">
        <v>14</v>
      </c>
      <c r="N2781" s="364" t="s">
        <v>103</v>
      </c>
      <c r="O2781" s="358" t="s">
        <v>459</v>
      </c>
      <c r="P2781" s="258"/>
      <c r="Q2781" s="364" t="s">
        <v>468</v>
      </c>
    </row>
    <row r="2782" spans="1:20" ht="15" customHeight="1" x14ac:dyDescent="0.3">
      <c r="A2782" s="359"/>
      <c r="B2782" s="359"/>
      <c r="C2782" s="111">
        <v>21772</v>
      </c>
      <c r="D2782" s="359"/>
      <c r="E2782" s="359"/>
      <c r="F2782" s="359"/>
      <c r="G2782" s="359"/>
      <c r="H2782" s="359"/>
      <c r="I2782" s="359"/>
      <c r="J2782" s="359"/>
      <c r="K2782" s="359"/>
      <c r="L2782" s="359"/>
      <c r="M2782" s="359"/>
      <c r="N2782" s="365"/>
      <c r="O2782" s="359"/>
      <c r="P2782" s="236">
        <v>44090</v>
      </c>
      <c r="Q2782" s="365"/>
      <c r="T2782" s="200">
        <v>1</v>
      </c>
    </row>
    <row r="2783" spans="1:20" ht="15" customHeight="1" thickBot="1" x14ac:dyDescent="0.35">
      <c r="A2783" s="360"/>
      <c r="B2783" s="360"/>
      <c r="C2783" s="112">
        <v>11250</v>
      </c>
      <c r="D2783" s="360"/>
      <c r="E2783" s="360"/>
      <c r="F2783" s="360"/>
      <c r="G2783" s="360"/>
      <c r="H2783" s="360"/>
      <c r="I2783" s="360"/>
      <c r="J2783" s="360"/>
      <c r="K2783" s="360"/>
      <c r="L2783" s="360"/>
      <c r="M2783" s="360"/>
      <c r="N2783" s="366"/>
      <c r="O2783" s="360"/>
      <c r="P2783" s="260"/>
      <c r="Q2783" s="366"/>
    </row>
    <row r="2784" spans="1:20" ht="15" customHeight="1" x14ac:dyDescent="0.3">
      <c r="A2784" s="358">
        <v>783</v>
      </c>
      <c r="B2784" s="358" t="s">
        <v>203</v>
      </c>
      <c r="C2784" s="110">
        <v>15799</v>
      </c>
      <c r="D2784" s="358">
        <v>1</v>
      </c>
      <c r="E2784" s="358" t="s">
        <v>204</v>
      </c>
      <c r="F2784" s="358">
        <v>1110</v>
      </c>
      <c r="G2784" s="358">
        <v>800</v>
      </c>
      <c r="H2784" s="358" t="s">
        <v>50</v>
      </c>
      <c r="I2784" s="358">
        <v>30</v>
      </c>
      <c r="J2784" s="358" t="s">
        <v>13</v>
      </c>
      <c r="K2784" s="358" t="s">
        <v>13</v>
      </c>
      <c r="L2784" s="358" t="s">
        <v>13</v>
      </c>
      <c r="M2784" s="358" t="s">
        <v>14</v>
      </c>
      <c r="N2784" s="364" t="s">
        <v>469</v>
      </c>
      <c r="O2784" s="358" t="s">
        <v>27</v>
      </c>
      <c r="P2784" s="258"/>
      <c r="Q2784" s="364" t="s">
        <v>470</v>
      </c>
    </row>
    <row r="2785" spans="1:20" ht="15" customHeight="1" x14ac:dyDescent="0.3">
      <c r="A2785" s="359"/>
      <c r="B2785" s="359"/>
      <c r="C2785" s="111">
        <v>19305</v>
      </c>
      <c r="D2785" s="359"/>
      <c r="E2785" s="359"/>
      <c r="F2785" s="359"/>
      <c r="G2785" s="359"/>
      <c r="H2785" s="359"/>
      <c r="I2785" s="359"/>
      <c r="J2785" s="359"/>
      <c r="K2785" s="359"/>
      <c r="L2785" s="359"/>
      <c r="M2785" s="359"/>
      <c r="N2785" s="365"/>
      <c r="O2785" s="359"/>
      <c r="P2785" s="236">
        <v>44090</v>
      </c>
      <c r="Q2785" s="365"/>
      <c r="T2785" s="200">
        <v>1</v>
      </c>
    </row>
    <row r="2786" spans="1:20" ht="15" customHeight="1" thickBot="1" x14ac:dyDescent="0.35">
      <c r="A2786" s="360"/>
      <c r="B2786" s="360"/>
      <c r="C2786" s="112">
        <v>180</v>
      </c>
      <c r="D2786" s="360"/>
      <c r="E2786" s="360"/>
      <c r="F2786" s="360"/>
      <c r="G2786" s="360"/>
      <c r="H2786" s="360"/>
      <c r="I2786" s="360"/>
      <c r="J2786" s="360"/>
      <c r="K2786" s="360"/>
      <c r="L2786" s="360"/>
      <c r="M2786" s="360"/>
      <c r="N2786" s="366"/>
      <c r="O2786" s="360"/>
      <c r="P2786" s="260"/>
      <c r="Q2786" s="366"/>
    </row>
    <row r="2787" spans="1:20" ht="15" customHeight="1" thickBot="1" x14ac:dyDescent="0.35">
      <c r="A2787" s="352" t="s">
        <v>113</v>
      </c>
      <c r="B2787" s="353"/>
      <c r="C2787" s="353"/>
      <c r="D2787" s="353"/>
      <c r="E2787" s="353"/>
      <c r="F2787" s="353"/>
      <c r="G2787" s="353"/>
      <c r="H2787" s="353"/>
      <c r="I2787" s="353"/>
      <c r="J2787" s="353"/>
      <c r="K2787" s="353"/>
      <c r="L2787" s="353"/>
      <c r="M2787" s="353"/>
      <c r="N2787" s="353"/>
      <c r="O2787" s="353"/>
      <c r="P2787" s="353"/>
      <c r="Q2787" s="354"/>
    </row>
    <row r="2788" spans="1:20" ht="15" customHeight="1" thickBot="1" x14ac:dyDescent="0.35">
      <c r="A2788" s="393" t="s">
        <v>471</v>
      </c>
      <c r="B2788" s="394"/>
      <c r="C2788" s="394"/>
      <c r="D2788" s="394"/>
      <c r="E2788" s="394"/>
      <c r="F2788" s="394"/>
      <c r="G2788" s="394"/>
      <c r="H2788" s="394"/>
      <c r="I2788" s="394"/>
      <c r="J2788" s="394"/>
      <c r="K2788" s="394"/>
      <c r="L2788" s="394"/>
      <c r="M2788" s="394"/>
      <c r="N2788" s="394"/>
      <c r="O2788" s="394"/>
      <c r="P2788" s="394"/>
      <c r="Q2788" s="395"/>
    </row>
    <row r="2789" spans="1:20" ht="15" customHeight="1" thickBot="1" x14ac:dyDescent="0.35">
      <c r="A2789" s="352" t="s">
        <v>117</v>
      </c>
      <c r="B2789" s="353"/>
      <c r="C2789" s="353"/>
      <c r="D2789" s="353"/>
      <c r="E2789" s="353"/>
      <c r="F2789" s="353"/>
      <c r="G2789" s="353"/>
      <c r="H2789" s="353"/>
      <c r="I2789" s="353"/>
      <c r="J2789" s="353"/>
      <c r="K2789" s="353"/>
      <c r="L2789" s="353"/>
      <c r="M2789" s="353"/>
      <c r="N2789" s="353"/>
      <c r="O2789" s="353"/>
      <c r="P2789" s="353"/>
      <c r="Q2789" s="354"/>
    </row>
    <row r="2790" spans="1:20" ht="15" customHeight="1" thickBot="1" x14ac:dyDescent="0.35">
      <c r="A2790" s="393" t="s">
        <v>471</v>
      </c>
      <c r="B2790" s="394"/>
      <c r="C2790" s="394"/>
      <c r="D2790" s="394"/>
      <c r="E2790" s="394"/>
      <c r="F2790" s="394"/>
      <c r="G2790" s="394"/>
      <c r="H2790" s="394"/>
      <c r="I2790" s="394"/>
      <c r="J2790" s="394"/>
      <c r="K2790" s="394"/>
      <c r="L2790" s="394"/>
      <c r="M2790" s="394"/>
      <c r="N2790" s="394"/>
      <c r="O2790" s="394"/>
      <c r="P2790" s="394"/>
      <c r="Q2790" s="395"/>
    </row>
    <row r="2791" spans="1:20" ht="15" customHeight="1" thickBot="1" x14ac:dyDescent="0.35">
      <c r="A2791" s="352" t="s">
        <v>128</v>
      </c>
      <c r="B2791" s="353"/>
      <c r="C2791" s="353"/>
      <c r="D2791" s="353"/>
      <c r="E2791" s="353"/>
      <c r="F2791" s="353"/>
      <c r="G2791" s="353"/>
      <c r="H2791" s="353"/>
      <c r="I2791" s="353"/>
      <c r="J2791" s="353"/>
      <c r="K2791" s="353"/>
      <c r="L2791" s="353"/>
      <c r="M2791" s="353"/>
      <c r="N2791" s="353"/>
      <c r="O2791" s="353"/>
      <c r="P2791" s="353"/>
      <c r="Q2791" s="354"/>
    </row>
    <row r="2792" spans="1:20" ht="15" customHeight="1" thickBot="1" x14ac:dyDescent="0.35">
      <c r="A2792" s="393" t="s">
        <v>471</v>
      </c>
      <c r="B2792" s="394"/>
      <c r="C2792" s="394"/>
      <c r="D2792" s="394"/>
      <c r="E2792" s="394"/>
      <c r="F2792" s="394"/>
      <c r="G2792" s="394"/>
      <c r="H2792" s="394"/>
      <c r="I2792" s="394"/>
      <c r="J2792" s="394"/>
      <c r="K2792" s="394"/>
      <c r="L2792" s="394"/>
      <c r="M2792" s="394"/>
      <c r="N2792" s="394"/>
      <c r="O2792" s="394"/>
      <c r="P2792" s="394"/>
      <c r="Q2792" s="395"/>
    </row>
    <row r="2793" spans="1:20" ht="15" customHeight="1" thickBot="1" x14ac:dyDescent="0.35">
      <c r="A2793" s="352" t="s">
        <v>147</v>
      </c>
      <c r="B2793" s="353"/>
      <c r="C2793" s="353"/>
      <c r="D2793" s="353"/>
      <c r="E2793" s="353"/>
      <c r="F2793" s="353"/>
      <c r="G2793" s="353"/>
      <c r="H2793" s="353"/>
      <c r="I2793" s="353"/>
      <c r="J2793" s="353"/>
      <c r="K2793" s="353"/>
      <c r="L2793" s="353"/>
      <c r="M2793" s="353"/>
      <c r="N2793" s="353"/>
      <c r="O2793" s="353"/>
      <c r="P2793" s="353"/>
      <c r="Q2793" s="354"/>
    </row>
    <row r="2794" spans="1:20" ht="15" customHeight="1" thickBot="1" x14ac:dyDescent="0.35">
      <c r="A2794" s="393" t="s">
        <v>471</v>
      </c>
      <c r="B2794" s="394"/>
      <c r="C2794" s="394"/>
      <c r="D2794" s="394"/>
      <c r="E2794" s="394"/>
      <c r="F2794" s="394"/>
      <c r="G2794" s="394"/>
      <c r="H2794" s="394"/>
      <c r="I2794" s="394"/>
      <c r="J2794" s="394"/>
      <c r="K2794" s="394"/>
      <c r="L2794" s="394"/>
      <c r="M2794" s="394"/>
      <c r="N2794" s="394"/>
      <c r="O2794" s="394"/>
      <c r="P2794" s="394"/>
      <c r="Q2794" s="395"/>
    </row>
    <row r="2795" spans="1:20" ht="15" customHeight="1" thickBot="1" x14ac:dyDescent="0.35">
      <c r="A2795" s="352" t="s">
        <v>156</v>
      </c>
      <c r="B2795" s="353"/>
      <c r="C2795" s="353"/>
      <c r="D2795" s="353"/>
      <c r="E2795" s="353"/>
      <c r="F2795" s="353"/>
      <c r="G2795" s="353"/>
      <c r="H2795" s="353"/>
      <c r="I2795" s="353"/>
      <c r="J2795" s="353"/>
      <c r="K2795" s="353"/>
      <c r="L2795" s="353"/>
      <c r="M2795" s="353"/>
      <c r="N2795" s="353"/>
      <c r="O2795" s="353"/>
      <c r="P2795" s="353"/>
      <c r="Q2795" s="354"/>
    </row>
    <row r="2796" spans="1:20" ht="15" customHeight="1" thickBot="1" x14ac:dyDescent="0.35">
      <c r="A2796" s="393" t="s">
        <v>471</v>
      </c>
      <c r="B2796" s="394"/>
      <c r="C2796" s="394"/>
      <c r="D2796" s="394"/>
      <c r="E2796" s="394"/>
      <c r="F2796" s="394"/>
      <c r="G2796" s="394"/>
      <c r="H2796" s="394"/>
      <c r="I2796" s="394"/>
      <c r="J2796" s="394"/>
      <c r="K2796" s="394"/>
      <c r="L2796" s="394"/>
      <c r="M2796" s="394"/>
      <c r="N2796" s="394"/>
      <c r="O2796" s="394"/>
      <c r="P2796" s="394"/>
      <c r="Q2796" s="395"/>
    </row>
    <row r="2797" spans="1:20" ht="15" customHeight="1" thickBot="1" x14ac:dyDescent="0.35">
      <c r="A2797" s="393" t="s">
        <v>472</v>
      </c>
      <c r="B2797" s="394"/>
      <c r="C2797" s="394"/>
      <c r="D2797" s="394"/>
      <c r="E2797" s="394"/>
      <c r="F2797" s="394"/>
      <c r="G2797" s="394"/>
      <c r="H2797" s="394"/>
      <c r="I2797" s="394"/>
      <c r="J2797" s="394"/>
      <c r="K2797" s="394"/>
      <c r="L2797" s="394"/>
      <c r="M2797" s="394"/>
      <c r="N2797" s="394"/>
      <c r="O2797" s="394"/>
      <c r="P2797" s="394"/>
      <c r="Q2797" s="395"/>
    </row>
    <row r="2798" spans="1:20" ht="51" customHeight="1" thickBot="1" x14ac:dyDescent="0.35">
      <c r="A2798" s="440" t="s">
        <v>489</v>
      </c>
      <c r="B2798" s="441"/>
      <c r="C2798" s="441"/>
      <c r="D2798" s="441"/>
      <c r="E2798" s="441"/>
      <c r="F2798" s="441"/>
      <c r="G2798" s="441"/>
      <c r="H2798" s="441"/>
      <c r="I2798" s="441"/>
      <c r="J2798" s="441"/>
      <c r="K2798" s="441"/>
      <c r="L2798" s="441"/>
      <c r="M2798" s="441"/>
      <c r="N2798" s="441"/>
      <c r="O2798" s="441"/>
      <c r="P2798" s="441"/>
      <c r="Q2798" s="442"/>
    </row>
    <row r="2799" spans="1:20" ht="15" customHeight="1" thickBot="1" x14ac:dyDescent="0.35">
      <c r="A2799" s="352" t="s">
        <v>113</v>
      </c>
      <c r="B2799" s="353"/>
      <c r="C2799" s="353"/>
      <c r="D2799" s="353"/>
      <c r="E2799" s="353"/>
      <c r="F2799" s="353"/>
      <c r="G2799" s="353"/>
      <c r="H2799" s="353"/>
      <c r="I2799" s="353"/>
      <c r="J2799" s="353"/>
      <c r="K2799" s="353"/>
      <c r="L2799" s="353"/>
      <c r="M2799" s="353"/>
      <c r="N2799" s="353"/>
      <c r="O2799" s="353"/>
      <c r="P2799" s="353"/>
      <c r="Q2799" s="354"/>
    </row>
    <row r="2800" spans="1:20" ht="15" customHeight="1" x14ac:dyDescent="0.3">
      <c r="A2800" s="358">
        <v>1</v>
      </c>
      <c r="B2800" s="358" t="s">
        <v>473</v>
      </c>
      <c r="C2800" s="110">
        <v>-11448</v>
      </c>
      <c r="D2800" s="358">
        <v>1</v>
      </c>
      <c r="E2800" s="358" t="s">
        <v>19</v>
      </c>
      <c r="F2800" s="358">
        <v>500</v>
      </c>
      <c r="G2800" s="358">
        <v>400</v>
      </c>
      <c r="H2800" s="358" t="s">
        <v>44</v>
      </c>
      <c r="I2800" s="358" t="s">
        <v>13</v>
      </c>
      <c r="J2800" s="358" t="s">
        <v>13</v>
      </c>
      <c r="K2800" s="358" t="s">
        <v>13</v>
      </c>
      <c r="L2800" s="358">
        <v>45</v>
      </c>
      <c r="M2800" s="358" t="s">
        <v>14</v>
      </c>
      <c r="N2800" s="396" t="s">
        <v>474</v>
      </c>
      <c r="O2800" s="358" t="s">
        <v>16</v>
      </c>
      <c r="P2800" s="258"/>
      <c r="Q2800" s="358" t="s">
        <v>475</v>
      </c>
    </row>
    <row r="2801" spans="1:20" ht="15" customHeight="1" x14ac:dyDescent="0.3">
      <c r="A2801" s="359"/>
      <c r="B2801" s="359"/>
      <c r="C2801" s="111">
        <v>-23377</v>
      </c>
      <c r="D2801" s="359"/>
      <c r="E2801" s="359"/>
      <c r="F2801" s="359"/>
      <c r="G2801" s="359"/>
      <c r="H2801" s="359"/>
      <c r="I2801" s="359"/>
      <c r="J2801" s="359"/>
      <c r="K2801" s="359"/>
      <c r="L2801" s="359"/>
      <c r="M2801" s="359"/>
      <c r="N2801" s="397"/>
      <c r="O2801" s="359"/>
      <c r="P2801" s="236">
        <v>44090</v>
      </c>
      <c r="Q2801" s="359"/>
    </row>
    <row r="2802" spans="1:20" ht="15" customHeight="1" thickBot="1" x14ac:dyDescent="0.35">
      <c r="A2802" s="360"/>
      <c r="B2802" s="360"/>
      <c r="C2802" s="112">
        <v>54050</v>
      </c>
      <c r="D2802" s="360"/>
      <c r="E2802" s="360"/>
      <c r="F2802" s="360"/>
      <c r="G2802" s="360"/>
      <c r="H2802" s="360"/>
      <c r="I2802" s="360"/>
      <c r="J2802" s="360"/>
      <c r="K2802" s="360"/>
      <c r="L2802" s="360"/>
      <c r="M2802" s="360"/>
      <c r="N2802" s="398"/>
      <c r="O2802" s="360"/>
      <c r="P2802" s="260"/>
      <c r="Q2802" s="360"/>
      <c r="T2802" s="200">
        <v>1</v>
      </c>
    </row>
    <row r="2803" spans="1:20" ht="15" customHeight="1" x14ac:dyDescent="0.3">
      <c r="A2803" s="358">
        <v>2</v>
      </c>
      <c r="B2803" s="358" t="s">
        <v>473</v>
      </c>
      <c r="C2803" s="110">
        <v>4061</v>
      </c>
      <c r="D2803" s="358">
        <v>1</v>
      </c>
      <c r="E2803" s="358" t="s">
        <v>19</v>
      </c>
      <c r="F2803" s="358">
        <v>500</v>
      </c>
      <c r="G2803" s="358">
        <v>400</v>
      </c>
      <c r="H2803" s="358" t="s">
        <v>44</v>
      </c>
      <c r="I2803" s="358" t="s">
        <v>13</v>
      </c>
      <c r="J2803" s="358" t="s">
        <v>13</v>
      </c>
      <c r="K2803" s="358" t="s">
        <v>13</v>
      </c>
      <c r="L2803" s="358">
        <v>45</v>
      </c>
      <c r="M2803" s="358" t="s">
        <v>14</v>
      </c>
      <c r="N2803" s="396" t="s">
        <v>474</v>
      </c>
      <c r="O2803" s="358" t="s">
        <v>16</v>
      </c>
      <c r="P2803" s="258"/>
      <c r="Q2803" s="358" t="s">
        <v>475</v>
      </c>
    </row>
    <row r="2804" spans="1:20" ht="15" customHeight="1" x14ac:dyDescent="0.3">
      <c r="A2804" s="359"/>
      <c r="B2804" s="359"/>
      <c r="C2804" s="111">
        <v>-25706</v>
      </c>
      <c r="D2804" s="359"/>
      <c r="E2804" s="359"/>
      <c r="F2804" s="359"/>
      <c r="G2804" s="359"/>
      <c r="H2804" s="359"/>
      <c r="I2804" s="359"/>
      <c r="J2804" s="359"/>
      <c r="K2804" s="359"/>
      <c r="L2804" s="359"/>
      <c r="M2804" s="359"/>
      <c r="N2804" s="397"/>
      <c r="O2804" s="359"/>
      <c r="P2804" s="236">
        <v>44090</v>
      </c>
      <c r="Q2804" s="359"/>
      <c r="T2804" s="200">
        <v>1</v>
      </c>
    </row>
    <row r="2805" spans="1:20" ht="15" customHeight="1" thickBot="1" x14ac:dyDescent="0.35">
      <c r="A2805" s="360"/>
      <c r="B2805" s="360"/>
      <c r="C2805" s="112">
        <v>54050</v>
      </c>
      <c r="D2805" s="360"/>
      <c r="E2805" s="360"/>
      <c r="F2805" s="360"/>
      <c r="G2805" s="360"/>
      <c r="H2805" s="360"/>
      <c r="I2805" s="360"/>
      <c r="J2805" s="360"/>
      <c r="K2805" s="360"/>
      <c r="L2805" s="360"/>
      <c r="M2805" s="360"/>
      <c r="N2805" s="398"/>
      <c r="O2805" s="360"/>
      <c r="P2805" s="260"/>
      <c r="Q2805" s="360"/>
    </row>
    <row r="2806" spans="1:20" ht="15" customHeight="1" x14ac:dyDescent="0.3">
      <c r="A2806" s="358">
        <v>3</v>
      </c>
      <c r="B2806" s="358" t="s">
        <v>476</v>
      </c>
      <c r="C2806" s="110">
        <v>-10643</v>
      </c>
      <c r="D2806" s="358">
        <v>1</v>
      </c>
      <c r="E2806" s="358" t="s">
        <v>30</v>
      </c>
      <c r="F2806" s="358">
        <v>500</v>
      </c>
      <c r="G2806" s="358">
        <v>400</v>
      </c>
      <c r="H2806" s="358" t="s">
        <v>25</v>
      </c>
      <c r="I2806" s="358">
        <v>40</v>
      </c>
      <c r="J2806" s="358" t="s">
        <v>13</v>
      </c>
      <c r="K2806" s="358" t="s">
        <v>13</v>
      </c>
      <c r="L2806" s="358">
        <v>29</v>
      </c>
      <c r="M2806" s="358" t="s">
        <v>14</v>
      </c>
      <c r="N2806" s="396" t="s">
        <v>477</v>
      </c>
      <c r="O2806" s="358" t="s">
        <v>16</v>
      </c>
      <c r="P2806" s="258"/>
      <c r="Q2806" s="358" t="s">
        <v>478</v>
      </c>
    </row>
    <row r="2807" spans="1:20" ht="15" customHeight="1" x14ac:dyDescent="0.3">
      <c r="A2807" s="359"/>
      <c r="B2807" s="359"/>
      <c r="C2807" s="111">
        <v>21396</v>
      </c>
      <c r="D2807" s="359"/>
      <c r="E2807" s="359"/>
      <c r="F2807" s="359"/>
      <c r="G2807" s="359"/>
      <c r="H2807" s="359"/>
      <c r="I2807" s="359"/>
      <c r="J2807" s="359"/>
      <c r="K2807" s="359"/>
      <c r="L2807" s="359"/>
      <c r="M2807" s="359"/>
      <c r="N2807" s="397"/>
      <c r="O2807" s="359"/>
      <c r="P2807" s="236">
        <v>44090</v>
      </c>
      <c r="Q2807" s="359"/>
      <c r="T2807" s="200">
        <v>1</v>
      </c>
    </row>
    <row r="2808" spans="1:20" ht="15" customHeight="1" thickBot="1" x14ac:dyDescent="0.35">
      <c r="A2808" s="360"/>
      <c r="B2808" s="360"/>
      <c r="C2808" s="112">
        <v>54050</v>
      </c>
      <c r="D2808" s="360"/>
      <c r="E2808" s="360"/>
      <c r="F2808" s="360"/>
      <c r="G2808" s="360"/>
      <c r="H2808" s="360"/>
      <c r="I2808" s="360"/>
      <c r="J2808" s="360"/>
      <c r="K2808" s="360"/>
      <c r="L2808" s="360"/>
      <c r="M2808" s="360"/>
      <c r="N2808" s="398"/>
      <c r="O2808" s="360"/>
      <c r="P2808" s="260"/>
      <c r="Q2808" s="360"/>
    </row>
    <row r="2809" spans="1:20" ht="15" customHeight="1" x14ac:dyDescent="0.3">
      <c r="A2809" s="358">
        <v>4</v>
      </c>
      <c r="B2809" s="358" t="s">
        <v>476</v>
      </c>
      <c r="C2809" s="110">
        <v>10643</v>
      </c>
      <c r="D2809" s="358">
        <v>1</v>
      </c>
      <c r="E2809" s="358" t="s">
        <v>30</v>
      </c>
      <c r="F2809" s="358">
        <v>500</v>
      </c>
      <c r="G2809" s="358">
        <v>400</v>
      </c>
      <c r="H2809" s="358" t="s">
        <v>25</v>
      </c>
      <c r="I2809" s="358">
        <v>40</v>
      </c>
      <c r="J2809" s="358" t="s">
        <v>13</v>
      </c>
      <c r="K2809" s="358" t="s">
        <v>13</v>
      </c>
      <c r="L2809" s="358">
        <v>29</v>
      </c>
      <c r="M2809" s="358" t="s">
        <v>14</v>
      </c>
      <c r="N2809" s="396" t="s">
        <v>479</v>
      </c>
      <c r="O2809" s="358" t="s">
        <v>16</v>
      </c>
      <c r="P2809" s="258"/>
      <c r="Q2809" s="358" t="s">
        <v>478</v>
      </c>
      <c r="T2809" s="200">
        <v>1</v>
      </c>
    </row>
    <row r="2810" spans="1:20" ht="15" customHeight="1" x14ac:dyDescent="0.3">
      <c r="A2810" s="359"/>
      <c r="B2810" s="359"/>
      <c r="C2810" s="111">
        <v>-21396</v>
      </c>
      <c r="D2810" s="359"/>
      <c r="E2810" s="359"/>
      <c r="F2810" s="359"/>
      <c r="G2810" s="359"/>
      <c r="H2810" s="359"/>
      <c r="I2810" s="359"/>
      <c r="J2810" s="359"/>
      <c r="K2810" s="359"/>
      <c r="L2810" s="359"/>
      <c r="M2810" s="359"/>
      <c r="N2810" s="397"/>
      <c r="O2810" s="359"/>
      <c r="P2810" s="236">
        <v>44090</v>
      </c>
      <c r="Q2810" s="359"/>
    </row>
    <row r="2811" spans="1:20" ht="15" customHeight="1" thickBot="1" x14ac:dyDescent="0.35">
      <c r="A2811" s="360"/>
      <c r="B2811" s="360"/>
      <c r="C2811" s="112">
        <v>54050</v>
      </c>
      <c r="D2811" s="360"/>
      <c r="E2811" s="360"/>
      <c r="F2811" s="360"/>
      <c r="G2811" s="360"/>
      <c r="H2811" s="360"/>
      <c r="I2811" s="360"/>
      <c r="J2811" s="360"/>
      <c r="K2811" s="360"/>
      <c r="L2811" s="360"/>
      <c r="M2811" s="360"/>
      <c r="N2811" s="398"/>
      <c r="O2811" s="360"/>
      <c r="P2811" s="260"/>
      <c r="Q2811" s="360"/>
    </row>
    <row r="2812" spans="1:20" ht="15" customHeight="1" thickBot="1" x14ac:dyDescent="0.35">
      <c r="A2812" s="352" t="s">
        <v>128</v>
      </c>
      <c r="B2812" s="353"/>
      <c r="C2812" s="353"/>
      <c r="D2812" s="353"/>
      <c r="E2812" s="353"/>
      <c r="F2812" s="353"/>
      <c r="G2812" s="353"/>
      <c r="H2812" s="353"/>
      <c r="I2812" s="353"/>
      <c r="J2812" s="353"/>
      <c r="K2812" s="353"/>
      <c r="L2812" s="353"/>
      <c r="M2812" s="353"/>
      <c r="N2812" s="353"/>
      <c r="O2812" s="353"/>
      <c r="P2812" s="353"/>
      <c r="Q2812" s="354"/>
    </row>
    <row r="2813" spans="1:20" ht="15" customHeight="1" x14ac:dyDescent="0.3">
      <c r="A2813" s="358">
        <v>5</v>
      </c>
      <c r="B2813" s="358" t="s">
        <v>473</v>
      </c>
      <c r="C2813" s="110">
        <v>-11448</v>
      </c>
      <c r="D2813" s="358">
        <v>1</v>
      </c>
      <c r="E2813" s="358" t="s">
        <v>19</v>
      </c>
      <c r="F2813" s="358">
        <v>500</v>
      </c>
      <c r="G2813" s="358">
        <v>400</v>
      </c>
      <c r="H2813" s="358" t="s">
        <v>44</v>
      </c>
      <c r="I2813" s="358" t="s">
        <v>13</v>
      </c>
      <c r="J2813" s="358" t="s">
        <v>13</v>
      </c>
      <c r="K2813" s="358" t="s">
        <v>13</v>
      </c>
      <c r="L2813" s="358">
        <v>45</v>
      </c>
      <c r="M2813" s="358" t="s">
        <v>14</v>
      </c>
      <c r="N2813" s="358" t="s">
        <v>480</v>
      </c>
      <c r="O2813" s="358" t="s">
        <v>16</v>
      </c>
      <c r="P2813" s="258"/>
      <c r="Q2813" s="358" t="s">
        <v>475</v>
      </c>
    </row>
    <row r="2814" spans="1:20" ht="15" customHeight="1" x14ac:dyDescent="0.3">
      <c r="A2814" s="359"/>
      <c r="B2814" s="359"/>
      <c r="C2814" s="111">
        <v>-23377</v>
      </c>
      <c r="D2814" s="359"/>
      <c r="E2814" s="359"/>
      <c r="F2814" s="359"/>
      <c r="G2814" s="359"/>
      <c r="H2814" s="359"/>
      <c r="I2814" s="359"/>
      <c r="J2814" s="359"/>
      <c r="K2814" s="359"/>
      <c r="L2814" s="359"/>
      <c r="M2814" s="359"/>
      <c r="N2814" s="359"/>
      <c r="O2814" s="359"/>
      <c r="P2814" s="236">
        <v>44090</v>
      </c>
      <c r="Q2814" s="359"/>
    </row>
    <row r="2815" spans="1:20" ht="15" customHeight="1" thickBot="1" x14ac:dyDescent="0.35">
      <c r="A2815" s="360"/>
      <c r="B2815" s="360"/>
      <c r="C2815" s="112">
        <v>59450</v>
      </c>
      <c r="D2815" s="360"/>
      <c r="E2815" s="360"/>
      <c r="F2815" s="360"/>
      <c r="G2815" s="360"/>
      <c r="H2815" s="360"/>
      <c r="I2815" s="360"/>
      <c r="J2815" s="360"/>
      <c r="K2815" s="360"/>
      <c r="L2815" s="360"/>
      <c r="M2815" s="360"/>
      <c r="N2815" s="360"/>
      <c r="O2815" s="360"/>
      <c r="P2815" s="260"/>
      <c r="Q2815" s="360"/>
      <c r="T2815" s="200">
        <v>1</v>
      </c>
    </row>
    <row r="2816" spans="1:20" ht="15" customHeight="1" x14ac:dyDescent="0.3">
      <c r="A2816" s="358">
        <v>6</v>
      </c>
      <c r="B2816" s="358" t="s">
        <v>473</v>
      </c>
      <c r="C2816" s="110">
        <v>4061</v>
      </c>
      <c r="D2816" s="358">
        <v>1</v>
      </c>
      <c r="E2816" s="358" t="s">
        <v>19</v>
      </c>
      <c r="F2816" s="358">
        <v>500</v>
      </c>
      <c r="G2816" s="358">
        <v>400</v>
      </c>
      <c r="H2816" s="358" t="s">
        <v>44</v>
      </c>
      <c r="I2816" s="358"/>
      <c r="J2816" s="358" t="s">
        <v>13</v>
      </c>
      <c r="K2816" s="358" t="s">
        <v>13</v>
      </c>
      <c r="L2816" s="358">
        <v>45</v>
      </c>
      <c r="M2816" s="358" t="s">
        <v>14</v>
      </c>
      <c r="N2816" s="358" t="s">
        <v>480</v>
      </c>
      <c r="O2816" s="358" t="s">
        <v>16</v>
      </c>
      <c r="P2816" s="258"/>
      <c r="Q2816" s="358" t="s">
        <v>475</v>
      </c>
    </row>
    <row r="2817" spans="1:20" ht="15" customHeight="1" x14ac:dyDescent="0.3">
      <c r="A2817" s="359"/>
      <c r="B2817" s="359"/>
      <c r="C2817" s="111">
        <v>-25706</v>
      </c>
      <c r="D2817" s="359"/>
      <c r="E2817" s="359"/>
      <c r="F2817" s="359"/>
      <c r="G2817" s="359"/>
      <c r="H2817" s="359"/>
      <c r="I2817" s="359"/>
      <c r="J2817" s="359"/>
      <c r="K2817" s="359"/>
      <c r="L2817" s="359"/>
      <c r="M2817" s="359"/>
      <c r="N2817" s="359"/>
      <c r="O2817" s="359"/>
      <c r="P2817" s="236">
        <v>44090</v>
      </c>
      <c r="Q2817" s="359"/>
      <c r="T2817" s="200">
        <v>1</v>
      </c>
    </row>
    <row r="2818" spans="1:20" ht="15" customHeight="1" thickBot="1" x14ac:dyDescent="0.35">
      <c r="A2818" s="360"/>
      <c r="B2818" s="360"/>
      <c r="C2818" s="112">
        <v>59450</v>
      </c>
      <c r="D2818" s="360"/>
      <c r="E2818" s="360"/>
      <c r="F2818" s="360"/>
      <c r="G2818" s="360"/>
      <c r="H2818" s="360"/>
      <c r="I2818" s="360"/>
      <c r="J2818" s="360"/>
      <c r="K2818" s="360"/>
      <c r="L2818" s="360"/>
      <c r="M2818" s="360"/>
      <c r="N2818" s="360"/>
      <c r="O2818" s="360"/>
      <c r="P2818" s="260"/>
      <c r="Q2818" s="360"/>
    </row>
    <row r="2819" spans="1:20" ht="15" customHeight="1" thickBot="1" x14ac:dyDescent="0.35">
      <c r="A2819" s="352" t="s">
        <v>147</v>
      </c>
      <c r="B2819" s="353"/>
      <c r="C2819" s="353"/>
      <c r="D2819" s="353"/>
      <c r="E2819" s="353"/>
      <c r="F2819" s="353"/>
      <c r="G2819" s="353"/>
      <c r="H2819" s="353"/>
      <c r="I2819" s="353"/>
      <c r="J2819" s="353"/>
      <c r="K2819" s="353"/>
      <c r="L2819" s="353"/>
      <c r="M2819" s="353"/>
      <c r="N2819" s="353"/>
      <c r="O2819" s="353"/>
      <c r="P2819" s="353"/>
      <c r="Q2819" s="354"/>
    </row>
    <row r="2820" spans="1:20" ht="15" customHeight="1" x14ac:dyDescent="0.3">
      <c r="A2820" s="358">
        <v>7</v>
      </c>
      <c r="B2820" s="358" t="s">
        <v>473</v>
      </c>
      <c r="C2820" s="110">
        <v>-14773</v>
      </c>
      <c r="D2820" s="358">
        <v>1</v>
      </c>
      <c r="E2820" s="358" t="s">
        <v>481</v>
      </c>
      <c r="F2820" s="358">
        <v>400</v>
      </c>
      <c r="G2820" s="358">
        <v>400</v>
      </c>
      <c r="H2820" s="358" t="s">
        <v>19</v>
      </c>
      <c r="I2820" s="358" t="s">
        <v>13</v>
      </c>
      <c r="J2820" s="358" t="s">
        <v>13</v>
      </c>
      <c r="K2820" s="358" t="s">
        <v>13</v>
      </c>
      <c r="L2820" s="358">
        <v>48.5</v>
      </c>
      <c r="M2820" s="358" t="s">
        <v>14</v>
      </c>
      <c r="N2820" s="358" t="s">
        <v>482</v>
      </c>
      <c r="O2820" s="358" t="s">
        <v>16</v>
      </c>
      <c r="P2820" s="258"/>
      <c r="Q2820" s="358" t="s">
        <v>483</v>
      </c>
      <c r="T2820" s="200">
        <v>1</v>
      </c>
    </row>
    <row r="2821" spans="1:20" ht="15" customHeight="1" x14ac:dyDescent="0.3">
      <c r="A2821" s="359"/>
      <c r="B2821" s="359"/>
      <c r="C2821" s="111">
        <v>21760</v>
      </c>
      <c r="D2821" s="359"/>
      <c r="E2821" s="359"/>
      <c r="F2821" s="359"/>
      <c r="G2821" s="359"/>
      <c r="H2821" s="359"/>
      <c r="I2821" s="359"/>
      <c r="J2821" s="359"/>
      <c r="K2821" s="359"/>
      <c r="L2821" s="359"/>
      <c r="M2821" s="359"/>
      <c r="N2821" s="359"/>
      <c r="O2821" s="359"/>
      <c r="P2821" s="236">
        <v>44090</v>
      </c>
      <c r="Q2821" s="359"/>
    </row>
    <row r="2822" spans="1:20" ht="15" customHeight="1" thickBot="1" x14ac:dyDescent="0.35">
      <c r="A2822" s="360"/>
      <c r="B2822" s="360"/>
      <c r="C2822" s="112">
        <v>62592</v>
      </c>
      <c r="D2822" s="360"/>
      <c r="E2822" s="360"/>
      <c r="F2822" s="360"/>
      <c r="G2822" s="360"/>
      <c r="H2822" s="360"/>
      <c r="I2822" s="360"/>
      <c r="J2822" s="360"/>
      <c r="K2822" s="360"/>
      <c r="L2822" s="360"/>
      <c r="M2822" s="360"/>
      <c r="N2822" s="360"/>
      <c r="O2822" s="360"/>
      <c r="P2822" s="260"/>
      <c r="Q2822" s="360"/>
    </row>
    <row r="2823" spans="1:20" ht="15" customHeight="1" x14ac:dyDescent="0.3">
      <c r="A2823" s="358">
        <v>8</v>
      </c>
      <c r="B2823" s="358" t="s">
        <v>473</v>
      </c>
      <c r="C2823" s="110">
        <v>-23972</v>
      </c>
      <c r="D2823" s="358">
        <v>1</v>
      </c>
      <c r="E2823" s="358" t="s">
        <v>11</v>
      </c>
      <c r="F2823" s="358">
        <v>400</v>
      </c>
      <c r="G2823" s="358">
        <v>400</v>
      </c>
      <c r="H2823" s="358" t="s">
        <v>44</v>
      </c>
      <c r="I2823" s="358" t="s">
        <v>13</v>
      </c>
      <c r="J2823" s="358" t="s">
        <v>13</v>
      </c>
      <c r="K2823" s="358" t="s">
        <v>13</v>
      </c>
      <c r="L2823" s="358">
        <v>75</v>
      </c>
      <c r="M2823" s="358" t="s">
        <v>14</v>
      </c>
      <c r="N2823" s="358" t="s">
        <v>484</v>
      </c>
      <c r="O2823" s="358" t="s">
        <v>16</v>
      </c>
      <c r="P2823" s="304">
        <v>44090</v>
      </c>
      <c r="Q2823" s="358" t="s">
        <v>485</v>
      </c>
      <c r="T2823" s="200">
        <v>1</v>
      </c>
    </row>
    <row r="2824" spans="1:20" ht="15" customHeight="1" x14ac:dyDescent="0.3">
      <c r="A2824" s="359"/>
      <c r="B2824" s="359"/>
      <c r="C2824" s="111">
        <v>-11085</v>
      </c>
      <c r="D2824" s="359"/>
      <c r="E2824" s="359"/>
      <c r="F2824" s="359"/>
      <c r="G2824" s="359"/>
      <c r="H2824" s="359"/>
      <c r="I2824" s="359"/>
      <c r="J2824" s="359"/>
      <c r="K2824" s="359"/>
      <c r="L2824" s="359"/>
      <c r="M2824" s="359"/>
      <c r="N2824" s="359"/>
      <c r="O2824" s="359"/>
      <c r="P2824" s="259"/>
      <c r="Q2824" s="359"/>
    </row>
    <row r="2825" spans="1:20" ht="15" customHeight="1" thickBot="1" x14ac:dyDescent="0.35">
      <c r="A2825" s="360"/>
      <c r="B2825" s="360"/>
      <c r="C2825" s="112">
        <v>62340</v>
      </c>
      <c r="D2825" s="360"/>
      <c r="E2825" s="360"/>
      <c r="F2825" s="360"/>
      <c r="G2825" s="360"/>
      <c r="H2825" s="360"/>
      <c r="I2825" s="360"/>
      <c r="J2825" s="360"/>
      <c r="K2825" s="360"/>
      <c r="L2825" s="360"/>
      <c r="M2825" s="360"/>
      <c r="N2825" s="360"/>
      <c r="O2825" s="360"/>
      <c r="P2825" s="260"/>
      <c r="Q2825" s="360"/>
    </row>
    <row r="2826" spans="1:20" ht="15" customHeight="1" x14ac:dyDescent="0.3">
      <c r="A2826" s="358">
        <v>9</v>
      </c>
      <c r="B2826" s="358" t="s">
        <v>473</v>
      </c>
      <c r="C2826" s="110">
        <v>14446</v>
      </c>
      <c r="D2826" s="358">
        <v>1</v>
      </c>
      <c r="E2826" s="358" t="s">
        <v>11</v>
      </c>
      <c r="F2826" s="358">
        <v>400</v>
      </c>
      <c r="G2826" s="358">
        <v>400</v>
      </c>
      <c r="H2826" s="358" t="s">
        <v>44</v>
      </c>
      <c r="I2826" s="358" t="s">
        <v>13</v>
      </c>
      <c r="J2826" s="358" t="s">
        <v>13</v>
      </c>
      <c r="K2826" s="358" t="s">
        <v>13</v>
      </c>
      <c r="L2826" s="358">
        <v>75</v>
      </c>
      <c r="M2826" s="358" t="s">
        <v>14</v>
      </c>
      <c r="N2826" s="358" t="s">
        <v>486</v>
      </c>
      <c r="O2826" s="358" t="s">
        <v>16</v>
      </c>
      <c r="P2826" s="258"/>
      <c r="Q2826" s="358" t="s">
        <v>485</v>
      </c>
    </row>
    <row r="2827" spans="1:20" ht="15" customHeight="1" x14ac:dyDescent="0.3">
      <c r="A2827" s="359"/>
      <c r="B2827" s="359"/>
      <c r="C2827" s="111">
        <v>-21980</v>
      </c>
      <c r="D2827" s="359"/>
      <c r="E2827" s="359"/>
      <c r="F2827" s="359"/>
      <c r="G2827" s="359"/>
      <c r="H2827" s="359"/>
      <c r="I2827" s="359"/>
      <c r="J2827" s="359"/>
      <c r="K2827" s="359"/>
      <c r="L2827" s="359"/>
      <c r="M2827" s="359"/>
      <c r="N2827" s="359"/>
      <c r="O2827" s="359"/>
      <c r="P2827" s="236">
        <v>44090</v>
      </c>
      <c r="Q2827" s="359"/>
    </row>
    <row r="2828" spans="1:20" ht="15" customHeight="1" thickBot="1" x14ac:dyDescent="0.35">
      <c r="A2828" s="360"/>
      <c r="B2828" s="360"/>
      <c r="C2828" s="112">
        <v>62240</v>
      </c>
      <c r="D2828" s="360"/>
      <c r="E2828" s="360"/>
      <c r="F2828" s="360"/>
      <c r="G2828" s="360"/>
      <c r="H2828" s="360"/>
      <c r="I2828" s="360"/>
      <c r="J2828" s="360"/>
      <c r="K2828" s="360"/>
      <c r="L2828" s="360"/>
      <c r="M2828" s="360"/>
      <c r="N2828" s="360"/>
      <c r="O2828" s="360"/>
      <c r="P2828" s="260"/>
      <c r="Q2828" s="360"/>
      <c r="T2828" s="200">
        <v>1</v>
      </c>
    </row>
    <row r="2829" spans="1:20" ht="15" customHeight="1" x14ac:dyDescent="0.3">
      <c r="A2829" s="358">
        <v>10</v>
      </c>
      <c r="B2829" s="358" t="s">
        <v>473</v>
      </c>
      <c r="C2829" s="110">
        <v>23973</v>
      </c>
      <c r="D2829" s="358">
        <v>1</v>
      </c>
      <c r="E2829" s="358" t="s">
        <v>481</v>
      </c>
      <c r="F2829" s="358">
        <v>400</v>
      </c>
      <c r="G2829" s="358">
        <v>400</v>
      </c>
      <c r="H2829" s="358" t="s">
        <v>55</v>
      </c>
      <c r="I2829" s="358" t="s">
        <v>13</v>
      </c>
      <c r="J2829" s="358" t="s">
        <v>13</v>
      </c>
      <c r="K2829" s="358" t="s">
        <v>13</v>
      </c>
      <c r="L2829" s="358">
        <v>75.5</v>
      </c>
      <c r="M2829" s="358" t="s">
        <v>14</v>
      </c>
      <c r="N2829" s="358" t="s">
        <v>487</v>
      </c>
      <c r="O2829" s="358" t="s">
        <v>16</v>
      </c>
      <c r="P2829" s="258"/>
      <c r="Q2829" s="358" t="s">
        <v>488</v>
      </c>
    </row>
    <row r="2830" spans="1:20" ht="15" customHeight="1" x14ac:dyDescent="0.3">
      <c r="A2830" s="359"/>
      <c r="B2830" s="359"/>
      <c r="C2830" s="111">
        <v>11092</v>
      </c>
      <c r="D2830" s="359"/>
      <c r="E2830" s="359"/>
      <c r="F2830" s="359"/>
      <c r="G2830" s="359"/>
      <c r="H2830" s="359"/>
      <c r="I2830" s="359"/>
      <c r="J2830" s="359"/>
      <c r="K2830" s="359"/>
      <c r="L2830" s="359"/>
      <c r="M2830" s="359"/>
      <c r="N2830" s="359"/>
      <c r="O2830" s="359"/>
      <c r="P2830" s="236">
        <v>44090</v>
      </c>
      <c r="Q2830" s="359"/>
    </row>
    <row r="2831" spans="1:20" ht="15" customHeight="1" thickBot="1" x14ac:dyDescent="0.35">
      <c r="A2831" s="360"/>
      <c r="B2831" s="360"/>
      <c r="C2831" s="112">
        <v>62540</v>
      </c>
      <c r="D2831" s="360"/>
      <c r="E2831" s="360"/>
      <c r="F2831" s="360"/>
      <c r="G2831" s="360"/>
      <c r="H2831" s="360"/>
      <c r="I2831" s="360"/>
      <c r="J2831" s="360"/>
      <c r="K2831" s="360"/>
      <c r="L2831" s="360"/>
      <c r="M2831" s="360"/>
      <c r="N2831" s="360"/>
      <c r="O2831" s="360"/>
      <c r="P2831" s="260"/>
      <c r="Q2831" s="360"/>
      <c r="T2831" s="200">
        <v>1</v>
      </c>
    </row>
    <row r="2832" spans="1:20" ht="15" customHeight="1" thickBot="1" x14ac:dyDescent="0.35">
      <c r="A2832" s="352" t="s">
        <v>490</v>
      </c>
      <c r="B2832" s="353"/>
      <c r="C2832" s="353"/>
      <c r="D2832" s="353"/>
      <c r="E2832" s="353"/>
      <c r="F2832" s="353"/>
      <c r="G2832" s="353"/>
      <c r="H2832" s="353"/>
      <c r="I2832" s="353"/>
      <c r="J2832" s="353"/>
      <c r="K2832" s="353"/>
      <c r="L2832" s="353"/>
      <c r="M2832" s="353"/>
      <c r="N2832" s="353"/>
      <c r="O2832" s="353"/>
      <c r="P2832" s="353"/>
      <c r="Q2832" s="354"/>
    </row>
    <row r="2833" spans="1:20" ht="15" customHeight="1" x14ac:dyDescent="0.3">
      <c r="A2833" s="367">
        <v>11</v>
      </c>
      <c r="B2833" s="367" t="s">
        <v>473</v>
      </c>
      <c r="C2833" s="40">
        <v>-11448</v>
      </c>
      <c r="D2833" s="367">
        <v>1</v>
      </c>
      <c r="E2833" s="367" t="s">
        <v>491</v>
      </c>
      <c r="F2833" s="367">
        <v>500</v>
      </c>
      <c r="G2833" s="367">
        <v>400</v>
      </c>
      <c r="H2833" s="367" t="s">
        <v>25</v>
      </c>
      <c r="I2833" s="367" t="s">
        <v>13</v>
      </c>
      <c r="J2833" s="367" t="s">
        <v>13</v>
      </c>
      <c r="K2833" s="367" t="s">
        <v>13</v>
      </c>
      <c r="L2833" s="367">
        <v>19.5</v>
      </c>
      <c r="M2833" s="358" t="s">
        <v>14</v>
      </c>
      <c r="N2833" s="396" t="s">
        <v>492</v>
      </c>
      <c r="O2833" s="367" t="s">
        <v>16</v>
      </c>
      <c r="P2833" s="261"/>
      <c r="Q2833" s="367" t="s">
        <v>493</v>
      </c>
    </row>
    <row r="2834" spans="1:20" ht="15" customHeight="1" x14ac:dyDescent="0.3">
      <c r="A2834" s="368"/>
      <c r="B2834" s="368"/>
      <c r="C2834" s="41">
        <v>-23377</v>
      </c>
      <c r="D2834" s="368"/>
      <c r="E2834" s="368"/>
      <c r="F2834" s="368"/>
      <c r="G2834" s="368"/>
      <c r="H2834" s="368"/>
      <c r="I2834" s="368"/>
      <c r="J2834" s="368"/>
      <c r="K2834" s="368"/>
      <c r="L2834" s="368"/>
      <c r="M2834" s="359"/>
      <c r="N2834" s="397"/>
      <c r="O2834" s="368"/>
      <c r="P2834" s="226">
        <v>44090</v>
      </c>
      <c r="Q2834" s="368"/>
      <c r="T2834" s="200">
        <v>1</v>
      </c>
    </row>
    <row r="2835" spans="1:20" ht="15" customHeight="1" thickBot="1" x14ac:dyDescent="0.35">
      <c r="A2835" s="369"/>
      <c r="B2835" s="369"/>
      <c r="C2835" s="42">
        <v>62850</v>
      </c>
      <c r="D2835" s="369"/>
      <c r="E2835" s="369"/>
      <c r="F2835" s="369"/>
      <c r="G2835" s="369"/>
      <c r="H2835" s="369"/>
      <c r="I2835" s="369"/>
      <c r="J2835" s="369"/>
      <c r="K2835" s="369"/>
      <c r="L2835" s="369"/>
      <c r="M2835" s="360"/>
      <c r="N2835" s="398"/>
      <c r="O2835" s="369"/>
      <c r="P2835" s="262"/>
      <c r="Q2835" s="369"/>
    </row>
    <row r="2836" spans="1:20" ht="15" customHeight="1" x14ac:dyDescent="0.3">
      <c r="A2836" s="367">
        <v>12</v>
      </c>
      <c r="B2836" s="367" t="s">
        <v>473</v>
      </c>
      <c r="C2836" s="40">
        <v>4061</v>
      </c>
      <c r="D2836" s="367">
        <v>1</v>
      </c>
      <c r="E2836" s="367" t="s">
        <v>491</v>
      </c>
      <c r="F2836" s="367">
        <v>500</v>
      </c>
      <c r="G2836" s="367">
        <v>400</v>
      </c>
      <c r="H2836" s="367" t="s">
        <v>25</v>
      </c>
      <c r="I2836" s="367" t="s">
        <v>13</v>
      </c>
      <c r="J2836" s="367" t="s">
        <v>13</v>
      </c>
      <c r="K2836" s="367" t="s">
        <v>13</v>
      </c>
      <c r="L2836" s="367">
        <v>19.5</v>
      </c>
      <c r="M2836" s="358" t="s">
        <v>14</v>
      </c>
      <c r="N2836" s="396" t="s">
        <v>492</v>
      </c>
      <c r="O2836" s="367" t="s">
        <v>16</v>
      </c>
      <c r="P2836" s="261"/>
      <c r="Q2836" s="367" t="s">
        <v>493</v>
      </c>
    </row>
    <row r="2837" spans="1:20" ht="15" customHeight="1" x14ac:dyDescent="0.3">
      <c r="A2837" s="368"/>
      <c r="B2837" s="368"/>
      <c r="C2837" s="41">
        <v>-25706</v>
      </c>
      <c r="D2837" s="368"/>
      <c r="E2837" s="368"/>
      <c r="F2837" s="368"/>
      <c r="G2837" s="368"/>
      <c r="H2837" s="368"/>
      <c r="I2837" s="368"/>
      <c r="J2837" s="368"/>
      <c r="K2837" s="368"/>
      <c r="L2837" s="368"/>
      <c r="M2837" s="359"/>
      <c r="N2837" s="397"/>
      <c r="O2837" s="368"/>
      <c r="P2837" s="226">
        <v>44090</v>
      </c>
      <c r="Q2837" s="368"/>
      <c r="T2837" s="200">
        <v>1</v>
      </c>
    </row>
    <row r="2838" spans="1:20" ht="15" customHeight="1" thickBot="1" x14ac:dyDescent="0.35">
      <c r="A2838" s="369"/>
      <c r="B2838" s="369"/>
      <c r="C2838" s="42">
        <v>62850</v>
      </c>
      <c r="D2838" s="369"/>
      <c r="E2838" s="369"/>
      <c r="F2838" s="369"/>
      <c r="G2838" s="369"/>
      <c r="H2838" s="369"/>
      <c r="I2838" s="369"/>
      <c r="J2838" s="369"/>
      <c r="K2838" s="369"/>
      <c r="L2838" s="369"/>
      <c r="M2838" s="360"/>
      <c r="N2838" s="398"/>
      <c r="O2838" s="369"/>
      <c r="P2838" s="262"/>
      <c r="Q2838" s="369"/>
    </row>
    <row r="2839" spans="1:20" ht="15" customHeight="1" x14ac:dyDescent="0.3">
      <c r="A2839" s="367">
        <v>13</v>
      </c>
      <c r="B2839" s="367" t="s">
        <v>473</v>
      </c>
      <c r="C2839" s="40">
        <v>-8404</v>
      </c>
      <c r="D2839" s="367">
        <v>1</v>
      </c>
      <c r="E2839" s="367" t="s">
        <v>491</v>
      </c>
      <c r="F2839" s="367">
        <v>500</v>
      </c>
      <c r="G2839" s="367">
        <v>400</v>
      </c>
      <c r="H2839" s="367" t="s">
        <v>25</v>
      </c>
      <c r="I2839" s="367" t="s">
        <v>13</v>
      </c>
      <c r="J2839" s="367" t="s">
        <v>13</v>
      </c>
      <c r="K2839" s="367" t="s">
        <v>13</v>
      </c>
      <c r="L2839" s="367">
        <v>19.5</v>
      </c>
      <c r="M2839" s="358" t="s">
        <v>14</v>
      </c>
      <c r="N2839" s="396" t="s">
        <v>494</v>
      </c>
      <c r="O2839" s="367" t="s">
        <v>16</v>
      </c>
      <c r="P2839" s="261"/>
      <c r="Q2839" s="367" t="s">
        <v>493</v>
      </c>
      <c r="T2839" s="200">
        <v>1</v>
      </c>
    </row>
    <row r="2840" spans="1:20" ht="15" customHeight="1" x14ac:dyDescent="0.3">
      <c r="A2840" s="368"/>
      <c r="B2840" s="368"/>
      <c r="C2840" s="41">
        <v>24575</v>
      </c>
      <c r="D2840" s="368"/>
      <c r="E2840" s="368"/>
      <c r="F2840" s="368"/>
      <c r="G2840" s="368"/>
      <c r="H2840" s="368"/>
      <c r="I2840" s="368"/>
      <c r="J2840" s="368"/>
      <c r="K2840" s="368"/>
      <c r="L2840" s="368"/>
      <c r="M2840" s="359"/>
      <c r="N2840" s="397"/>
      <c r="O2840" s="368"/>
      <c r="P2840" s="226">
        <v>44090</v>
      </c>
      <c r="Q2840" s="368"/>
    </row>
    <row r="2841" spans="1:20" ht="15" customHeight="1" thickBot="1" x14ac:dyDescent="0.35">
      <c r="A2841" s="369"/>
      <c r="B2841" s="369"/>
      <c r="C2841" s="42">
        <v>62850</v>
      </c>
      <c r="D2841" s="369"/>
      <c r="E2841" s="369"/>
      <c r="F2841" s="369"/>
      <c r="G2841" s="369"/>
      <c r="H2841" s="369"/>
      <c r="I2841" s="369"/>
      <c r="J2841" s="369"/>
      <c r="K2841" s="369"/>
      <c r="L2841" s="369"/>
      <c r="M2841" s="360"/>
      <c r="N2841" s="398"/>
      <c r="O2841" s="369"/>
      <c r="P2841" s="262"/>
      <c r="Q2841" s="369"/>
    </row>
    <row r="2842" spans="1:20" ht="15" customHeight="1" x14ac:dyDescent="0.3">
      <c r="A2842" s="367">
        <v>14</v>
      </c>
      <c r="B2842" s="367" t="s">
        <v>473</v>
      </c>
      <c r="C2842" s="40">
        <v>16139</v>
      </c>
      <c r="D2842" s="367">
        <v>1</v>
      </c>
      <c r="E2842" s="367" t="s">
        <v>491</v>
      </c>
      <c r="F2842" s="367">
        <v>500</v>
      </c>
      <c r="G2842" s="367">
        <v>400</v>
      </c>
      <c r="H2842" s="367" t="s">
        <v>25</v>
      </c>
      <c r="I2842" s="367" t="s">
        <v>13</v>
      </c>
      <c r="J2842" s="367" t="s">
        <v>13</v>
      </c>
      <c r="K2842" s="367" t="s">
        <v>13</v>
      </c>
      <c r="L2842" s="367">
        <v>19.5</v>
      </c>
      <c r="M2842" s="358" t="s">
        <v>14</v>
      </c>
      <c r="N2842" s="396" t="s">
        <v>494</v>
      </c>
      <c r="O2842" s="367" t="s">
        <v>16</v>
      </c>
      <c r="P2842" s="261"/>
      <c r="Q2842" s="367" t="s">
        <v>493</v>
      </c>
    </row>
    <row r="2843" spans="1:20" ht="15" customHeight="1" x14ac:dyDescent="0.3">
      <c r="A2843" s="368"/>
      <c r="B2843" s="368"/>
      <c r="C2843" s="40">
        <v>20335</v>
      </c>
      <c r="D2843" s="368"/>
      <c r="E2843" s="368"/>
      <c r="F2843" s="368"/>
      <c r="G2843" s="368"/>
      <c r="H2843" s="368"/>
      <c r="I2843" s="368"/>
      <c r="J2843" s="368"/>
      <c r="K2843" s="368"/>
      <c r="L2843" s="368"/>
      <c r="M2843" s="359"/>
      <c r="N2843" s="397"/>
      <c r="O2843" s="368"/>
      <c r="P2843" s="226">
        <v>44090</v>
      </c>
      <c r="Q2843" s="368"/>
      <c r="T2843" s="200">
        <v>1</v>
      </c>
    </row>
    <row r="2844" spans="1:20" ht="15" customHeight="1" thickBot="1" x14ac:dyDescent="0.35">
      <c r="A2844" s="369"/>
      <c r="B2844" s="369"/>
      <c r="C2844" s="42">
        <v>62850</v>
      </c>
      <c r="D2844" s="369"/>
      <c r="E2844" s="369"/>
      <c r="F2844" s="369"/>
      <c r="G2844" s="369"/>
      <c r="H2844" s="369"/>
      <c r="I2844" s="369"/>
      <c r="J2844" s="369"/>
      <c r="K2844" s="369"/>
      <c r="L2844" s="369"/>
      <c r="M2844" s="360"/>
      <c r="N2844" s="398"/>
      <c r="O2844" s="369"/>
      <c r="P2844" s="262"/>
      <c r="Q2844" s="369"/>
    </row>
    <row r="2845" spans="1:20" ht="15" customHeight="1" thickBot="1" x14ac:dyDescent="0.35">
      <c r="A2845" s="352" t="s">
        <v>156</v>
      </c>
      <c r="B2845" s="353"/>
      <c r="C2845" s="353"/>
      <c r="D2845" s="353"/>
      <c r="E2845" s="353"/>
      <c r="F2845" s="353"/>
      <c r="G2845" s="353"/>
      <c r="H2845" s="353"/>
      <c r="I2845" s="353"/>
      <c r="J2845" s="353"/>
      <c r="K2845" s="353"/>
      <c r="L2845" s="353"/>
      <c r="M2845" s="353"/>
      <c r="N2845" s="353"/>
      <c r="O2845" s="353"/>
      <c r="P2845" s="353"/>
      <c r="Q2845" s="354"/>
    </row>
    <row r="2846" spans="1:20" ht="15" customHeight="1" x14ac:dyDescent="0.3">
      <c r="A2846" s="367">
        <v>15</v>
      </c>
      <c r="B2846" s="367" t="s">
        <v>476</v>
      </c>
      <c r="C2846" s="40">
        <v>-10398</v>
      </c>
      <c r="D2846" s="367">
        <v>1</v>
      </c>
      <c r="E2846" s="367">
        <v>89</v>
      </c>
      <c r="F2846" s="367">
        <v>600</v>
      </c>
      <c r="G2846" s="367">
        <v>600</v>
      </c>
      <c r="H2846" s="367" t="s">
        <v>495</v>
      </c>
      <c r="I2846" s="367">
        <v>40</v>
      </c>
      <c r="J2846" s="367"/>
      <c r="K2846" s="367"/>
      <c r="L2846" s="367">
        <v>58</v>
      </c>
      <c r="M2846" s="358" t="s">
        <v>14</v>
      </c>
      <c r="N2846" s="396" t="s">
        <v>496</v>
      </c>
      <c r="O2846" s="367" t="s">
        <v>16</v>
      </c>
      <c r="P2846" s="261"/>
      <c r="Q2846" s="367" t="s">
        <v>497</v>
      </c>
    </row>
    <row r="2847" spans="1:20" ht="15" customHeight="1" x14ac:dyDescent="0.3">
      <c r="A2847" s="368"/>
      <c r="B2847" s="368"/>
      <c r="C2847" s="41">
        <v>-22958</v>
      </c>
      <c r="D2847" s="368"/>
      <c r="E2847" s="368"/>
      <c r="F2847" s="368"/>
      <c r="G2847" s="368"/>
      <c r="H2847" s="368"/>
      <c r="I2847" s="368"/>
      <c r="J2847" s="368"/>
      <c r="K2847" s="368"/>
      <c r="L2847" s="368"/>
      <c r="M2847" s="359"/>
      <c r="N2847" s="397"/>
      <c r="O2847" s="368"/>
      <c r="P2847" s="226">
        <v>44090</v>
      </c>
      <c r="Q2847" s="368"/>
      <c r="T2847" s="200">
        <v>1</v>
      </c>
    </row>
    <row r="2848" spans="1:20" ht="15" customHeight="1" thickBot="1" x14ac:dyDescent="0.35">
      <c r="A2848" s="369"/>
      <c r="B2848" s="369"/>
      <c r="C2848" s="42">
        <v>51830</v>
      </c>
      <c r="D2848" s="369"/>
      <c r="E2848" s="369"/>
      <c r="F2848" s="369"/>
      <c r="G2848" s="369"/>
      <c r="H2848" s="369"/>
      <c r="I2848" s="369"/>
      <c r="J2848" s="369"/>
      <c r="K2848" s="369"/>
      <c r="L2848" s="369"/>
      <c r="M2848" s="360"/>
      <c r="N2848" s="398"/>
      <c r="O2848" s="369"/>
      <c r="P2848" s="262"/>
      <c r="Q2848" s="369"/>
    </row>
    <row r="2849" spans="1:20" ht="15" customHeight="1" x14ac:dyDescent="0.3">
      <c r="A2849" s="367">
        <v>16</v>
      </c>
      <c r="B2849" s="367" t="s">
        <v>476</v>
      </c>
      <c r="C2849" s="40">
        <v>3144</v>
      </c>
      <c r="D2849" s="367">
        <v>1</v>
      </c>
      <c r="E2849" s="367">
        <v>89</v>
      </c>
      <c r="F2849" s="367">
        <v>600</v>
      </c>
      <c r="G2849" s="367">
        <v>600</v>
      </c>
      <c r="H2849" s="367" t="s">
        <v>495</v>
      </c>
      <c r="I2849" s="367">
        <v>40</v>
      </c>
      <c r="J2849" s="367"/>
      <c r="K2849" s="367"/>
      <c r="L2849" s="367">
        <v>58</v>
      </c>
      <c r="M2849" s="358" t="s">
        <v>14</v>
      </c>
      <c r="N2849" s="396" t="s">
        <v>496</v>
      </c>
      <c r="O2849" s="367" t="s">
        <v>16</v>
      </c>
      <c r="P2849" s="261"/>
      <c r="Q2849" s="367" t="s">
        <v>497</v>
      </c>
      <c r="T2849" s="200">
        <v>1</v>
      </c>
    </row>
    <row r="2850" spans="1:20" ht="15" customHeight="1" x14ac:dyDescent="0.3">
      <c r="A2850" s="368"/>
      <c r="B2850" s="368"/>
      <c r="C2850" s="41">
        <v>-25006</v>
      </c>
      <c r="D2850" s="368"/>
      <c r="E2850" s="368"/>
      <c r="F2850" s="368"/>
      <c r="G2850" s="368"/>
      <c r="H2850" s="368"/>
      <c r="I2850" s="368"/>
      <c r="J2850" s="368"/>
      <c r="K2850" s="368"/>
      <c r="L2850" s="368"/>
      <c r="M2850" s="359"/>
      <c r="N2850" s="397"/>
      <c r="O2850" s="368"/>
      <c r="P2850" s="226">
        <v>44090</v>
      </c>
      <c r="Q2850" s="368"/>
    </row>
    <row r="2851" spans="1:20" ht="15" customHeight="1" thickBot="1" x14ac:dyDescent="0.35">
      <c r="A2851" s="369"/>
      <c r="B2851" s="369"/>
      <c r="C2851" s="42">
        <v>51890</v>
      </c>
      <c r="D2851" s="369"/>
      <c r="E2851" s="369"/>
      <c r="F2851" s="369"/>
      <c r="G2851" s="369"/>
      <c r="H2851" s="369"/>
      <c r="I2851" s="369"/>
      <c r="J2851" s="369"/>
      <c r="K2851" s="369"/>
      <c r="L2851" s="369"/>
      <c r="M2851" s="360"/>
      <c r="N2851" s="398"/>
      <c r="O2851" s="369"/>
      <c r="P2851" s="262"/>
      <c r="Q2851" s="369"/>
    </row>
    <row r="2852" spans="1:20" ht="15" customHeight="1" thickBot="1" x14ac:dyDescent="0.35">
      <c r="A2852" s="352" t="s">
        <v>29</v>
      </c>
      <c r="B2852" s="353"/>
      <c r="C2852" s="353"/>
      <c r="D2852" s="353"/>
      <c r="E2852" s="353"/>
      <c r="F2852" s="353"/>
      <c r="G2852" s="353"/>
      <c r="H2852" s="353"/>
      <c r="I2852" s="353"/>
      <c r="J2852" s="353"/>
      <c r="K2852" s="353"/>
      <c r="L2852" s="353"/>
      <c r="M2852" s="353"/>
      <c r="N2852" s="353"/>
      <c r="O2852" s="353"/>
      <c r="P2852" s="353"/>
      <c r="Q2852" s="354"/>
    </row>
    <row r="2853" spans="1:20" ht="15" customHeight="1" x14ac:dyDescent="0.3">
      <c r="A2853" s="367">
        <v>17</v>
      </c>
      <c r="B2853" s="367" t="s">
        <v>498</v>
      </c>
      <c r="C2853" s="40">
        <v>22046</v>
      </c>
      <c r="D2853" s="367">
        <v>1</v>
      </c>
      <c r="E2853" s="367" t="s">
        <v>499</v>
      </c>
      <c r="F2853" s="367">
        <v>450</v>
      </c>
      <c r="G2853" s="367">
        <v>200</v>
      </c>
      <c r="H2853" s="367" t="s">
        <v>25</v>
      </c>
      <c r="I2853" s="367" t="s">
        <v>13</v>
      </c>
      <c r="J2853" s="367" t="s">
        <v>13</v>
      </c>
      <c r="K2853" s="367" t="s">
        <v>13</v>
      </c>
      <c r="L2853" s="367">
        <v>35.5</v>
      </c>
      <c r="M2853" s="358" t="s">
        <v>14</v>
      </c>
      <c r="N2853" s="396" t="s">
        <v>173</v>
      </c>
      <c r="O2853" s="367" t="s">
        <v>27</v>
      </c>
      <c r="P2853" s="261"/>
      <c r="Q2853" s="367" t="s">
        <v>500</v>
      </c>
      <c r="T2853" s="200">
        <v>1</v>
      </c>
    </row>
    <row r="2854" spans="1:20" ht="15" customHeight="1" x14ac:dyDescent="0.3">
      <c r="A2854" s="368"/>
      <c r="B2854" s="368"/>
      <c r="C2854" s="41">
        <v>-11276</v>
      </c>
      <c r="D2854" s="368"/>
      <c r="E2854" s="368"/>
      <c r="F2854" s="368"/>
      <c r="G2854" s="368"/>
      <c r="H2854" s="368"/>
      <c r="I2854" s="368"/>
      <c r="J2854" s="368"/>
      <c r="K2854" s="368"/>
      <c r="L2854" s="368"/>
      <c r="M2854" s="359"/>
      <c r="N2854" s="397"/>
      <c r="O2854" s="368"/>
      <c r="P2854" s="226">
        <v>44090</v>
      </c>
      <c r="Q2854" s="368"/>
    </row>
    <row r="2855" spans="1:20" ht="15" customHeight="1" thickBot="1" x14ac:dyDescent="0.35">
      <c r="A2855" s="369"/>
      <c r="B2855" s="369"/>
      <c r="C2855" s="42">
        <v>8025</v>
      </c>
      <c r="D2855" s="369"/>
      <c r="E2855" s="369"/>
      <c r="F2855" s="369"/>
      <c r="G2855" s="369"/>
      <c r="H2855" s="369"/>
      <c r="I2855" s="369"/>
      <c r="J2855" s="369"/>
      <c r="K2855" s="369"/>
      <c r="L2855" s="369"/>
      <c r="M2855" s="360"/>
      <c r="N2855" s="398"/>
      <c r="O2855" s="369"/>
      <c r="P2855" s="262"/>
      <c r="Q2855" s="369"/>
    </row>
    <row r="2856" spans="1:20" ht="15" customHeight="1" x14ac:dyDescent="0.3">
      <c r="A2856" s="367">
        <v>18</v>
      </c>
      <c r="B2856" s="367" t="s">
        <v>498</v>
      </c>
      <c r="C2856" s="40">
        <v>21832</v>
      </c>
      <c r="D2856" s="367">
        <v>1</v>
      </c>
      <c r="E2856" s="367" t="s">
        <v>499</v>
      </c>
      <c r="F2856" s="367">
        <v>450</v>
      </c>
      <c r="G2856" s="367">
        <v>200</v>
      </c>
      <c r="H2856" s="367" t="s">
        <v>25</v>
      </c>
      <c r="I2856" s="367" t="s">
        <v>13</v>
      </c>
      <c r="J2856" s="367" t="s">
        <v>13</v>
      </c>
      <c r="K2856" s="367" t="s">
        <v>13</v>
      </c>
      <c r="L2856" s="367">
        <v>35.5</v>
      </c>
      <c r="M2856" s="358" t="s">
        <v>14</v>
      </c>
      <c r="N2856" s="396" t="s">
        <v>173</v>
      </c>
      <c r="O2856" s="367" t="s">
        <v>27</v>
      </c>
      <c r="P2856" s="261"/>
      <c r="Q2856" s="367" t="s">
        <v>500</v>
      </c>
    </row>
    <row r="2857" spans="1:20" ht="15" customHeight="1" x14ac:dyDescent="0.3">
      <c r="A2857" s="368"/>
      <c r="B2857" s="368"/>
      <c r="C2857" s="41">
        <v>-11672</v>
      </c>
      <c r="D2857" s="368"/>
      <c r="E2857" s="368"/>
      <c r="F2857" s="368"/>
      <c r="G2857" s="368"/>
      <c r="H2857" s="368"/>
      <c r="I2857" s="368"/>
      <c r="J2857" s="368"/>
      <c r="K2857" s="368"/>
      <c r="L2857" s="368"/>
      <c r="M2857" s="359"/>
      <c r="N2857" s="397"/>
      <c r="O2857" s="368"/>
      <c r="P2857" s="226">
        <v>44090</v>
      </c>
      <c r="Q2857" s="368"/>
      <c r="T2857" s="200">
        <v>1</v>
      </c>
    </row>
    <row r="2858" spans="1:20" ht="15" customHeight="1" thickBot="1" x14ac:dyDescent="0.35">
      <c r="A2858" s="369"/>
      <c r="B2858" s="369"/>
      <c r="C2858" s="42">
        <v>8025</v>
      </c>
      <c r="D2858" s="369"/>
      <c r="E2858" s="369"/>
      <c r="F2858" s="369"/>
      <c r="G2858" s="369"/>
      <c r="H2858" s="369"/>
      <c r="I2858" s="369"/>
      <c r="J2858" s="369"/>
      <c r="K2858" s="369"/>
      <c r="L2858" s="369"/>
      <c r="M2858" s="360"/>
      <c r="N2858" s="398"/>
      <c r="O2858" s="369"/>
      <c r="P2858" s="262"/>
      <c r="Q2858" s="369"/>
    </row>
    <row r="2859" spans="1:20" ht="15" customHeight="1" x14ac:dyDescent="0.3">
      <c r="A2859" s="367">
        <v>19</v>
      </c>
      <c r="B2859" s="367" t="s">
        <v>498</v>
      </c>
      <c r="C2859" s="40">
        <v>-5748</v>
      </c>
      <c r="D2859" s="367">
        <v>1</v>
      </c>
      <c r="E2859" s="367" t="s">
        <v>499</v>
      </c>
      <c r="F2859" s="367">
        <v>450</v>
      </c>
      <c r="G2859" s="367">
        <v>200</v>
      </c>
      <c r="H2859" s="367" t="s">
        <v>25</v>
      </c>
      <c r="I2859" s="367" t="s">
        <v>13</v>
      </c>
      <c r="J2859" s="367" t="s">
        <v>13</v>
      </c>
      <c r="K2859" s="367" t="s">
        <v>13</v>
      </c>
      <c r="L2859" s="367">
        <v>35.5</v>
      </c>
      <c r="M2859" s="358" t="s">
        <v>14</v>
      </c>
      <c r="N2859" s="396" t="s">
        <v>31</v>
      </c>
      <c r="O2859" s="367" t="s">
        <v>27</v>
      </c>
      <c r="P2859" s="261"/>
      <c r="Q2859" s="367" t="s">
        <v>500</v>
      </c>
    </row>
    <row r="2860" spans="1:20" ht="15" customHeight="1" x14ac:dyDescent="0.3">
      <c r="A2860" s="368"/>
      <c r="B2860" s="368"/>
      <c r="C2860" s="41">
        <v>-24073</v>
      </c>
      <c r="D2860" s="368"/>
      <c r="E2860" s="368"/>
      <c r="F2860" s="368"/>
      <c r="G2860" s="368"/>
      <c r="H2860" s="368"/>
      <c r="I2860" s="368"/>
      <c r="J2860" s="368"/>
      <c r="K2860" s="368"/>
      <c r="L2860" s="368"/>
      <c r="M2860" s="359"/>
      <c r="N2860" s="397"/>
      <c r="O2860" s="368"/>
      <c r="P2860" s="226">
        <v>44090</v>
      </c>
      <c r="Q2860" s="368"/>
      <c r="T2860" s="200">
        <v>1</v>
      </c>
    </row>
    <row r="2861" spans="1:20" ht="15" customHeight="1" thickBot="1" x14ac:dyDescent="0.35">
      <c r="A2861" s="369"/>
      <c r="B2861" s="369"/>
      <c r="C2861" s="42">
        <v>8025</v>
      </c>
      <c r="D2861" s="369"/>
      <c r="E2861" s="369"/>
      <c r="F2861" s="369"/>
      <c r="G2861" s="369"/>
      <c r="H2861" s="369"/>
      <c r="I2861" s="369"/>
      <c r="J2861" s="369"/>
      <c r="K2861" s="369"/>
      <c r="L2861" s="369"/>
      <c r="M2861" s="360"/>
      <c r="N2861" s="398"/>
      <c r="O2861" s="369"/>
      <c r="P2861" s="262"/>
      <c r="Q2861" s="369"/>
    </row>
    <row r="2862" spans="1:20" ht="15" customHeight="1" x14ac:dyDescent="0.3">
      <c r="A2862" s="367">
        <v>20</v>
      </c>
      <c r="B2862" s="367" t="s">
        <v>498</v>
      </c>
      <c r="C2862" s="40">
        <v>-7948</v>
      </c>
      <c r="D2862" s="367">
        <v>1</v>
      </c>
      <c r="E2862" s="367" t="s">
        <v>499</v>
      </c>
      <c r="F2862" s="367">
        <v>450</v>
      </c>
      <c r="G2862" s="367">
        <v>200</v>
      </c>
      <c r="H2862" s="367" t="s">
        <v>25</v>
      </c>
      <c r="I2862" s="367" t="s">
        <v>13</v>
      </c>
      <c r="J2862" s="367" t="s">
        <v>13</v>
      </c>
      <c r="K2862" s="367" t="s">
        <v>13</v>
      </c>
      <c r="L2862" s="367">
        <v>35.5</v>
      </c>
      <c r="M2862" s="358" t="s">
        <v>14</v>
      </c>
      <c r="N2862" s="396" t="s">
        <v>31</v>
      </c>
      <c r="O2862" s="367" t="s">
        <v>27</v>
      </c>
      <c r="P2862" s="261"/>
      <c r="Q2862" s="367" t="s">
        <v>500</v>
      </c>
      <c r="T2862" s="200">
        <v>1</v>
      </c>
    </row>
    <row r="2863" spans="1:20" ht="15" customHeight="1" x14ac:dyDescent="0.3">
      <c r="A2863" s="368"/>
      <c r="B2863" s="368"/>
      <c r="C2863" s="41">
        <v>-23379</v>
      </c>
      <c r="D2863" s="368"/>
      <c r="E2863" s="368"/>
      <c r="F2863" s="368"/>
      <c r="G2863" s="368"/>
      <c r="H2863" s="368"/>
      <c r="I2863" s="368"/>
      <c r="J2863" s="368"/>
      <c r="K2863" s="368"/>
      <c r="L2863" s="368"/>
      <c r="M2863" s="359"/>
      <c r="N2863" s="397"/>
      <c r="O2863" s="368"/>
      <c r="P2863" s="226">
        <v>44090</v>
      </c>
      <c r="Q2863" s="368"/>
    </row>
    <row r="2864" spans="1:20" ht="15" customHeight="1" thickBot="1" x14ac:dyDescent="0.35">
      <c r="A2864" s="369"/>
      <c r="B2864" s="369"/>
      <c r="C2864" s="42">
        <v>8025</v>
      </c>
      <c r="D2864" s="369"/>
      <c r="E2864" s="369"/>
      <c r="F2864" s="369"/>
      <c r="G2864" s="369"/>
      <c r="H2864" s="369"/>
      <c r="I2864" s="369"/>
      <c r="J2864" s="369"/>
      <c r="K2864" s="369"/>
      <c r="L2864" s="369"/>
      <c r="M2864" s="360"/>
      <c r="N2864" s="398"/>
      <c r="O2864" s="369"/>
      <c r="P2864" s="262"/>
      <c r="Q2864" s="369"/>
    </row>
    <row r="2865" spans="1:20" ht="15" customHeight="1" x14ac:dyDescent="0.3">
      <c r="A2865" s="367">
        <v>21</v>
      </c>
      <c r="B2865" s="367" t="s">
        <v>498</v>
      </c>
      <c r="C2865" s="40">
        <v>-5127</v>
      </c>
      <c r="D2865" s="367">
        <v>1</v>
      </c>
      <c r="E2865" s="367" t="s">
        <v>499</v>
      </c>
      <c r="F2865" s="367">
        <v>450</v>
      </c>
      <c r="G2865" s="367">
        <v>200</v>
      </c>
      <c r="H2865" s="367" t="s">
        <v>25</v>
      </c>
      <c r="I2865" s="367" t="s">
        <v>13</v>
      </c>
      <c r="J2865" s="367" t="s">
        <v>13</v>
      </c>
      <c r="K2865" s="367" t="s">
        <v>13</v>
      </c>
      <c r="L2865" s="367">
        <v>35.5</v>
      </c>
      <c r="M2865" s="358" t="s">
        <v>14</v>
      </c>
      <c r="N2865" s="396" t="s">
        <v>31</v>
      </c>
      <c r="O2865" s="367" t="s">
        <v>27</v>
      </c>
      <c r="P2865" s="261"/>
      <c r="Q2865" s="367" t="s">
        <v>500</v>
      </c>
      <c r="T2865" s="200">
        <v>1</v>
      </c>
    </row>
    <row r="2866" spans="1:20" ht="15" customHeight="1" x14ac:dyDescent="0.3">
      <c r="A2866" s="368"/>
      <c r="B2866" s="368"/>
      <c r="C2866" s="41">
        <v>24249</v>
      </c>
      <c r="D2866" s="368"/>
      <c r="E2866" s="368"/>
      <c r="F2866" s="368"/>
      <c r="G2866" s="368"/>
      <c r="H2866" s="368"/>
      <c r="I2866" s="368"/>
      <c r="J2866" s="368"/>
      <c r="K2866" s="368"/>
      <c r="L2866" s="368"/>
      <c r="M2866" s="359"/>
      <c r="N2866" s="397"/>
      <c r="O2866" s="368"/>
      <c r="P2866" s="226">
        <v>44090</v>
      </c>
      <c r="Q2866" s="368"/>
    </row>
    <row r="2867" spans="1:20" ht="15" customHeight="1" thickBot="1" x14ac:dyDescent="0.35">
      <c r="A2867" s="369"/>
      <c r="B2867" s="369"/>
      <c r="C2867" s="42">
        <v>8025</v>
      </c>
      <c r="D2867" s="369"/>
      <c r="E2867" s="369"/>
      <c r="F2867" s="369"/>
      <c r="G2867" s="369"/>
      <c r="H2867" s="369"/>
      <c r="I2867" s="369"/>
      <c r="J2867" s="369"/>
      <c r="K2867" s="369"/>
      <c r="L2867" s="369"/>
      <c r="M2867" s="360"/>
      <c r="N2867" s="398"/>
      <c r="O2867" s="369"/>
      <c r="P2867" s="262"/>
      <c r="Q2867" s="369"/>
    </row>
    <row r="2868" spans="1:20" ht="15" customHeight="1" x14ac:dyDescent="0.3">
      <c r="A2868" s="367">
        <v>22</v>
      </c>
      <c r="B2868" s="367" t="s">
        <v>498</v>
      </c>
      <c r="C2868" s="40">
        <v>-276</v>
      </c>
      <c r="D2868" s="367">
        <v>1</v>
      </c>
      <c r="E2868" s="367" t="s">
        <v>499</v>
      </c>
      <c r="F2868" s="367">
        <v>450</v>
      </c>
      <c r="G2868" s="367">
        <v>200</v>
      </c>
      <c r="H2868" s="367" t="s">
        <v>25</v>
      </c>
      <c r="I2868" s="367" t="s">
        <v>13</v>
      </c>
      <c r="J2868" s="367" t="s">
        <v>13</v>
      </c>
      <c r="K2868" s="367" t="s">
        <v>13</v>
      </c>
      <c r="L2868" s="367">
        <v>35.5</v>
      </c>
      <c r="M2868" s="358" t="s">
        <v>14</v>
      </c>
      <c r="N2868" s="396" t="s">
        <v>31</v>
      </c>
      <c r="O2868" s="367" t="s">
        <v>27</v>
      </c>
      <c r="P2868" s="261"/>
      <c r="Q2868" s="367" t="s">
        <v>500</v>
      </c>
      <c r="T2868" s="200">
        <v>1</v>
      </c>
    </row>
    <row r="2869" spans="1:20" ht="15" customHeight="1" x14ac:dyDescent="0.3">
      <c r="A2869" s="368"/>
      <c r="B2869" s="368"/>
      <c r="C2869" s="41">
        <v>24786</v>
      </c>
      <c r="D2869" s="368"/>
      <c r="E2869" s="368"/>
      <c r="F2869" s="368"/>
      <c r="G2869" s="368"/>
      <c r="H2869" s="368"/>
      <c r="I2869" s="368"/>
      <c r="J2869" s="368"/>
      <c r="K2869" s="368"/>
      <c r="L2869" s="368"/>
      <c r="M2869" s="359"/>
      <c r="N2869" s="397"/>
      <c r="O2869" s="368"/>
      <c r="P2869" s="226">
        <v>44090</v>
      </c>
      <c r="Q2869" s="368"/>
    </row>
    <row r="2870" spans="1:20" ht="15" customHeight="1" thickBot="1" x14ac:dyDescent="0.35">
      <c r="A2870" s="369"/>
      <c r="B2870" s="369"/>
      <c r="C2870" s="42">
        <v>8025</v>
      </c>
      <c r="D2870" s="369"/>
      <c r="E2870" s="369"/>
      <c r="F2870" s="369"/>
      <c r="G2870" s="369"/>
      <c r="H2870" s="369"/>
      <c r="I2870" s="369"/>
      <c r="J2870" s="369"/>
      <c r="K2870" s="369"/>
      <c r="L2870" s="369"/>
      <c r="M2870" s="360"/>
      <c r="N2870" s="398"/>
      <c r="O2870" s="369"/>
      <c r="P2870" s="262"/>
      <c r="Q2870" s="369"/>
    </row>
    <row r="2871" spans="1:20" ht="15" customHeight="1" x14ac:dyDescent="0.3">
      <c r="A2871" s="367">
        <v>23</v>
      </c>
      <c r="B2871" s="367" t="s">
        <v>498</v>
      </c>
      <c r="C2871" s="40">
        <v>24017</v>
      </c>
      <c r="D2871" s="367">
        <v>1</v>
      </c>
      <c r="E2871" s="367" t="s">
        <v>499</v>
      </c>
      <c r="F2871" s="367">
        <v>450</v>
      </c>
      <c r="G2871" s="367">
        <v>200</v>
      </c>
      <c r="H2871" s="367" t="s">
        <v>25</v>
      </c>
      <c r="I2871" s="367" t="s">
        <v>13</v>
      </c>
      <c r="J2871" s="367" t="s">
        <v>13</v>
      </c>
      <c r="K2871" s="367" t="s">
        <v>13</v>
      </c>
      <c r="L2871" s="367">
        <v>35.5</v>
      </c>
      <c r="M2871" s="358" t="s">
        <v>14</v>
      </c>
      <c r="N2871" s="396" t="s">
        <v>42</v>
      </c>
      <c r="O2871" s="367" t="s">
        <v>27</v>
      </c>
      <c r="P2871" s="261"/>
      <c r="Q2871" s="367" t="s">
        <v>500</v>
      </c>
      <c r="T2871" s="200">
        <v>1</v>
      </c>
    </row>
    <row r="2872" spans="1:20" ht="15" customHeight="1" x14ac:dyDescent="0.3">
      <c r="A2872" s="368"/>
      <c r="B2872" s="368"/>
      <c r="C2872" s="41">
        <v>5461</v>
      </c>
      <c r="D2872" s="368"/>
      <c r="E2872" s="368"/>
      <c r="F2872" s="368"/>
      <c r="G2872" s="368"/>
      <c r="H2872" s="368"/>
      <c r="I2872" s="368"/>
      <c r="J2872" s="368"/>
      <c r="K2872" s="368"/>
      <c r="L2872" s="368"/>
      <c r="M2872" s="359"/>
      <c r="N2872" s="397"/>
      <c r="O2872" s="368"/>
      <c r="P2872" s="226">
        <v>44090</v>
      </c>
      <c r="Q2872" s="368"/>
    </row>
    <row r="2873" spans="1:20" ht="15" customHeight="1" thickBot="1" x14ac:dyDescent="0.35">
      <c r="A2873" s="369"/>
      <c r="B2873" s="369"/>
      <c r="C2873" s="42">
        <v>8025</v>
      </c>
      <c r="D2873" s="369"/>
      <c r="E2873" s="369"/>
      <c r="F2873" s="369"/>
      <c r="G2873" s="369"/>
      <c r="H2873" s="369"/>
      <c r="I2873" s="369"/>
      <c r="J2873" s="369"/>
      <c r="K2873" s="369"/>
      <c r="L2873" s="369"/>
      <c r="M2873" s="360"/>
      <c r="N2873" s="398"/>
      <c r="O2873" s="369"/>
      <c r="P2873" s="262"/>
      <c r="Q2873" s="369"/>
    </row>
    <row r="2874" spans="1:20" ht="15" customHeight="1" x14ac:dyDescent="0.3">
      <c r="A2874" s="367">
        <v>24</v>
      </c>
      <c r="B2874" s="367" t="s">
        <v>498</v>
      </c>
      <c r="C2874" s="40">
        <v>24555</v>
      </c>
      <c r="D2874" s="367">
        <v>1</v>
      </c>
      <c r="E2874" s="367" t="s">
        <v>499</v>
      </c>
      <c r="F2874" s="367">
        <v>450</v>
      </c>
      <c r="G2874" s="367">
        <v>200</v>
      </c>
      <c r="H2874" s="367" t="s">
        <v>25</v>
      </c>
      <c r="I2874" s="367" t="s">
        <v>13</v>
      </c>
      <c r="J2874" s="367" t="s">
        <v>13</v>
      </c>
      <c r="K2874" s="367" t="s">
        <v>13</v>
      </c>
      <c r="L2874" s="367">
        <v>35.5</v>
      </c>
      <c r="M2874" s="358" t="s">
        <v>14</v>
      </c>
      <c r="N2874" s="396" t="s">
        <v>42</v>
      </c>
      <c r="O2874" s="367" t="s">
        <v>27</v>
      </c>
      <c r="P2874" s="261"/>
      <c r="Q2874" s="367" t="s">
        <v>500</v>
      </c>
    </row>
    <row r="2875" spans="1:20" ht="15" customHeight="1" x14ac:dyDescent="0.3">
      <c r="A2875" s="368"/>
      <c r="B2875" s="368"/>
      <c r="C2875" s="41">
        <v>2115</v>
      </c>
      <c r="D2875" s="368"/>
      <c r="E2875" s="368"/>
      <c r="F2875" s="368"/>
      <c r="G2875" s="368"/>
      <c r="H2875" s="368"/>
      <c r="I2875" s="368"/>
      <c r="J2875" s="368"/>
      <c r="K2875" s="368"/>
      <c r="L2875" s="368"/>
      <c r="M2875" s="359"/>
      <c r="N2875" s="397"/>
      <c r="O2875" s="368"/>
      <c r="P2875" s="226">
        <v>44090</v>
      </c>
      <c r="Q2875" s="368"/>
      <c r="T2875" s="200">
        <v>1</v>
      </c>
    </row>
    <row r="2876" spans="1:20" ht="15" customHeight="1" thickBot="1" x14ac:dyDescent="0.35">
      <c r="A2876" s="369"/>
      <c r="B2876" s="369"/>
      <c r="C2876" s="42">
        <v>8025</v>
      </c>
      <c r="D2876" s="369"/>
      <c r="E2876" s="369"/>
      <c r="F2876" s="369"/>
      <c r="G2876" s="369"/>
      <c r="H2876" s="369"/>
      <c r="I2876" s="369"/>
      <c r="J2876" s="369"/>
      <c r="K2876" s="369"/>
      <c r="L2876" s="369"/>
      <c r="M2876" s="360"/>
      <c r="N2876" s="398"/>
      <c r="O2876" s="369"/>
      <c r="P2876" s="262"/>
      <c r="Q2876" s="369"/>
    </row>
    <row r="2877" spans="1:20" ht="15" customHeight="1" x14ac:dyDescent="0.3">
      <c r="A2877" s="443" t="s">
        <v>102</v>
      </c>
      <c r="B2877" s="444"/>
      <c r="C2877" s="444"/>
      <c r="D2877" s="444"/>
      <c r="E2877" s="444"/>
      <c r="F2877" s="444"/>
      <c r="G2877" s="444"/>
      <c r="H2877" s="444"/>
      <c r="I2877" s="444"/>
      <c r="J2877" s="444"/>
      <c r="K2877" s="444"/>
      <c r="L2877" s="444"/>
      <c r="M2877" s="444"/>
      <c r="N2877" s="444"/>
      <c r="O2877" s="444"/>
      <c r="P2877" s="444"/>
      <c r="Q2877" s="445"/>
    </row>
    <row r="2878" spans="1:20" ht="15" customHeight="1" x14ac:dyDescent="0.3">
      <c r="A2878" s="423">
        <v>25</v>
      </c>
      <c r="B2878" s="423" t="s">
        <v>498</v>
      </c>
      <c r="C2878" s="62">
        <v>-7426</v>
      </c>
      <c r="D2878" s="423">
        <v>1</v>
      </c>
      <c r="E2878" s="423" t="s">
        <v>30</v>
      </c>
      <c r="F2878" s="423">
        <v>800</v>
      </c>
      <c r="G2878" s="423">
        <v>800</v>
      </c>
      <c r="H2878" s="423" t="s">
        <v>25</v>
      </c>
      <c r="I2878" s="423" t="s">
        <v>13</v>
      </c>
      <c r="J2878" s="423" t="s">
        <v>13</v>
      </c>
      <c r="K2878" s="423" t="s">
        <v>13</v>
      </c>
      <c r="L2878" s="423">
        <v>29</v>
      </c>
      <c r="M2878" s="424" t="s">
        <v>14</v>
      </c>
      <c r="N2878" s="425" t="s">
        <v>501</v>
      </c>
      <c r="O2878" s="423" t="s">
        <v>27</v>
      </c>
      <c r="P2878" s="279"/>
      <c r="Q2878" s="423" t="s">
        <v>502</v>
      </c>
    </row>
    <row r="2879" spans="1:20" ht="15" customHeight="1" x14ac:dyDescent="0.3">
      <c r="A2879" s="368"/>
      <c r="B2879" s="368"/>
      <c r="C2879" s="41">
        <v>24290</v>
      </c>
      <c r="D2879" s="368"/>
      <c r="E2879" s="368"/>
      <c r="F2879" s="368"/>
      <c r="G2879" s="368"/>
      <c r="H2879" s="368"/>
      <c r="I2879" s="368"/>
      <c r="J2879" s="368"/>
      <c r="K2879" s="368"/>
      <c r="L2879" s="368"/>
      <c r="M2879" s="359"/>
      <c r="N2879" s="397"/>
      <c r="O2879" s="368"/>
      <c r="P2879" s="226">
        <v>44090</v>
      </c>
      <c r="Q2879" s="368"/>
      <c r="T2879" s="200">
        <v>1</v>
      </c>
    </row>
    <row r="2880" spans="1:20" ht="15" customHeight="1" thickBot="1" x14ac:dyDescent="0.35">
      <c r="A2880" s="369"/>
      <c r="B2880" s="369"/>
      <c r="C2880" s="42">
        <v>12461</v>
      </c>
      <c r="D2880" s="369"/>
      <c r="E2880" s="369"/>
      <c r="F2880" s="369"/>
      <c r="G2880" s="369"/>
      <c r="H2880" s="369"/>
      <c r="I2880" s="369"/>
      <c r="J2880" s="369"/>
      <c r="K2880" s="369"/>
      <c r="L2880" s="369"/>
      <c r="M2880" s="360"/>
      <c r="N2880" s="398"/>
      <c r="O2880" s="369"/>
      <c r="P2880" s="262"/>
      <c r="Q2880" s="369"/>
    </row>
    <row r="2881" spans="1:20" ht="15" customHeight="1" x14ac:dyDescent="0.3">
      <c r="A2881" s="367">
        <v>26</v>
      </c>
      <c r="B2881" s="367" t="s">
        <v>498</v>
      </c>
      <c r="C2881" s="40">
        <v>20164</v>
      </c>
      <c r="D2881" s="367">
        <v>1</v>
      </c>
      <c r="E2881" s="367" t="s">
        <v>30</v>
      </c>
      <c r="F2881" s="367">
        <v>800</v>
      </c>
      <c r="G2881" s="367">
        <v>800</v>
      </c>
      <c r="H2881" s="367" t="s">
        <v>25</v>
      </c>
      <c r="I2881" s="367" t="s">
        <v>13</v>
      </c>
      <c r="J2881" s="367" t="s">
        <v>13</v>
      </c>
      <c r="K2881" s="367" t="s">
        <v>13</v>
      </c>
      <c r="L2881" s="367">
        <v>29</v>
      </c>
      <c r="M2881" s="358" t="s">
        <v>14</v>
      </c>
      <c r="N2881" s="396" t="s">
        <v>463</v>
      </c>
      <c r="O2881" s="367" t="s">
        <v>27</v>
      </c>
      <c r="P2881" s="261"/>
      <c r="Q2881" s="367" t="s">
        <v>502</v>
      </c>
    </row>
    <row r="2882" spans="1:20" ht="15" customHeight="1" x14ac:dyDescent="0.3">
      <c r="A2882" s="368"/>
      <c r="B2882" s="368"/>
      <c r="C2882" s="41">
        <v>-15445</v>
      </c>
      <c r="D2882" s="368"/>
      <c r="E2882" s="368"/>
      <c r="F2882" s="368"/>
      <c r="G2882" s="368"/>
      <c r="H2882" s="368"/>
      <c r="I2882" s="368"/>
      <c r="J2882" s="368"/>
      <c r="K2882" s="368"/>
      <c r="L2882" s="368"/>
      <c r="M2882" s="359"/>
      <c r="N2882" s="397"/>
      <c r="O2882" s="368"/>
      <c r="P2882" s="226">
        <v>44090</v>
      </c>
      <c r="Q2882" s="368"/>
      <c r="T2882" s="200">
        <v>1</v>
      </c>
    </row>
    <row r="2883" spans="1:20" ht="15" customHeight="1" x14ac:dyDescent="0.3">
      <c r="A2883" s="432"/>
      <c r="B2883" s="432"/>
      <c r="C2883" s="64">
        <v>10098</v>
      </c>
      <c r="D2883" s="432"/>
      <c r="E2883" s="432"/>
      <c r="F2883" s="432"/>
      <c r="G2883" s="432"/>
      <c r="H2883" s="432"/>
      <c r="I2883" s="432"/>
      <c r="J2883" s="432"/>
      <c r="K2883" s="432"/>
      <c r="L2883" s="432"/>
      <c r="M2883" s="433"/>
      <c r="N2883" s="431"/>
      <c r="O2883" s="432"/>
      <c r="P2883" s="280"/>
      <c r="Q2883" s="432"/>
    </row>
    <row r="2884" spans="1:20" ht="30" customHeight="1" thickBot="1" x14ac:dyDescent="0.35">
      <c r="A2884" s="458" t="s">
        <v>511</v>
      </c>
      <c r="B2884" s="459"/>
      <c r="C2884" s="459"/>
      <c r="D2884" s="459"/>
      <c r="E2884" s="459"/>
      <c r="F2884" s="459"/>
      <c r="G2884" s="459"/>
      <c r="H2884" s="459"/>
      <c r="I2884" s="459"/>
      <c r="J2884" s="459"/>
      <c r="K2884" s="459"/>
      <c r="L2884" s="459"/>
      <c r="M2884" s="459"/>
      <c r="N2884" s="459"/>
      <c r="O2884" s="459"/>
      <c r="P2884" s="459"/>
      <c r="Q2884" s="460"/>
    </row>
    <row r="2885" spans="1:20" ht="15" customHeight="1" thickBot="1" x14ac:dyDescent="0.35">
      <c r="A2885" s="352" t="s">
        <v>503</v>
      </c>
      <c r="B2885" s="353"/>
      <c r="C2885" s="353"/>
      <c r="D2885" s="353"/>
      <c r="E2885" s="353"/>
      <c r="F2885" s="353"/>
      <c r="G2885" s="353"/>
      <c r="H2885" s="353"/>
      <c r="I2885" s="353"/>
      <c r="J2885" s="353"/>
      <c r="K2885" s="353"/>
      <c r="L2885" s="353"/>
      <c r="M2885" s="353"/>
      <c r="N2885" s="353"/>
      <c r="O2885" s="353"/>
      <c r="P2885" s="353"/>
      <c r="Q2885" s="353"/>
      <c r="R2885" s="12"/>
    </row>
    <row r="2886" spans="1:20" ht="15" hidden="1" customHeight="1" x14ac:dyDescent="0.3">
      <c r="A2886" s="370">
        <v>1</v>
      </c>
      <c r="B2886" s="370" t="s">
        <v>504</v>
      </c>
      <c r="C2886" s="305">
        <v>15270</v>
      </c>
      <c r="D2886" s="370">
        <v>1</v>
      </c>
      <c r="E2886" s="370" t="s">
        <v>505</v>
      </c>
      <c r="F2886" s="370" t="s">
        <v>13</v>
      </c>
      <c r="G2886" s="370">
        <v>170</v>
      </c>
      <c r="H2886" s="370" t="s">
        <v>506</v>
      </c>
      <c r="I2886" s="370">
        <v>30</v>
      </c>
      <c r="J2886" s="370" t="s">
        <v>13</v>
      </c>
      <c r="K2886" s="370">
        <v>50</v>
      </c>
      <c r="L2886" s="370" t="s">
        <v>507</v>
      </c>
      <c r="M2886" s="358" t="s">
        <v>14</v>
      </c>
      <c r="N2886" s="399" t="s">
        <v>510</v>
      </c>
      <c r="O2886" s="370" t="s">
        <v>27</v>
      </c>
      <c r="P2886" s="263"/>
      <c r="Q2886" s="367" t="s">
        <v>509</v>
      </c>
      <c r="R2886" s="452" t="s">
        <v>584</v>
      </c>
    </row>
    <row r="2887" spans="1:20" ht="15" customHeight="1" x14ac:dyDescent="0.3">
      <c r="A2887" s="371"/>
      <c r="B2887" s="371"/>
      <c r="C2887" s="38">
        <v>12240</v>
      </c>
      <c r="D2887" s="371"/>
      <c r="E2887" s="371"/>
      <c r="F2887" s="371"/>
      <c r="G2887" s="371"/>
      <c r="H2887" s="371"/>
      <c r="I2887" s="371"/>
      <c r="J2887" s="371"/>
      <c r="K2887" s="371"/>
      <c r="L2887" s="371"/>
      <c r="M2887" s="359"/>
      <c r="N2887" s="400"/>
      <c r="O2887" s="371"/>
      <c r="P2887" s="264"/>
      <c r="Q2887" s="368"/>
      <c r="R2887" s="452"/>
      <c r="T2887" s="200">
        <v>1</v>
      </c>
    </row>
    <row r="2888" spans="1:20" ht="15" customHeight="1" thickBot="1" x14ac:dyDescent="0.35">
      <c r="A2888" s="372"/>
      <c r="B2888" s="372"/>
      <c r="C2888" s="39">
        <v>1800</v>
      </c>
      <c r="D2888" s="372"/>
      <c r="E2888" s="372"/>
      <c r="F2888" s="372"/>
      <c r="G2888" s="372"/>
      <c r="H2888" s="372"/>
      <c r="I2888" s="372"/>
      <c r="J2888" s="372"/>
      <c r="K2888" s="372"/>
      <c r="L2888" s="372"/>
      <c r="M2888" s="360"/>
      <c r="N2888" s="401"/>
      <c r="O2888" s="372"/>
      <c r="P2888" s="265"/>
      <c r="Q2888" s="369"/>
      <c r="R2888" s="452"/>
    </row>
    <row r="2889" spans="1:20" ht="15" hidden="1" customHeight="1" x14ac:dyDescent="0.3">
      <c r="A2889" s="370">
        <v>2</v>
      </c>
      <c r="B2889" s="370" t="s">
        <v>504</v>
      </c>
      <c r="C2889" s="37">
        <v>15270</v>
      </c>
      <c r="D2889" s="370">
        <v>1</v>
      </c>
      <c r="E2889" s="370" t="s">
        <v>505</v>
      </c>
      <c r="F2889" s="370" t="s">
        <v>13</v>
      </c>
      <c r="G2889" s="370">
        <v>170</v>
      </c>
      <c r="H2889" s="370" t="s">
        <v>506</v>
      </c>
      <c r="I2889" s="370">
        <v>30</v>
      </c>
      <c r="J2889" s="370" t="s">
        <v>13</v>
      </c>
      <c r="K2889" s="370">
        <v>50</v>
      </c>
      <c r="L2889" s="370" t="s">
        <v>507</v>
      </c>
      <c r="M2889" s="358" t="s">
        <v>14</v>
      </c>
      <c r="N2889" s="370" t="s">
        <v>508</v>
      </c>
      <c r="O2889" s="370" t="s">
        <v>27</v>
      </c>
      <c r="P2889" s="263"/>
      <c r="Q2889" s="367" t="s">
        <v>509</v>
      </c>
      <c r="R2889" s="452" t="s">
        <v>584</v>
      </c>
      <c r="T2889" s="200">
        <v>1</v>
      </c>
    </row>
    <row r="2890" spans="1:20" ht="15" customHeight="1" x14ac:dyDescent="0.3">
      <c r="A2890" s="371"/>
      <c r="B2890" s="371"/>
      <c r="C2890" s="38">
        <v>12240</v>
      </c>
      <c r="D2890" s="371"/>
      <c r="E2890" s="371"/>
      <c r="F2890" s="371"/>
      <c r="G2890" s="371"/>
      <c r="H2890" s="371"/>
      <c r="I2890" s="371"/>
      <c r="J2890" s="371"/>
      <c r="K2890" s="371"/>
      <c r="L2890" s="371"/>
      <c r="M2890" s="359"/>
      <c r="N2890" s="371"/>
      <c r="O2890" s="371"/>
      <c r="P2890" s="264"/>
      <c r="Q2890" s="368"/>
      <c r="R2890" s="452"/>
    </row>
    <row r="2891" spans="1:20" ht="15" customHeight="1" thickBot="1" x14ac:dyDescent="0.35">
      <c r="A2891" s="372"/>
      <c r="B2891" s="372"/>
      <c r="C2891" s="39">
        <v>4350</v>
      </c>
      <c r="D2891" s="372"/>
      <c r="E2891" s="372"/>
      <c r="F2891" s="372"/>
      <c r="G2891" s="372"/>
      <c r="H2891" s="372"/>
      <c r="I2891" s="372"/>
      <c r="J2891" s="372"/>
      <c r="K2891" s="372"/>
      <c r="L2891" s="372"/>
      <c r="M2891" s="360"/>
      <c r="N2891" s="372"/>
      <c r="O2891" s="372"/>
      <c r="P2891" s="265"/>
      <c r="Q2891" s="369"/>
      <c r="R2891" s="452"/>
    </row>
    <row r="2892" spans="1:20" ht="15" hidden="1" customHeight="1" x14ac:dyDescent="0.3">
      <c r="A2892" s="370">
        <v>3</v>
      </c>
      <c r="B2892" s="370" t="s">
        <v>504</v>
      </c>
      <c r="C2892" s="37">
        <v>15270</v>
      </c>
      <c r="D2892" s="370">
        <v>1</v>
      </c>
      <c r="E2892" s="370" t="s">
        <v>505</v>
      </c>
      <c r="F2892" s="370" t="s">
        <v>13</v>
      </c>
      <c r="G2892" s="370">
        <v>170</v>
      </c>
      <c r="H2892" s="370" t="s">
        <v>506</v>
      </c>
      <c r="I2892" s="370">
        <v>30</v>
      </c>
      <c r="J2892" s="370" t="s">
        <v>13</v>
      </c>
      <c r="K2892" s="370">
        <v>50</v>
      </c>
      <c r="L2892" s="370" t="s">
        <v>507</v>
      </c>
      <c r="M2892" s="358" t="s">
        <v>14</v>
      </c>
      <c r="N2892" s="370" t="s">
        <v>508</v>
      </c>
      <c r="O2892" s="370" t="s">
        <v>27</v>
      </c>
      <c r="P2892" s="263"/>
      <c r="Q2892" s="367" t="s">
        <v>509</v>
      </c>
      <c r="R2892" s="452" t="s">
        <v>584</v>
      </c>
      <c r="T2892" s="200">
        <v>1</v>
      </c>
    </row>
    <row r="2893" spans="1:20" ht="15" customHeight="1" x14ac:dyDescent="0.3">
      <c r="A2893" s="371"/>
      <c r="B2893" s="371"/>
      <c r="C2893" s="38">
        <v>12240</v>
      </c>
      <c r="D2893" s="371"/>
      <c r="E2893" s="371"/>
      <c r="F2893" s="371"/>
      <c r="G2893" s="371"/>
      <c r="H2893" s="371"/>
      <c r="I2893" s="371"/>
      <c r="J2893" s="371"/>
      <c r="K2893" s="371"/>
      <c r="L2893" s="371"/>
      <c r="M2893" s="359"/>
      <c r="N2893" s="371"/>
      <c r="O2893" s="371"/>
      <c r="P2893" s="264"/>
      <c r="Q2893" s="368"/>
      <c r="R2893" s="452"/>
    </row>
    <row r="2894" spans="1:20" ht="15" customHeight="1" thickBot="1" x14ac:dyDescent="0.35">
      <c r="A2894" s="372"/>
      <c r="B2894" s="372"/>
      <c r="C2894" s="39">
        <v>6900</v>
      </c>
      <c r="D2894" s="372"/>
      <c r="E2894" s="372"/>
      <c r="F2894" s="372"/>
      <c r="G2894" s="372"/>
      <c r="H2894" s="372"/>
      <c r="I2894" s="372"/>
      <c r="J2894" s="372"/>
      <c r="K2894" s="372"/>
      <c r="L2894" s="372"/>
      <c r="M2894" s="360"/>
      <c r="N2894" s="372"/>
      <c r="O2894" s="372"/>
      <c r="P2894" s="265"/>
      <c r="Q2894" s="369"/>
      <c r="R2894" s="452"/>
    </row>
    <row r="2895" spans="1:20" ht="15" hidden="1" customHeight="1" x14ac:dyDescent="0.3">
      <c r="A2895" s="370">
        <v>4</v>
      </c>
      <c r="B2895" s="370" t="s">
        <v>504</v>
      </c>
      <c r="C2895" s="37">
        <v>15270</v>
      </c>
      <c r="D2895" s="370">
        <v>1</v>
      </c>
      <c r="E2895" s="370" t="s">
        <v>505</v>
      </c>
      <c r="F2895" s="370" t="s">
        <v>13</v>
      </c>
      <c r="G2895" s="370">
        <v>170</v>
      </c>
      <c r="H2895" s="370" t="s">
        <v>506</v>
      </c>
      <c r="I2895" s="370">
        <v>30</v>
      </c>
      <c r="J2895" s="370" t="s">
        <v>13</v>
      </c>
      <c r="K2895" s="370">
        <v>50</v>
      </c>
      <c r="L2895" s="370" t="s">
        <v>507</v>
      </c>
      <c r="M2895" s="358" t="s">
        <v>14</v>
      </c>
      <c r="N2895" s="370" t="s">
        <v>508</v>
      </c>
      <c r="O2895" s="370" t="s">
        <v>27</v>
      </c>
      <c r="P2895" s="263"/>
      <c r="Q2895" s="367" t="s">
        <v>509</v>
      </c>
      <c r="R2895" s="452" t="s">
        <v>584</v>
      </c>
      <c r="T2895" s="200">
        <v>1</v>
      </c>
    </row>
    <row r="2896" spans="1:20" ht="15" customHeight="1" x14ac:dyDescent="0.3">
      <c r="A2896" s="371"/>
      <c r="B2896" s="371"/>
      <c r="C2896" s="38">
        <v>12240</v>
      </c>
      <c r="D2896" s="371"/>
      <c r="E2896" s="371"/>
      <c r="F2896" s="371"/>
      <c r="G2896" s="371"/>
      <c r="H2896" s="371"/>
      <c r="I2896" s="371"/>
      <c r="J2896" s="371"/>
      <c r="K2896" s="371"/>
      <c r="L2896" s="371"/>
      <c r="M2896" s="359"/>
      <c r="N2896" s="371"/>
      <c r="O2896" s="371"/>
      <c r="P2896" s="264"/>
      <c r="Q2896" s="368"/>
      <c r="R2896" s="452"/>
    </row>
    <row r="2897" spans="1:20" ht="15" customHeight="1" thickBot="1" x14ac:dyDescent="0.35">
      <c r="A2897" s="372"/>
      <c r="B2897" s="372"/>
      <c r="C2897" s="39">
        <v>9300</v>
      </c>
      <c r="D2897" s="372"/>
      <c r="E2897" s="372"/>
      <c r="F2897" s="372"/>
      <c r="G2897" s="372"/>
      <c r="H2897" s="372"/>
      <c r="I2897" s="372"/>
      <c r="J2897" s="372"/>
      <c r="K2897" s="372"/>
      <c r="L2897" s="372"/>
      <c r="M2897" s="360"/>
      <c r="N2897" s="372"/>
      <c r="O2897" s="372"/>
      <c r="P2897" s="265"/>
      <c r="Q2897" s="369"/>
      <c r="R2897" s="452"/>
    </row>
    <row r="2898" spans="1:20" ht="15" hidden="1" customHeight="1" x14ac:dyDescent="0.3">
      <c r="A2898" s="370">
        <v>5</v>
      </c>
      <c r="B2898" s="370" t="s">
        <v>504</v>
      </c>
      <c r="C2898" s="37">
        <v>15270</v>
      </c>
      <c r="D2898" s="370">
        <v>1</v>
      </c>
      <c r="E2898" s="370" t="s">
        <v>505</v>
      </c>
      <c r="F2898" s="370" t="s">
        <v>13</v>
      </c>
      <c r="G2898" s="370">
        <v>170</v>
      </c>
      <c r="H2898" s="370" t="s">
        <v>506</v>
      </c>
      <c r="I2898" s="370">
        <v>30</v>
      </c>
      <c r="J2898" s="370" t="s">
        <v>13</v>
      </c>
      <c r="K2898" s="370">
        <v>50</v>
      </c>
      <c r="L2898" s="370" t="s">
        <v>507</v>
      </c>
      <c r="M2898" s="358" t="s">
        <v>14</v>
      </c>
      <c r="N2898" s="370" t="s">
        <v>508</v>
      </c>
      <c r="O2898" s="370" t="s">
        <v>27</v>
      </c>
      <c r="P2898" s="263"/>
      <c r="Q2898" s="367" t="s">
        <v>509</v>
      </c>
      <c r="R2898" s="452" t="s">
        <v>584</v>
      </c>
      <c r="T2898" s="200">
        <v>1</v>
      </c>
    </row>
    <row r="2899" spans="1:20" ht="15" customHeight="1" x14ac:dyDescent="0.3">
      <c r="A2899" s="371"/>
      <c r="B2899" s="371"/>
      <c r="C2899" s="38">
        <v>12240</v>
      </c>
      <c r="D2899" s="371"/>
      <c r="E2899" s="371"/>
      <c r="F2899" s="371"/>
      <c r="G2899" s="371"/>
      <c r="H2899" s="371"/>
      <c r="I2899" s="371"/>
      <c r="J2899" s="371"/>
      <c r="K2899" s="371"/>
      <c r="L2899" s="371"/>
      <c r="M2899" s="359"/>
      <c r="N2899" s="371"/>
      <c r="O2899" s="371"/>
      <c r="P2899" s="264"/>
      <c r="Q2899" s="368"/>
      <c r="R2899" s="452"/>
    </row>
    <row r="2900" spans="1:20" ht="15" customHeight="1" thickBot="1" x14ac:dyDescent="0.35">
      <c r="A2900" s="372"/>
      <c r="B2900" s="372"/>
      <c r="C2900" s="39">
        <v>11850</v>
      </c>
      <c r="D2900" s="372"/>
      <c r="E2900" s="372"/>
      <c r="F2900" s="372"/>
      <c r="G2900" s="372"/>
      <c r="H2900" s="372"/>
      <c r="I2900" s="372"/>
      <c r="J2900" s="372"/>
      <c r="K2900" s="372"/>
      <c r="L2900" s="372"/>
      <c r="M2900" s="360"/>
      <c r="N2900" s="372"/>
      <c r="O2900" s="372"/>
      <c r="P2900" s="265"/>
      <c r="Q2900" s="369"/>
      <c r="R2900" s="452"/>
    </row>
    <row r="2901" spans="1:20" ht="15" hidden="1" customHeight="1" x14ac:dyDescent="0.3">
      <c r="A2901" s="370">
        <v>6</v>
      </c>
      <c r="B2901" s="370" t="s">
        <v>504</v>
      </c>
      <c r="C2901" s="37">
        <v>15270</v>
      </c>
      <c r="D2901" s="370">
        <v>1</v>
      </c>
      <c r="E2901" s="370" t="s">
        <v>505</v>
      </c>
      <c r="F2901" s="370" t="s">
        <v>13</v>
      </c>
      <c r="G2901" s="370">
        <v>170</v>
      </c>
      <c r="H2901" s="370" t="s">
        <v>506</v>
      </c>
      <c r="I2901" s="370">
        <v>30</v>
      </c>
      <c r="J2901" s="370" t="s">
        <v>13</v>
      </c>
      <c r="K2901" s="370">
        <v>50</v>
      </c>
      <c r="L2901" s="370" t="s">
        <v>507</v>
      </c>
      <c r="M2901" s="358" t="s">
        <v>14</v>
      </c>
      <c r="N2901" s="370" t="s">
        <v>508</v>
      </c>
      <c r="O2901" s="370" t="s">
        <v>27</v>
      </c>
      <c r="P2901" s="263"/>
      <c r="Q2901" s="367" t="s">
        <v>509</v>
      </c>
      <c r="R2901" s="452" t="s">
        <v>584</v>
      </c>
      <c r="T2901" s="200">
        <v>1</v>
      </c>
    </row>
    <row r="2902" spans="1:20" ht="15" customHeight="1" x14ac:dyDescent="0.3">
      <c r="A2902" s="371"/>
      <c r="B2902" s="371"/>
      <c r="C2902" s="38">
        <v>12240</v>
      </c>
      <c r="D2902" s="371"/>
      <c r="E2902" s="371"/>
      <c r="F2902" s="371"/>
      <c r="G2902" s="371"/>
      <c r="H2902" s="371"/>
      <c r="I2902" s="371"/>
      <c r="J2902" s="371"/>
      <c r="K2902" s="371"/>
      <c r="L2902" s="371"/>
      <c r="M2902" s="359"/>
      <c r="N2902" s="371"/>
      <c r="O2902" s="371"/>
      <c r="P2902" s="264"/>
      <c r="Q2902" s="368"/>
      <c r="R2902" s="452"/>
    </row>
    <row r="2903" spans="1:20" ht="15" customHeight="1" thickBot="1" x14ac:dyDescent="0.35">
      <c r="A2903" s="372"/>
      <c r="B2903" s="372"/>
      <c r="C2903" s="39">
        <v>14550</v>
      </c>
      <c r="D2903" s="372"/>
      <c r="E2903" s="372"/>
      <c r="F2903" s="372"/>
      <c r="G2903" s="372"/>
      <c r="H2903" s="372"/>
      <c r="I2903" s="372"/>
      <c r="J2903" s="372"/>
      <c r="K2903" s="372"/>
      <c r="L2903" s="372"/>
      <c r="M2903" s="360"/>
      <c r="N2903" s="372"/>
      <c r="O2903" s="372"/>
      <c r="P2903" s="265"/>
      <c r="Q2903" s="369"/>
      <c r="R2903" s="452"/>
    </row>
    <row r="2904" spans="1:20" ht="15" hidden="1" customHeight="1" x14ac:dyDescent="0.3">
      <c r="A2904" s="370">
        <v>7</v>
      </c>
      <c r="B2904" s="370" t="s">
        <v>504</v>
      </c>
      <c r="C2904" s="306">
        <v>15270</v>
      </c>
      <c r="D2904" s="370">
        <v>1</v>
      </c>
      <c r="E2904" s="370" t="s">
        <v>505</v>
      </c>
      <c r="F2904" s="370" t="s">
        <v>13</v>
      </c>
      <c r="G2904" s="370">
        <v>170</v>
      </c>
      <c r="H2904" s="307" t="s">
        <v>506</v>
      </c>
      <c r="I2904" s="370">
        <v>30</v>
      </c>
      <c r="J2904" s="308" t="s">
        <v>13</v>
      </c>
      <c r="K2904" s="308">
        <v>50</v>
      </c>
      <c r="L2904" s="446" t="s">
        <v>507</v>
      </c>
      <c r="M2904" s="449" t="s">
        <v>14</v>
      </c>
      <c r="N2904" s="370" t="s">
        <v>508</v>
      </c>
      <c r="O2904" s="370" t="s">
        <v>27</v>
      </c>
      <c r="P2904" s="263"/>
      <c r="Q2904" s="367" t="s">
        <v>512</v>
      </c>
      <c r="R2904" s="14" t="s">
        <v>584</v>
      </c>
      <c r="T2904" s="200">
        <v>1</v>
      </c>
    </row>
    <row r="2905" spans="1:20" ht="15" customHeight="1" x14ac:dyDescent="0.3">
      <c r="A2905" s="371"/>
      <c r="B2905" s="371"/>
      <c r="C2905" s="309">
        <v>12240</v>
      </c>
      <c r="D2905" s="371"/>
      <c r="E2905" s="371"/>
      <c r="F2905" s="371"/>
      <c r="G2905" s="371"/>
      <c r="H2905" s="310"/>
      <c r="I2905" s="371"/>
      <c r="J2905" s="311"/>
      <c r="K2905" s="311"/>
      <c r="L2905" s="447"/>
      <c r="M2905" s="450"/>
      <c r="N2905" s="371"/>
      <c r="O2905" s="371"/>
      <c r="P2905" s="264"/>
      <c r="Q2905" s="368"/>
      <c r="R2905" s="14"/>
    </row>
    <row r="2906" spans="1:20" ht="15" customHeight="1" thickBot="1" x14ac:dyDescent="0.35">
      <c r="A2906" s="372"/>
      <c r="B2906" s="372"/>
      <c r="C2906" s="312">
        <v>17250</v>
      </c>
      <c r="D2906" s="372"/>
      <c r="E2906" s="372"/>
      <c r="F2906" s="372"/>
      <c r="G2906" s="372"/>
      <c r="H2906" s="313"/>
      <c r="I2906" s="372"/>
      <c r="J2906" s="314"/>
      <c r="K2906" s="314"/>
      <c r="L2906" s="448"/>
      <c r="M2906" s="451"/>
      <c r="N2906" s="372"/>
      <c r="O2906" s="372"/>
      <c r="P2906" s="265"/>
      <c r="Q2906" s="369"/>
      <c r="R2906" s="14"/>
    </row>
    <row r="2907" spans="1:20" ht="15" hidden="1" customHeight="1" x14ac:dyDescent="0.3">
      <c r="A2907" s="370">
        <v>8</v>
      </c>
      <c r="B2907" s="370" t="s">
        <v>504</v>
      </c>
      <c r="C2907" s="306">
        <v>15270</v>
      </c>
      <c r="D2907" s="370">
        <v>1</v>
      </c>
      <c r="E2907" s="370" t="s">
        <v>505</v>
      </c>
      <c r="F2907" s="370" t="s">
        <v>13</v>
      </c>
      <c r="G2907" s="370">
        <v>170</v>
      </c>
      <c r="H2907" s="307" t="s">
        <v>506</v>
      </c>
      <c r="I2907" s="370">
        <v>30</v>
      </c>
      <c r="J2907" s="308" t="s">
        <v>13</v>
      </c>
      <c r="K2907" s="308">
        <v>50</v>
      </c>
      <c r="L2907" s="446" t="s">
        <v>507</v>
      </c>
      <c r="M2907" s="449" t="s">
        <v>14</v>
      </c>
      <c r="N2907" s="370" t="s">
        <v>508</v>
      </c>
      <c r="O2907" s="370" t="s">
        <v>27</v>
      </c>
      <c r="P2907" s="263"/>
      <c r="Q2907" s="367" t="s">
        <v>512</v>
      </c>
      <c r="R2907" s="14"/>
      <c r="T2907" s="200">
        <v>1</v>
      </c>
    </row>
    <row r="2908" spans="1:20" ht="15" customHeight="1" x14ac:dyDescent="0.3">
      <c r="A2908" s="371"/>
      <c r="B2908" s="371"/>
      <c r="C2908" s="309">
        <v>12240</v>
      </c>
      <c r="D2908" s="371"/>
      <c r="E2908" s="371"/>
      <c r="F2908" s="371"/>
      <c r="G2908" s="371"/>
      <c r="H2908" s="310"/>
      <c r="I2908" s="371"/>
      <c r="J2908" s="311"/>
      <c r="K2908" s="311"/>
      <c r="L2908" s="447"/>
      <c r="M2908" s="450"/>
      <c r="N2908" s="371"/>
      <c r="O2908" s="371"/>
      <c r="P2908" s="264"/>
      <c r="Q2908" s="368"/>
      <c r="R2908" s="14" t="s">
        <v>584</v>
      </c>
    </row>
    <row r="2909" spans="1:20" ht="15" customHeight="1" thickBot="1" x14ac:dyDescent="0.35">
      <c r="A2909" s="372"/>
      <c r="B2909" s="372"/>
      <c r="C2909" s="312">
        <v>19950</v>
      </c>
      <c r="D2909" s="372"/>
      <c r="E2909" s="372"/>
      <c r="F2909" s="372"/>
      <c r="G2909" s="372"/>
      <c r="H2909" s="313"/>
      <c r="I2909" s="372"/>
      <c r="J2909" s="314"/>
      <c r="K2909" s="314"/>
      <c r="L2909" s="448"/>
      <c r="M2909" s="451"/>
      <c r="N2909" s="372"/>
      <c r="O2909" s="372"/>
      <c r="P2909" s="265"/>
      <c r="Q2909" s="369"/>
      <c r="R2909" s="14"/>
    </row>
    <row r="2910" spans="1:20" ht="15" hidden="1" customHeight="1" x14ac:dyDescent="0.3">
      <c r="A2910" s="370">
        <v>9</v>
      </c>
      <c r="B2910" s="370" t="s">
        <v>504</v>
      </c>
      <c r="C2910" s="306">
        <v>15270</v>
      </c>
      <c r="D2910" s="370">
        <v>1</v>
      </c>
      <c r="E2910" s="370" t="s">
        <v>505</v>
      </c>
      <c r="F2910" s="370" t="s">
        <v>13</v>
      </c>
      <c r="G2910" s="370">
        <v>170</v>
      </c>
      <c r="H2910" s="307" t="s">
        <v>506</v>
      </c>
      <c r="I2910" s="370">
        <v>30</v>
      </c>
      <c r="J2910" s="308" t="s">
        <v>13</v>
      </c>
      <c r="K2910" s="308">
        <v>50</v>
      </c>
      <c r="L2910" s="446" t="s">
        <v>507</v>
      </c>
      <c r="M2910" s="449" t="s">
        <v>14</v>
      </c>
      <c r="N2910" s="370" t="s">
        <v>508</v>
      </c>
      <c r="O2910" s="370" t="s">
        <v>27</v>
      </c>
      <c r="P2910" s="263"/>
      <c r="Q2910" s="367" t="s">
        <v>512</v>
      </c>
      <c r="R2910" s="14"/>
      <c r="T2910" s="200">
        <v>1</v>
      </c>
    </row>
    <row r="2911" spans="1:20" ht="15" customHeight="1" x14ac:dyDescent="0.3">
      <c r="A2911" s="371"/>
      <c r="B2911" s="371"/>
      <c r="C2911" s="309">
        <v>12240</v>
      </c>
      <c r="D2911" s="371"/>
      <c r="E2911" s="371"/>
      <c r="F2911" s="371"/>
      <c r="G2911" s="371"/>
      <c r="H2911" s="310"/>
      <c r="I2911" s="371"/>
      <c r="J2911" s="311"/>
      <c r="K2911" s="311"/>
      <c r="L2911" s="447"/>
      <c r="M2911" s="450"/>
      <c r="N2911" s="371"/>
      <c r="O2911" s="371"/>
      <c r="P2911" s="264"/>
      <c r="Q2911" s="368"/>
      <c r="R2911" s="14" t="s">
        <v>584</v>
      </c>
    </row>
    <row r="2912" spans="1:20" ht="15" customHeight="1" thickBot="1" x14ac:dyDescent="0.35">
      <c r="A2912" s="372"/>
      <c r="B2912" s="372"/>
      <c r="C2912" s="312">
        <v>22650</v>
      </c>
      <c r="D2912" s="372"/>
      <c r="E2912" s="372"/>
      <c r="F2912" s="372"/>
      <c r="G2912" s="372"/>
      <c r="H2912" s="313"/>
      <c r="I2912" s="372"/>
      <c r="J2912" s="314"/>
      <c r="K2912" s="314"/>
      <c r="L2912" s="448"/>
      <c r="M2912" s="451"/>
      <c r="N2912" s="372"/>
      <c r="O2912" s="372"/>
      <c r="P2912" s="265"/>
      <c r="Q2912" s="369"/>
      <c r="R2912" s="14"/>
    </row>
    <row r="2913" spans="1:21" ht="15" hidden="1" customHeight="1" x14ac:dyDescent="0.3">
      <c r="A2913" s="370">
        <v>10</v>
      </c>
      <c r="B2913" s="370" t="s">
        <v>504</v>
      </c>
      <c r="C2913" s="306">
        <v>15270</v>
      </c>
      <c r="D2913" s="370">
        <v>1</v>
      </c>
      <c r="E2913" s="370" t="s">
        <v>505</v>
      </c>
      <c r="F2913" s="370" t="s">
        <v>13</v>
      </c>
      <c r="G2913" s="370">
        <v>170</v>
      </c>
      <c r="H2913" s="307" t="s">
        <v>506</v>
      </c>
      <c r="I2913" s="370">
        <v>30</v>
      </c>
      <c r="J2913" s="308" t="s">
        <v>13</v>
      </c>
      <c r="K2913" s="308">
        <v>50</v>
      </c>
      <c r="L2913" s="446" t="s">
        <v>507</v>
      </c>
      <c r="M2913" s="449" t="s">
        <v>14</v>
      </c>
      <c r="N2913" s="370" t="s">
        <v>508</v>
      </c>
      <c r="O2913" s="370" t="s">
        <v>27</v>
      </c>
      <c r="P2913" s="263"/>
      <c r="Q2913" s="367" t="s">
        <v>512</v>
      </c>
      <c r="R2913" s="14"/>
      <c r="T2913" s="200">
        <v>1</v>
      </c>
    </row>
    <row r="2914" spans="1:21" ht="15" customHeight="1" x14ac:dyDescent="0.3">
      <c r="A2914" s="371"/>
      <c r="B2914" s="371"/>
      <c r="C2914" s="309">
        <v>12240</v>
      </c>
      <c r="D2914" s="371"/>
      <c r="E2914" s="371"/>
      <c r="F2914" s="371"/>
      <c r="G2914" s="371"/>
      <c r="H2914" s="310"/>
      <c r="I2914" s="371"/>
      <c r="J2914" s="311"/>
      <c r="K2914" s="311"/>
      <c r="L2914" s="447"/>
      <c r="M2914" s="450"/>
      <c r="N2914" s="371"/>
      <c r="O2914" s="371"/>
      <c r="P2914" s="264"/>
      <c r="Q2914" s="368"/>
      <c r="R2914" s="14" t="s">
        <v>584</v>
      </c>
      <c r="U2914" s="1">
        <f>125+783+26+10</f>
        <v>944</v>
      </c>
    </row>
    <row r="2915" spans="1:21" ht="15" customHeight="1" thickBot="1" x14ac:dyDescent="0.35">
      <c r="A2915" s="372"/>
      <c r="B2915" s="372"/>
      <c r="C2915" s="312">
        <v>25350</v>
      </c>
      <c r="D2915" s="372"/>
      <c r="E2915" s="372"/>
      <c r="F2915" s="372"/>
      <c r="G2915" s="372"/>
      <c r="H2915" s="313"/>
      <c r="I2915" s="372"/>
      <c r="J2915" s="314"/>
      <c r="K2915" s="314"/>
      <c r="L2915" s="448"/>
      <c r="M2915" s="451"/>
      <c r="N2915" s="372"/>
      <c r="O2915" s="372"/>
      <c r="P2915" s="265"/>
      <c r="Q2915" s="369"/>
      <c r="R2915" s="14"/>
    </row>
    <row r="2916" spans="1:21" ht="15" customHeight="1" x14ac:dyDescent="0.3">
      <c r="N2916" s="13"/>
    </row>
    <row r="2920" spans="1:21" ht="15" customHeight="1" x14ac:dyDescent="0.3">
      <c r="A2920" s="349" t="s">
        <v>577</v>
      </c>
      <c r="B2920" s="349"/>
      <c r="C2920" s="349"/>
      <c r="D2920" s="349"/>
      <c r="E2920" s="349"/>
    </row>
    <row r="2921" spans="1:21" ht="15" customHeight="1" x14ac:dyDescent="0.3">
      <c r="A2921" s="349" t="s">
        <v>578</v>
      </c>
      <c r="B2921" s="349"/>
      <c r="C2921" s="349"/>
      <c r="D2921" s="349"/>
      <c r="E2921" s="349"/>
      <c r="F2921" s="349"/>
      <c r="G2921" s="349"/>
      <c r="H2921" s="349"/>
      <c r="I2921" s="349"/>
      <c r="J2921" s="349"/>
    </row>
  </sheetData>
  <autoFilter ref="A1:Q2915" xr:uid="{00000000-0009-0000-0000-000000000000}">
    <filterColumn colId="13">
      <filters blank="1">
        <filter val="10UJB08R110 / 10UCB"/>
        <filter val="10UJB08R110 / 10UJB08R110"/>
        <filter val="10UJB08R110 / 10UJB91R210"/>
        <filter val="10UJB08R110 / 10UJB91R250"/>
        <filter val="10UJB08R110 / 10UJB91R350"/>
        <filter val="10UJB08R110 / 10UJB91R530"/>
        <filter val="10UJB08R110 / 10UJE"/>
        <filter val="10UJB08R110 / 10UJG"/>
        <filter val="10UJB08R110 / 10UKD"/>
        <filter val="10UJB54R110 / 10UJB54R111"/>
        <filter val="10UJB54R110/-"/>
        <filter val="10UJB54R111 / 10UJB08R110"/>
        <filter val="10UJB54R111 / 10UJB59R111"/>
        <filter val="10UJB54R120 / 10UJB54R111"/>
        <filter val="10UJB54R120 / 10UJB54R121"/>
        <filter val="10UJB54R120 / 10UJB54R411"/>
        <filter val="10UJB54R120 / 10UJB59R120"/>
        <filter val="10UJB54R121 / 10UJB59R121"/>
        <filter val="10UJB54R251 / 10UJB59R251"/>
        <filter val="10UJB54R410 / 10UJB54R111"/>
        <filter val="10UJB54R410 / 10UJB54R411"/>
        <filter val="10UJB54R411 / -"/>
        <filter val="10UJB54R411 / 10UJB59R411"/>
        <filter val="10UJB54R412 / -"/>
        <filter val="10UJB54R540 / 10UJB54R111"/>
        <filter val="10UJB54R540 / 10UJB54R251"/>
        <filter val="10UJB54R540 / 10UJB54R411"/>
        <filter val="10UJB54R540 / 10UJB59R540"/>
        <filter val="10UJB59R113 / 10UJB59R110"/>
        <filter val="10UJB59R113 / 10UJB59R413"/>
        <filter val="10UJB59R120 / 10UJB59R111"/>
        <filter val="10UJB59R120 / 10UJB59R121"/>
        <filter val="10UJB59R250 / 10UJB59R121"/>
        <filter val="10UJB59R250 / 10UJB59R251"/>
        <filter val="10UJB59R253 / 10UJB59R110"/>
        <filter val="10UJB59R410 / 10UJB59R111"/>
        <filter val="10UJB59R410 / 10UJB59R411"/>
        <filter val="10UJB59R413 / 10UJB54R412"/>
        <filter val="10UJB59R413 / 10UJB59R253"/>
        <filter val="10UJB63R110 / 10UJB59R110"/>
        <filter val="10UJB63R412 / 10UJB59R413"/>
        <filter val="10UJB91R110 / 10UJB91R210"/>
        <filter val="10UJB91R131 / 10UKA"/>
        <filter val="10UJB91R140 / 10UJB91R250"/>
        <filter val="10UJB91R140 / 10UKD"/>
        <filter val="10UJB91R210 / 10UJB08R110"/>
        <filter val="10UJB91R210 / 10UJE"/>
        <filter val="10UJB91R250 / 10UJB08R110"/>
        <filter val="10UJB91R250 / 10UKD"/>
        <filter val="10UJB91R350 / 10UJB91R250"/>
        <filter val="10UJB91R410 / 10UJB08R110"/>
        <filter val="10UJB91R410 / 10UJE"/>
        <filter val="10UJB91R450 / 10UJB91R350"/>
        <filter val="10UJB91R510 / 10UJB08R110"/>
        <filter val="10UJB91R510 / 10UJB91R410"/>
        <filter val="10UJB97R110 / 10UCB"/>
        <filter val="10UJB97R110 / 10UJB97R130"/>
        <filter val="10UJB97R310 / 10UJB97R350"/>
        <filter val="10UJB97R310 / 10UJE"/>
        <filter val="10UJE / 10UJB08R110"/>
        <filter val="14"/>
      </filters>
    </filterColumn>
  </autoFilter>
  <mergeCells count="14234">
    <mergeCell ref="B2892:B2894"/>
    <mergeCell ref="D2892:D2894"/>
    <mergeCell ref="E2892:E2894"/>
    <mergeCell ref="F2892:F2894"/>
    <mergeCell ref="G2892:G2894"/>
    <mergeCell ref="H2889:H2891"/>
    <mergeCell ref="I2889:I2891"/>
    <mergeCell ref="J2889:J2891"/>
    <mergeCell ref="K2889:K2891"/>
    <mergeCell ref="L2889:L2891"/>
    <mergeCell ref="M2889:M2891"/>
    <mergeCell ref="A2889:A2891"/>
    <mergeCell ref="B2889:B2891"/>
    <mergeCell ref="D2889:D2891"/>
    <mergeCell ref="E2889:E2891"/>
    <mergeCell ref="F2889:F2891"/>
    <mergeCell ref="G2889:G2891"/>
    <mergeCell ref="O2895:O2897"/>
    <mergeCell ref="Q2895:Q2897"/>
    <mergeCell ref="O2898:O2900"/>
    <mergeCell ref="N2892:N2894"/>
    <mergeCell ref="O2892:O2894"/>
    <mergeCell ref="Q2892:Q2894"/>
    <mergeCell ref="N2889:N2891"/>
    <mergeCell ref="O2889:O2891"/>
    <mergeCell ref="Q2889:Q2891"/>
    <mergeCell ref="M2886:M2888"/>
    <mergeCell ref="N2886:N2888"/>
    <mergeCell ref="Q2886:Q2888"/>
    <mergeCell ref="R1420:R1428"/>
    <mergeCell ref="R1491:R1493"/>
    <mergeCell ref="K2497:K2499"/>
    <mergeCell ref="K2628:K2630"/>
    <mergeCell ref="K2631:K2633"/>
    <mergeCell ref="A2885:Q2885"/>
    <mergeCell ref="G2886:G2888"/>
    <mergeCell ref="H2886:H2888"/>
    <mergeCell ref="I2886:I2888"/>
    <mergeCell ref="J2886:J2888"/>
    <mergeCell ref="K2886:K2888"/>
    <mergeCell ref="L2886:L2888"/>
    <mergeCell ref="A2886:A2888"/>
    <mergeCell ref="B2886:B2888"/>
    <mergeCell ref="D2886:D2888"/>
    <mergeCell ref="E2886:E2888"/>
    <mergeCell ref="F2886:F2888"/>
    <mergeCell ref="R2886:R2888"/>
    <mergeCell ref="R2889:R2891"/>
    <mergeCell ref="R2892:R2894"/>
    <mergeCell ref="H2892:H2894"/>
    <mergeCell ref="I2892:I2894"/>
    <mergeCell ref="A2884:Q2884"/>
    <mergeCell ref="K2881:K2883"/>
    <mergeCell ref="L2881:L2883"/>
    <mergeCell ref="M2881:M2883"/>
    <mergeCell ref="N2881:N2883"/>
    <mergeCell ref="O2881:O2883"/>
    <mergeCell ref="Q2881:Q2883"/>
    <mergeCell ref="O2886:O2888"/>
    <mergeCell ref="J2892:J2894"/>
    <mergeCell ref="K2892:K2894"/>
    <mergeCell ref="L2892:L2894"/>
    <mergeCell ref="M2892:M2894"/>
    <mergeCell ref="A2892:A2894"/>
    <mergeCell ref="O2907:O2909"/>
    <mergeCell ref="O2910:O2912"/>
    <mergeCell ref="O2913:O2915"/>
    <mergeCell ref="A2907:A2909"/>
    <mergeCell ref="A2910:A2912"/>
    <mergeCell ref="A2913:A2915"/>
    <mergeCell ref="B2907:B2909"/>
    <mergeCell ref="B2910:B2912"/>
    <mergeCell ref="B2913:B2915"/>
    <mergeCell ref="N2907:N2909"/>
    <mergeCell ref="N2910:N2912"/>
    <mergeCell ref="N2913:N2915"/>
    <mergeCell ref="E2907:E2909"/>
    <mergeCell ref="E2910:E2912"/>
    <mergeCell ref="E2913:E2915"/>
    <mergeCell ref="D2907:D2909"/>
    <mergeCell ref="D2910:D2912"/>
    <mergeCell ref="D2913:D2915"/>
    <mergeCell ref="G2907:G2909"/>
    <mergeCell ref="G2910:G2912"/>
    <mergeCell ref="G2913:G2915"/>
    <mergeCell ref="F2907:F2909"/>
    <mergeCell ref="F2910:F2912"/>
    <mergeCell ref="F2913:F2915"/>
    <mergeCell ref="L2913:L2915"/>
    <mergeCell ref="M2913:M2915"/>
    <mergeCell ref="Q2913:Q2915"/>
    <mergeCell ref="I2913:I2915"/>
    <mergeCell ref="M2910:M2912"/>
    <mergeCell ref="Q2910:Q2912"/>
    <mergeCell ref="I2910:I2912"/>
    <mergeCell ref="L2910:L2912"/>
    <mergeCell ref="Q2907:Q2909"/>
    <mergeCell ref="I2907:I2909"/>
    <mergeCell ref="L2907:L2909"/>
    <mergeCell ref="M2907:M2909"/>
    <mergeCell ref="N2904:N2906"/>
    <mergeCell ref="O2904:O2906"/>
    <mergeCell ref="K2898:K2900"/>
    <mergeCell ref="L2898:L2900"/>
    <mergeCell ref="M2898:M2900"/>
    <mergeCell ref="N2898:N2900"/>
    <mergeCell ref="D2904:D2906"/>
    <mergeCell ref="N2895:N2897"/>
    <mergeCell ref="L2904:L2906"/>
    <mergeCell ref="M2904:M2906"/>
    <mergeCell ref="Q2904:Q2906"/>
    <mergeCell ref="A2904:A2906"/>
    <mergeCell ref="B2904:B2906"/>
    <mergeCell ref="E2904:E2906"/>
    <mergeCell ref="F2904:F2906"/>
    <mergeCell ref="G2904:G2906"/>
    <mergeCell ref="I2904:I2906"/>
    <mergeCell ref="Q2901:Q2903"/>
    <mergeCell ref="R2901:R2903"/>
    <mergeCell ref="F2898:F2900"/>
    <mergeCell ref="G2898:G2900"/>
    <mergeCell ref="H2898:H2900"/>
    <mergeCell ref="I2898:I2900"/>
    <mergeCell ref="J2898:J2900"/>
    <mergeCell ref="H2895:H2897"/>
    <mergeCell ref="I2895:I2897"/>
    <mergeCell ref="J2895:J2897"/>
    <mergeCell ref="K2895:K2897"/>
    <mergeCell ref="L2895:L2897"/>
    <mergeCell ref="M2895:M2897"/>
    <mergeCell ref="A2895:A2897"/>
    <mergeCell ref="B2895:B2897"/>
    <mergeCell ref="D2895:D2897"/>
    <mergeCell ref="E2895:E2897"/>
    <mergeCell ref="F2895:F2897"/>
    <mergeCell ref="G2895:G2897"/>
    <mergeCell ref="J2901:J2903"/>
    <mergeCell ref="K2901:K2903"/>
    <mergeCell ref="L2901:L2903"/>
    <mergeCell ref="M2901:M2903"/>
    <mergeCell ref="N2901:N2903"/>
    <mergeCell ref="O2901:O2903"/>
    <mergeCell ref="Q2898:Q2900"/>
    <mergeCell ref="R2898:R2900"/>
    <mergeCell ref="A2901:A2903"/>
    <mergeCell ref="B2901:B2903"/>
    <mergeCell ref="D2901:D2903"/>
    <mergeCell ref="E2901:E2903"/>
    <mergeCell ref="F2901:F2903"/>
    <mergeCell ref="G2901:G2903"/>
    <mergeCell ref="H2901:H2903"/>
    <mergeCell ref="I2901:I2903"/>
    <mergeCell ref="R2895:R2897"/>
    <mergeCell ref="A2898:A2900"/>
    <mergeCell ref="B2898:B2900"/>
    <mergeCell ref="D2898:D2900"/>
    <mergeCell ref="E2898:E2900"/>
    <mergeCell ref="Q2878:Q2880"/>
    <mergeCell ref="A2881:A2883"/>
    <mergeCell ref="B2881:B2883"/>
    <mergeCell ref="D2881:D2883"/>
    <mergeCell ref="E2881:E2883"/>
    <mergeCell ref="F2881:F2883"/>
    <mergeCell ref="G2881:G2883"/>
    <mergeCell ref="H2881:H2883"/>
    <mergeCell ref="I2881:I2883"/>
    <mergeCell ref="J2881:J2883"/>
    <mergeCell ref="J2878:J2880"/>
    <mergeCell ref="K2878:K2880"/>
    <mergeCell ref="L2878:L2880"/>
    <mergeCell ref="M2878:M2880"/>
    <mergeCell ref="N2878:N2880"/>
    <mergeCell ref="O2878:O2880"/>
    <mergeCell ref="Q2874:Q2876"/>
    <mergeCell ref="A2877:Q2877"/>
    <mergeCell ref="A2878:A2880"/>
    <mergeCell ref="B2878:B2880"/>
    <mergeCell ref="D2878:D2880"/>
    <mergeCell ref="E2878:E2880"/>
    <mergeCell ref="F2878:F2880"/>
    <mergeCell ref="G2878:G2880"/>
    <mergeCell ref="H2878:H2880"/>
    <mergeCell ref="I2878:I2880"/>
    <mergeCell ref="J2874:J2876"/>
    <mergeCell ref="K2874:K2876"/>
    <mergeCell ref="L2874:L2876"/>
    <mergeCell ref="M2874:M2876"/>
    <mergeCell ref="N2874:N2876"/>
    <mergeCell ref="O2874:O2876"/>
    <mergeCell ref="O2871:O2873"/>
    <mergeCell ref="Q2871:Q2873"/>
    <mergeCell ref="A2874:A2876"/>
    <mergeCell ref="B2874:B2876"/>
    <mergeCell ref="D2874:D2876"/>
    <mergeCell ref="E2874:E2876"/>
    <mergeCell ref="F2874:F2876"/>
    <mergeCell ref="G2874:G2876"/>
    <mergeCell ref="H2874:H2876"/>
    <mergeCell ref="I2874:I2876"/>
    <mergeCell ref="I2871:I2873"/>
    <mergeCell ref="J2871:J2873"/>
    <mergeCell ref="K2871:K2873"/>
    <mergeCell ref="L2871:L2873"/>
    <mergeCell ref="M2871:M2873"/>
    <mergeCell ref="N2871:N2873"/>
    <mergeCell ref="N2868:N2870"/>
    <mergeCell ref="O2868:O2870"/>
    <mergeCell ref="Q2868:Q2870"/>
    <mergeCell ref="A2871:A2873"/>
    <mergeCell ref="B2871:B2873"/>
    <mergeCell ref="D2871:D2873"/>
    <mergeCell ref="E2871:E2873"/>
    <mergeCell ref="F2871:F2873"/>
    <mergeCell ref="G2871:G2873"/>
    <mergeCell ref="H2871:H2873"/>
    <mergeCell ref="H2868:H2870"/>
    <mergeCell ref="I2868:I2870"/>
    <mergeCell ref="J2868:J2870"/>
    <mergeCell ref="K2868:K2870"/>
    <mergeCell ref="L2868:L2870"/>
    <mergeCell ref="M2868:M2870"/>
    <mergeCell ref="A2868:A2870"/>
    <mergeCell ref="B2868:B2870"/>
    <mergeCell ref="D2868:D2870"/>
    <mergeCell ref="E2868:E2870"/>
    <mergeCell ref="F2868:F2870"/>
    <mergeCell ref="G2868:G2870"/>
    <mergeCell ref="K2865:K2867"/>
    <mergeCell ref="L2865:L2867"/>
    <mergeCell ref="M2865:M2867"/>
    <mergeCell ref="N2865:N2867"/>
    <mergeCell ref="O2865:O2867"/>
    <mergeCell ref="Q2865:Q2867"/>
    <mergeCell ref="Q2862:Q2864"/>
    <mergeCell ref="A2865:A2867"/>
    <mergeCell ref="B2865:B2867"/>
    <mergeCell ref="D2865:D2867"/>
    <mergeCell ref="E2865:E2867"/>
    <mergeCell ref="F2865:F2867"/>
    <mergeCell ref="G2865:G2867"/>
    <mergeCell ref="H2865:H2867"/>
    <mergeCell ref="I2865:I2867"/>
    <mergeCell ref="J2865:J2867"/>
    <mergeCell ref="J2862:J2864"/>
    <mergeCell ref="K2862:K2864"/>
    <mergeCell ref="L2862:L2864"/>
    <mergeCell ref="M2862:M2864"/>
    <mergeCell ref="N2862:N2864"/>
    <mergeCell ref="O2862:O2864"/>
    <mergeCell ref="O2859:O2861"/>
    <mergeCell ref="Q2859:Q2861"/>
    <mergeCell ref="A2862:A2864"/>
    <mergeCell ref="B2862:B2864"/>
    <mergeCell ref="D2862:D2864"/>
    <mergeCell ref="E2862:E2864"/>
    <mergeCell ref="F2862:F2864"/>
    <mergeCell ref="G2862:G2864"/>
    <mergeCell ref="H2862:H2864"/>
    <mergeCell ref="I2862:I2864"/>
    <mergeCell ref="I2859:I2861"/>
    <mergeCell ref="J2859:J2861"/>
    <mergeCell ref="K2859:K2861"/>
    <mergeCell ref="L2859:L2861"/>
    <mergeCell ref="M2859:M2861"/>
    <mergeCell ref="N2859:N2861"/>
    <mergeCell ref="N2856:N2858"/>
    <mergeCell ref="O2856:O2858"/>
    <mergeCell ref="Q2856:Q2858"/>
    <mergeCell ref="A2859:A2861"/>
    <mergeCell ref="B2859:B2861"/>
    <mergeCell ref="D2859:D2861"/>
    <mergeCell ref="E2859:E2861"/>
    <mergeCell ref="F2859:F2861"/>
    <mergeCell ref="G2859:G2861"/>
    <mergeCell ref="H2859:H2861"/>
    <mergeCell ref="H2856:H2858"/>
    <mergeCell ref="I2856:I2858"/>
    <mergeCell ref="J2856:J2858"/>
    <mergeCell ref="K2856:K2858"/>
    <mergeCell ref="L2856:L2858"/>
    <mergeCell ref="M2856:M2858"/>
    <mergeCell ref="A2856:A2858"/>
    <mergeCell ref="B2856:B2858"/>
    <mergeCell ref="D2856:D2858"/>
    <mergeCell ref="E2856:E2858"/>
    <mergeCell ref="F2856:F2858"/>
    <mergeCell ref="G2856:G2858"/>
    <mergeCell ref="K2853:K2855"/>
    <mergeCell ref="L2853:L2855"/>
    <mergeCell ref="M2853:M2855"/>
    <mergeCell ref="N2853:N2855"/>
    <mergeCell ref="O2853:O2855"/>
    <mergeCell ref="Q2853:Q2855"/>
    <mergeCell ref="A2852:Q2852"/>
    <mergeCell ref="A2853:A2855"/>
    <mergeCell ref="B2853:B2855"/>
    <mergeCell ref="D2853:D2855"/>
    <mergeCell ref="E2853:E2855"/>
    <mergeCell ref="F2853:F2855"/>
    <mergeCell ref="G2853:G2855"/>
    <mergeCell ref="H2853:H2855"/>
    <mergeCell ref="I2853:I2855"/>
    <mergeCell ref="J2853:J2855"/>
    <mergeCell ref="K2849:K2851"/>
    <mergeCell ref="L2849:L2851"/>
    <mergeCell ref="M2849:M2851"/>
    <mergeCell ref="N2849:N2851"/>
    <mergeCell ref="O2849:O2851"/>
    <mergeCell ref="Q2849:Q2851"/>
    <mergeCell ref="Q2846:Q2848"/>
    <mergeCell ref="A2849:A2851"/>
    <mergeCell ref="B2849:B2851"/>
    <mergeCell ref="D2849:D2851"/>
    <mergeCell ref="E2849:E2851"/>
    <mergeCell ref="F2849:F2851"/>
    <mergeCell ref="G2849:G2851"/>
    <mergeCell ref="H2849:H2851"/>
    <mergeCell ref="I2849:I2851"/>
    <mergeCell ref="J2849:J2851"/>
    <mergeCell ref="J2846:J2848"/>
    <mergeCell ref="K2846:K2848"/>
    <mergeCell ref="L2846:L2848"/>
    <mergeCell ref="M2846:M2848"/>
    <mergeCell ref="N2846:N2848"/>
    <mergeCell ref="O2846:O2848"/>
    <mergeCell ref="Q2842:Q2844"/>
    <mergeCell ref="A2845:Q2845"/>
    <mergeCell ref="A2846:A2848"/>
    <mergeCell ref="B2846:B2848"/>
    <mergeCell ref="D2846:D2848"/>
    <mergeCell ref="E2846:E2848"/>
    <mergeCell ref="F2846:F2848"/>
    <mergeCell ref="G2846:G2848"/>
    <mergeCell ref="H2846:H2848"/>
    <mergeCell ref="I2846:I2848"/>
    <mergeCell ref="J2842:J2844"/>
    <mergeCell ref="K2842:K2844"/>
    <mergeCell ref="L2842:L2844"/>
    <mergeCell ref="M2842:M2844"/>
    <mergeCell ref="N2842:N2844"/>
    <mergeCell ref="O2842:O2844"/>
    <mergeCell ref="O2839:O2841"/>
    <mergeCell ref="Q2839:Q2841"/>
    <mergeCell ref="A2842:A2844"/>
    <mergeCell ref="B2842:B2844"/>
    <mergeCell ref="D2842:D2844"/>
    <mergeCell ref="E2842:E2844"/>
    <mergeCell ref="F2842:F2844"/>
    <mergeCell ref="G2842:G2844"/>
    <mergeCell ref="H2842:H2844"/>
    <mergeCell ref="I2842:I2844"/>
    <mergeCell ref="I2839:I2841"/>
    <mergeCell ref="J2839:J2841"/>
    <mergeCell ref="K2839:K2841"/>
    <mergeCell ref="L2839:L2841"/>
    <mergeCell ref="M2839:M2841"/>
    <mergeCell ref="N2839:N2841"/>
    <mergeCell ref="N2836:N2838"/>
    <mergeCell ref="O2836:O2838"/>
    <mergeCell ref="Q2836:Q2838"/>
    <mergeCell ref="A2839:A2841"/>
    <mergeCell ref="B2839:B2841"/>
    <mergeCell ref="D2839:D2841"/>
    <mergeCell ref="E2839:E2841"/>
    <mergeCell ref="F2839:F2841"/>
    <mergeCell ref="G2839:G2841"/>
    <mergeCell ref="H2839:H2841"/>
    <mergeCell ref="H2836:H2838"/>
    <mergeCell ref="I2836:I2838"/>
    <mergeCell ref="J2836:J2838"/>
    <mergeCell ref="K2836:K2838"/>
    <mergeCell ref="L2836:L2838"/>
    <mergeCell ref="M2836:M2838"/>
    <mergeCell ref="A2836:A2838"/>
    <mergeCell ref="B2836:B2838"/>
    <mergeCell ref="D2836:D2838"/>
    <mergeCell ref="E2836:E2838"/>
    <mergeCell ref="F2836:F2838"/>
    <mergeCell ref="G2836:G2838"/>
    <mergeCell ref="K2833:K2835"/>
    <mergeCell ref="L2833:L2835"/>
    <mergeCell ref="M2833:M2835"/>
    <mergeCell ref="N2833:N2835"/>
    <mergeCell ref="O2833:O2835"/>
    <mergeCell ref="Q2833:Q2835"/>
    <mergeCell ref="A2832:Q2832"/>
    <mergeCell ref="A2833:A2835"/>
    <mergeCell ref="B2833:B2835"/>
    <mergeCell ref="D2833:D2835"/>
    <mergeCell ref="E2833:E2835"/>
    <mergeCell ref="F2833:F2835"/>
    <mergeCell ref="G2833:G2835"/>
    <mergeCell ref="H2833:H2835"/>
    <mergeCell ref="I2833:I2835"/>
    <mergeCell ref="J2833:J2835"/>
    <mergeCell ref="A2798:Q2798"/>
    <mergeCell ref="K2829:K2831"/>
    <mergeCell ref="L2829:L2831"/>
    <mergeCell ref="M2829:M2831"/>
    <mergeCell ref="N2829:N2831"/>
    <mergeCell ref="O2829:O2831"/>
    <mergeCell ref="Q2829:Q2831"/>
    <mergeCell ref="Q2826:Q2828"/>
    <mergeCell ref="A2829:A2831"/>
    <mergeCell ref="B2829:B2831"/>
    <mergeCell ref="D2829:D2831"/>
    <mergeCell ref="E2829:E2831"/>
    <mergeCell ref="F2829:F2831"/>
    <mergeCell ref="G2829:G2831"/>
    <mergeCell ref="H2829:H2831"/>
    <mergeCell ref="I2829:I2831"/>
    <mergeCell ref="J2829:J2831"/>
    <mergeCell ref="J2826:J2828"/>
    <mergeCell ref="K2826:K2828"/>
    <mergeCell ref="L2826:L2828"/>
    <mergeCell ref="M2826:M2828"/>
    <mergeCell ref="N2826:N2828"/>
    <mergeCell ref="O2826:O2828"/>
    <mergeCell ref="O2823:O2825"/>
    <mergeCell ref="Q2823:Q2825"/>
    <mergeCell ref="A2826:A2828"/>
    <mergeCell ref="B2826:B2828"/>
    <mergeCell ref="D2826:D2828"/>
    <mergeCell ref="E2826:E2828"/>
    <mergeCell ref="F2826:F2828"/>
    <mergeCell ref="G2826:G2828"/>
    <mergeCell ref="H2826:H2828"/>
    <mergeCell ref="I2826:I2828"/>
    <mergeCell ref="I2823:I2825"/>
    <mergeCell ref="J2823:J2825"/>
    <mergeCell ref="K2823:K2825"/>
    <mergeCell ref="L2823:L2825"/>
    <mergeCell ref="M2823:M2825"/>
    <mergeCell ref="N2823:N2825"/>
    <mergeCell ref="N2820:N2822"/>
    <mergeCell ref="O2820:O2822"/>
    <mergeCell ref="Q2820:Q2822"/>
    <mergeCell ref="A2823:A2825"/>
    <mergeCell ref="B2823:B2825"/>
    <mergeCell ref="D2823:D2825"/>
    <mergeCell ref="E2823:E2825"/>
    <mergeCell ref="F2823:F2825"/>
    <mergeCell ref="G2823:G2825"/>
    <mergeCell ref="H2823:H2825"/>
    <mergeCell ref="H2820:H2822"/>
    <mergeCell ref="I2820:I2822"/>
    <mergeCell ref="J2820:J2822"/>
    <mergeCell ref="K2820:K2822"/>
    <mergeCell ref="L2820:L2822"/>
    <mergeCell ref="M2820:M2822"/>
    <mergeCell ref="N2816:N2818"/>
    <mergeCell ref="O2816:O2818"/>
    <mergeCell ref="Q2816:Q2818"/>
    <mergeCell ref="A2819:Q2819"/>
    <mergeCell ref="A2820:A2822"/>
    <mergeCell ref="B2820:B2822"/>
    <mergeCell ref="D2820:D2822"/>
    <mergeCell ref="E2820:E2822"/>
    <mergeCell ref="F2820:F2822"/>
    <mergeCell ref="G2820:G2822"/>
    <mergeCell ref="H2816:H2818"/>
    <mergeCell ref="I2816:I2818"/>
    <mergeCell ref="J2816:J2818"/>
    <mergeCell ref="K2816:K2818"/>
    <mergeCell ref="L2816:L2818"/>
    <mergeCell ref="M2816:M2818"/>
    <mergeCell ref="A2816:A2818"/>
    <mergeCell ref="B2816:B2818"/>
    <mergeCell ref="D2816:D2818"/>
    <mergeCell ref="E2816:E2818"/>
    <mergeCell ref="F2816:F2818"/>
    <mergeCell ref="G2816:G2818"/>
    <mergeCell ref="K2813:K2815"/>
    <mergeCell ref="L2813:L2815"/>
    <mergeCell ref="M2813:M2815"/>
    <mergeCell ref="N2813:N2815"/>
    <mergeCell ref="O2813:O2815"/>
    <mergeCell ref="Q2813:Q2815"/>
    <mergeCell ref="A2812:Q2812"/>
    <mergeCell ref="A2813:A2815"/>
    <mergeCell ref="B2813:B2815"/>
    <mergeCell ref="D2813:D2815"/>
    <mergeCell ref="E2813:E2815"/>
    <mergeCell ref="F2813:F2815"/>
    <mergeCell ref="G2813:G2815"/>
    <mergeCell ref="H2813:H2815"/>
    <mergeCell ref="I2813:I2815"/>
    <mergeCell ref="J2813:J2815"/>
    <mergeCell ref="K2809:K2811"/>
    <mergeCell ref="L2809:L2811"/>
    <mergeCell ref="M2809:M2811"/>
    <mergeCell ref="N2809:N2811"/>
    <mergeCell ref="O2809:O2811"/>
    <mergeCell ref="Q2809:Q2811"/>
    <mergeCell ref="Q2806:Q2808"/>
    <mergeCell ref="A2809:A2811"/>
    <mergeCell ref="B2809:B2811"/>
    <mergeCell ref="D2809:D2811"/>
    <mergeCell ref="E2809:E2811"/>
    <mergeCell ref="F2809:F2811"/>
    <mergeCell ref="G2809:G2811"/>
    <mergeCell ref="H2809:H2811"/>
    <mergeCell ref="I2809:I2811"/>
    <mergeCell ref="J2809:J2811"/>
    <mergeCell ref="J2806:J2808"/>
    <mergeCell ref="K2806:K2808"/>
    <mergeCell ref="L2806:L2808"/>
    <mergeCell ref="M2806:M2808"/>
    <mergeCell ref="N2806:N2808"/>
    <mergeCell ref="O2806:O2808"/>
    <mergeCell ref="O2803:O2805"/>
    <mergeCell ref="Q2803:Q2805"/>
    <mergeCell ref="A2806:A2808"/>
    <mergeCell ref="B2806:B2808"/>
    <mergeCell ref="D2806:D2808"/>
    <mergeCell ref="E2806:E2808"/>
    <mergeCell ref="F2806:F2808"/>
    <mergeCell ref="G2806:G2808"/>
    <mergeCell ref="H2806:H2808"/>
    <mergeCell ref="I2806:I2808"/>
    <mergeCell ref="I2803:I2805"/>
    <mergeCell ref="J2803:J2805"/>
    <mergeCell ref="K2803:K2805"/>
    <mergeCell ref="L2803:L2805"/>
    <mergeCell ref="M2803:M2805"/>
    <mergeCell ref="N2803:N2805"/>
    <mergeCell ref="N2800:N2802"/>
    <mergeCell ref="O2800:O2802"/>
    <mergeCell ref="Q2800:Q2802"/>
    <mergeCell ref="A2803:A2805"/>
    <mergeCell ref="B2803:B2805"/>
    <mergeCell ref="D2803:D2805"/>
    <mergeCell ref="E2803:E2805"/>
    <mergeCell ref="F2803:F2805"/>
    <mergeCell ref="G2803:G2805"/>
    <mergeCell ref="H2803:H2805"/>
    <mergeCell ref="H2800:H2802"/>
    <mergeCell ref="I2800:I2802"/>
    <mergeCell ref="J2800:J2802"/>
    <mergeCell ref="K2800:K2802"/>
    <mergeCell ref="L2800:L2802"/>
    <mergeCell ref="M2800:M2802"/>
    <mergeCell ref="A2799:Q2799"/>
    <mergeCell ref="A2800:A2802"/>
    <mergeCell ref="B2800:B2802"/>
    <mergeCell ref="D2800:D2802"/>
    <mergeCell ref="E2800:E2802"/>
    <mergeCell ref="F2800:F2802"/>
    <mergeCell ref="G2800:G2802"/>
    <mergeCell ref="A2793:Q2793"/>
    <mergeCell ref="A2794:Q2794"/>
    <mergeCell ref="A2795:Q2795"/>
    <mergeCell ref="A2796:Q2796"/>
    <mergeCell ref="A2797:Q2797"/>
    <mergeCell ref="A2787:Q2787"/>
    <mergeCell ref="A2788:Q2788"/>
    <mergeCell ref="A2789:Q2789"/>
    <mergeCell ref="A2790:Q2790"/>
    <mergeCell ref="A2791:Q2791"/>
    <mergeCell ref="A2792:Q2792"/>
    <mergeCell ref="K2784:K2786"/>
    <mergeCell ref="L2784:L2786"/>
    <mergeCell ref="M2784:M2786"/>
    <mergeCell ref="N2784:N2786"/>
    <mergeCell ref="O2784:O2786"/>
    <mergeCell ref="Q2784:Q2786"/>
    <mergeCell ref="Q2781:Q2783"/>
    <mergeCell ref="A2784:A2786"/>
    <mergeCell ref="B2784:B2786"/>
    <mergeCell ref="D2784:D2786"/>
    <mergeCell ref="E2784:E2786"/>
    <mergeCell ref="F2784:F2786"/>
    <mergeCell ref="G2784:G2786"/>
    <mergeCell ref="H2784:H2786"/>
    <mergeCell ref="I2784:I2786"/>
    <mergeCell ref="J2784:J2786"/>
    <mergeCell ref="J2781:J2783"/>
    <mergeCell ref="K2781:K2783"/>
    <mergeCell ref="L2781:L2783"/>
    <mergeCell ref="M2781:M2783"/>
    <mergeCell ref="N2781:N2783"/>
    <mergeCell ref="O2781:O2783"/>
    <mergeCell ref="O2778:O2780"/>
    <mergeCell ref="Q2778:Q2780"/>
    <mergeCell ref="A2781:A2783"/>
    <mergeCell ref="B2781:B2783"/>
    <mergeCell ref="D2781:D2783"/>
    <mergeCell ref="E2781:E2783"/>
    <mergeCell ref="F2781:F2783"/>
    <mergeCell ref="G2781:G2783"/>
    <mergeCell ref="H2781:H2783"/>
    <mergeCell ref="I2781:I2783"/>
    <mergeCell ref="O2775:O2777"/>
    <mergeCell ref="Q2775:Q2777"/>
    <mergeCell ref="A2778:A2780"/>
    <mergeCell ref="D2778:D2780"/>
    <mergeCell ref="F2778:F2780"/>
    <mergeCell ref="G2778:G2780"/>
    <mergeCell ref="H2778:H2780"/>
    <mergeCell ref="L2778:L2780"/>
    <mergeCell ref="M2778:M2780"/>
    <mergeCell ref="N2778:N2780"/>
    <mergeCell ref="I2775:I2777"/>
    <mergeCell ref="J2775:J2777"/>
    <mergeCell ref="K2775:K2777"/>
    <mergeCell ref="L2775:L2777"/>
    <mergeCell ref="M2775:M2777"/>
    <mergeCell ref="N2775:N2777"/>
    <mergeCell ref="N2772:N2774"/>
    <mergeCell ref="O2772:O2774"/>
    <mergeCell ref="Q2772:Q2774"/>
    <mergeCell ref="A2775:A2777"/>
    <mergeCell ref="B2775:B2777"/>
    <mergeCell ref="D2775:D2777"/>
    <mergeCell ref="E2775:E2777"/>
    <mergeCell ref="F2775:F2777"/>
    <mergeCell ref="G2775:G2777"/>
    <mergeCell ref="H2775:H2777"/>
    <mergeCell ref="H2772:H2774"/>
    <mergeCell ref="I2772:I2774"/>
    <mergeCell ref="J2772:J2774"/>
    <mergeCell ref="K2772:K2774"/>
    <mergeCell ref="L2772:L2774"/>
    <mergeCell ref="M2772:M2774"/>
    <mergeCell ref="A2772:A2774"/>
    <mergeCell ref="B2772:B2774"/>
    <mergeCell ref="D2772:D2774"/>
    <mergeCell ref="E2772:E2774"/>
    <mergeCell ref="F2772:F2774"/>
    <mergeCell ref="G2772:G2774"/>
    <mergeCell ref="K2769:K2771"/>
    <mergeCell ref="L2769:L2771"/>
    <mergeCell ref="M2769:M2771"/>
    <mergeCell ref="N2769:N2771"/>
    <mergeCell ref="O2769:O2771"/>
    <mergeCell ref="Q2769:Q2771"/>
    <mergeCell ref="Q2766:Q2768"/>
    <mergeCell ref="A2769:A2771"/>
    <mergeCell ref="B2769:B2771"/>
    <mergeCell ref="D2769:D2771"/>
    <mergeCell ref="E2769:E2771"/>
    <mergeCell ref="F2769:F2771"/>
    <mergeCell ref="G2769:G2771"/>
    <mergeCell ref="H2769:H2771"/>
    <mergeCell ref="I2769:I2771"/>
    <mergeCell ref="J2769:J2771"/>
    <mergeCell ref="J2766:J2768"/>
    <mergeCell ref="K2766:K2768"/>
    <mergeCell ref="L2766:L2768"/>
    <mergeCell ref="M2766:M2768"/>
    <mergeCell ref="N2766:N2768"/>
    <mergeCell ref="O2766:O2768"/>
    <mergeCell ref="O2763:O2765"/>
    <mergeCell ref="Q2763:Q2765"/>
    <mergeCell ref="A2766:A2768"/>
    <mergeCell ref="B2766:B2768"/>
    <mergeCell ref="D2766:D2768"/>
    <mergeCell ref="E2766:E2768"/>
    <mergeCell ref="F2766:F2768"/>
    <mergeCell ref="G2766:G2768"/>
    <mergeCell ref="H2766:H2768"/>
    <mergeCell ref="I2766:I2768"/>
    <mergeCell ref="I2763:I2765"/>
    <mergeCell ref="J2763:J2765"/>
    <mergeCell ref="K2763:K2765"/>
    <mergeCell ref="L2763:L2765"/>
    <mergeCell ref="M2763:M2765"/>
    <mergeCell ref="N2763:N2765"/>
    <mergeCell ref="N2760:N2762"/>
    <mergeCell ref="O2760:O2762"/>
    <mergeCell ref="Q2760:Q2762"/>
    <mergeCell ref="A2763:A2765"/>
    <mergeCell ref="B2763:B2765"/>
    <mergeCell ref="D2763:D2765"/>
    <mergeCell ref="E2763:E2765"/>
    <mergeCell ref="F2763:F2765"/>
    <mergeCell ref="G2763:G2765"/>
    <mergeCell ref="H2763:H2765"/>
    <mergeCell ref="H2760:H2762"/>
    <mergeCell ref="I2760:I2762"/>
    <mergeCell ref="J2760:J2762"/>
    <mergeCell ref="K2760:K2762"/>
    <mergeCell ref="L2760:L2762"/>
    <mergeCell ref="M2760:M2762"/>
    <mergeCell ref="A2760:A2762"/>
    <mergeCell ref="B2760:B2762"/>
    <mergeCell ref="D2760:D2762"/>
    <mergeCell ref="E2760:E2762"/>
    <mergeCell ref="F2760:F2762"/>
    <mergeCell ref="G2760:G2762"/>
    <mergeCell ref="K2757:K2759"/>
    <mergeCell ref="L2757:L2759"/>
    <mergeCell ref="M2757:M2759"/>
    <mergeCell ref="N2757:N2759"/>
    <mergeCell ref="O2757:O2759"/>
    <mergeCell ref="Q2757:Q2759"/>
    <mergeCell ref="Q2754:Q2756"/>
    <mergeCell ref="A2757:A2759"/>
    <mergeCell ref="B2757:B2759"/>
    <mergeCell ref="D2757:D2759"/>
    <mergeCell ref="E2757:E2759"/>
    <mergeCell ref="F2757:F2759"/>
    <mergeCell ref="G2757:G2759"/>
    <mergeCell ref="H2757:H2759"/>
    <mergeCell ref="I2757:I2759"/>
    <mergeCell ref="J2757:J2759"/>
    <mergeCell ref="J2754:J2756"/>
    <mergeCell ref="K2754:K2756"/>
    <mergeCell ref="L2754:L2756"/>
    <mergeCell ref="M2754:M2756"/>
    <mergeCell ref="N2754:N2756"/>
    <mergeCell ref="O2754:O2756"/>
    <mergeCell ref="O2751:O2753"/>
    <mergeCell ref="Q2751:Q2753"/>
    <mergeCell ref="A2754:A2756"/>
    <mergeCell ref="B2754:B2756"/>
    <mergeCell ref="D2754:D2756"/>
    <mergeCell ref="E2754:E2756"/>
    <mergeCell ref="F2754:F2756"/>
    <mergeCell ref="G2754:G2756"/>
    <mergeCell ref="H2754:H2756"/>
    <mergeCell ref="I2754:I2756"/>
    <mergeCell ref="I2751:I2753"/>
    <mergeCell ref="J2751:J2753"/>
    <mergeCell ref="K2751:K2753"/>
    <mergeCell ref="L2751:L2753"/>
    <mergeCell ref="M2751:M2753"/>
    <mergeCell ref="N2751:N2753"/>
    <mergeCell ref="N2748:N2750"/>
    <mergeCell ref="O2748:O2750"/>
    <mergeCell ref="Q2748:Q2750"/>
    <mergeCell ref="A2751:A2753"/>
    <mergeCell ref="B2751:B2753"/>
    <mergeCell ref="D2751:D2753"/>
    <mergeCell ref="E2751:E2753"/>
    <mergeCell ref="F2751:F2753"/>
    <mergeCell ref="G2751:G2753"/>
    <mergeCell ref="H2751:H2753"/>
    <mergeCell ref="H2748:H2750"/>
    <mergeCell ref="I2748:I2750"/>
    <mergeCell ref="J2748:J2750"/>
    <mergeCell ref="K2748:K2750"/>
    <mergeCell ref="L2748:L2750"/>
    <mergeCell ref="M2748:M2750"/>
    <mergeCell ref="M2745:M2747"/>
    <mergeCell ref="N2745:N2747"/>
    <mergeCell ref="O2745:O2747"/>
    <mergeCell ref="Q2745:Q2747"/>
    <mergeCell ref="A2748:A2750"/>
    <mergeCell ref="B2748:B2750"/>
    <mergeCell ref="D2748:D2750"/>
    <mergeCell ref="E2748:E2750"/>
    <mergeCell ref="F2748:F2750"/>
    <mergeCell ref="G2748:G2750"/>
    <mergeCell ref="O2741:O2743"/>
    <mergeCell ref="Q2741:Q2743"/>
    <mergeCell ref="A2744:Q2744"/>
    <mergeCell ref="A2745:A2747"/>
    <mergeCell ref="D2745:D2747"/>
    <mergeCell ref="F2745:F2747"/>
    <mergeCell ref="G2745:G2747"/>
    <mergeCell ref="H2745:H2747"/>
    <mergeCell ref="K2745:K2747"/>
    <mergeCell ref="L2745:L2747"/>
    <mergeCell ref="I2741:I2743"/>
    <mergeCell ref="J2741:J2743"/>
    <mergeCell ref="K2741:K2743"/>
    <mergeCell ref="L2741:L2743"/>
    <mergeCell ref="M2741:M2743"/>
    <mergeCell ref="N2741:N2743"/>
    <mergeCell ref="O2737:O2739"/>
    <mergeCell ref="Q2737:Q2739"/>
    <mergeCell ref="A2740:Q2740"/>
    <mergeCell ref="A2741:A2743"/>
    <mergeCell ref="B2741:B2743"/>
    <mergeCell ref="D2741:D2743"/>
    <mergeCell ref="E2741:E2743"/>
    <mergeCell ref="F2741:F2743"/>
    <mergeCell ref="G2741:G2743"/>
    <mergeCell ref="H2741:H2743"/>
    <mergeCell ref="I2737:I2739"/>
    <mergeCell ref="J2737:J2739"/>
    <mergeCell ref="K2737:K2739"/>
    <mergeCell ref="L2737:L2739"/>
    <mergeCell ref="M2737:M2739"/>
    <mergeCell ref="N2737:N2739"/>
    <mergeCell ref="N2734:N2736"/>
    <mergeCell ref="O2734:O2736"/>
    <mergeCell ref="Q2734:Q2736"/>
    <mergeCell ref="A2737:A2739"/>
    <mergeCell ref="B2737:B2739"/>
    <mergeCell ref="D2737:D2739"/>
    <mergeCell ref="E2737:E2739"/>
    <mergeCell ref="F2737:F2739"/>
    <mergeCell ref="G2737:G2739"/>
    <mergeCell ref="H2737:H2739"/>
    <mergeCell ref="H2734:H2736"/>
    <mergeCell ref="I2734:I2736"/>
    <mergeCell ref="J2734:J2736"/>
    <mergeCell ref="K2734:K2736"/>
    <mergeCell ref="L2734:L2736"/>
    <mergeCell ref="M2734:M2736"/>
    <mergeCell ref="A2734:A2736"/>
    <mergeCell ref="B2734:B2736"/>
    <mergeCell ref="D2734:D2736"/>
    <mergeCell ref="E2734:E2736"/>
    <mergeCell ref="F2734:F2736"/>
    <mergeCell ref="G2734:G2736"/>
    <mergeCell ref="K2731:K2733"/>
    <mergeCell ref="L2731:L2733"/>
    <mergeCell ref="M2731:M2733"/>
    <mergeCell ref="N2731:N2733"/>
    <mergeCell ref="O2731:O2733"/>
    <mergeCell ref="Q2731:Q2733"/>
    <mergeCell ref="A2730:Q2730"/>
    <mergeCell ref="A2731:A2733"/>
    <mergeCell ref="B2731:B2733"/>
    <mergeCell ref="D2731:D2733"/>
    <mergeCell ref="E2731:E2733"/>
    <mergeCell ref="F2731:F2733"/>
    <mergeCell ref="G2731:G2733"/>
    <mergeCell ref="H2731:H2733"/>
    <mergeCell ref="I2731:I2733"/>
    <mergeCell ref="J2731:J2733"/>
    <mergeCell ref="K2727:K2729"/>
    <mergeCell ref="L2727:L2729"/>
    <mergeCell ref="M2727:M2729"/>
    <mergeCell ref="N2727:N2729"/>
    <mergeCell ref="O2727:O2729"/>
    <mergeCell ref="Q2727:Q2729"/>
    <mergeCell ref="Q2724:Q2726"/>
    <mergeCell ref="A2727:A2729"/>
    <mergeCell ref="B2727:B2729"/>
    <mergeCell ref="D2727:D2729"/>
    <mergeCell ref="E2727:E2729"/>
    <mergeCell ref="F2727:F2729"/>
    <mergeCell ref="G2727:G2729"/>
    <mergeCell ref="H2727:H2729"/>
    <mergeCell ref="I2727:I2729"/>
    <mergeCell ref="J2727:J2729"/>
    <mergeCell ref="J2724:J2726"/>
    <mergeCell ref="K2724:K2726"/>
    <mergeCell ref="L2724:L2726"/>
    <mergeCell ref="M2724:M2726"/>
    <mergeCell ref="N2724:N2726"/>
    <mergeCell ref="O2724:O2726"/>
    <mergeCell ref="O2721:O2723"/>
    <mergeCell ref="Q2721:Q2723"/>
    <mergeCell ref="A2724:A2726"/>
    <mergeCell ref="B2724:B2726"/>
    <mergeCell ref="D2724:D2726"/>
    <mergeCell ref="E2724:E2726"/>
    <mergeCell ref="F2724:F2726"/>
    <mergeCell ref="G2724:G2726"/>
    <mergeCell ref="H2724:H2726"/>
    <mergeCell ref="I2724:I2726"/>
    <mergeCell ref="I2721:I2723"/>
    <mergeCell ref="J2721:J2723"/>
    <mergeCell ref="K2721:K2723"/>
    <mergeCell ref="L2721:L2723"/>
    <mergeCell ref="M2721:M2723"/>
    <mergeCell ref="N2721:N2723"/>
    <mergeCell ref="N2718:N2720"/>
    <mergeCell ref="O2718:O2720"/>
    <mergeCell ref="Q2718:Q2720"/>
    <mergeCell ref="A2721:A2723"/>
    <mergeCell ref="B2721:B2723"/>
    <mergeCell ref="D2721:D2723"/>
    <mergeCell ref="E2721:E2723"/>
    <mergeCell ref="F2721:F2723"/>
    <mergeCell ref="G2721:G2723"/>
    <mergeCell ref="H2721:H2723"/>
    <mergeCell ref="H2718:H2720"/>
    <mergeCell ref="I2718:I2720"/>
    <mergeCell ref="J2718:J2720"/>
    <mergeCell ref="K2718:K2720"/>
    <mergeCell ref="L2718:L2720"/>
    <mergeCell ref="M2718:M2720"/>
    <mergeCell ref="A2718:A2720"/>
    <mergeCell ref="B2718:B2720"/>
    <mergeCell ref="D2718:D2720"/>
    <mergeCell ref="E2718:E2720"/>
    <mergeCell ref="F2718:F2720"/>
    <mergeCell ref="G2718:G2720"/>
    <mergeCell ref="K2715:K2717"/>
    <mergeCell ref="L2715:L2717"/>
    <mergeCell ref="M2715:M2717"/>
    <mergeCell ref="N2715:N2717"/>
    <mergeCell ref="O2715:O2717"/>
    <mergeCell ref="Q2715:Q2717"/>
    <mergeCell ref="Q2712:Q2714"/>
    <mergeCell ref="A2715:A2717"/>
    <mergeCell ref="B2715:B2717"/>
    <mergeCell ref="D2715:D2717"/>
    <mergeCell ref="E2715:E2717"/>
    <mergeCell ref="F2715:F2717"/>
    <mergeCell ref="G2715:G2717"/>
    <mergeCell ref="H2715:H2717"/>
    <mergeCell ref="I2715:I2717"/>
    <mergeCell ref="J2715:J2717"/>
    <mergeCell ref="J2712:J2714"/>
    <mergeCell ref="K2712:K2714"/>
    <mergeCell ref="L2712:L2714"/>
    <mergeCell ref="M2712:M2714"/>
    <mergeCell ref="N2712:N2714"/>
    <mergeCell ref="O2712:O2714"/>
    <mergeCell ref="O2709:O2711"/>
    <mergeCell ref="Q2709:Q2711"/>
    <mergeCell ref="A2712:A2714"/>
    <mergeCell ref="B2712:B2714"/>
    <mergeCell ref="D2712:D2714"/>
    <mergeCell ref="E2712:E2714"/>
    <mergeCell ref="F2712:F2714"/>
    <mergeCell ref="G2712:G2714"/>
    <mergeCell ref="H2712:H2714"/>
    <mergeCell ref="I2712:I2714"/>
    <mergeCell ref="I2709:I2711"/>
    <mergeCell ref="J2709:J2711"/>
    <mergeCell ref="K2709:K2711"/>
    <mergeCell ref="L2709:L2711"/>
    <mergeCell ref="M2709:M2711"/>
    <mergeCell ref="N2709:N2711"/>
    <mergeCell ref="N2706:N2708"/>
    <mergeCell ref="O2706:O2708"/>
    <mergeCell ref="Q2706:Q2708"/>
    <mergeCell ref="A2709:A2711"/>
    <mergeCell ref="B2709:B2711"/>
    <mergeCell ref="D2709:D2711"/>
    <mergeCell ref="E2709:E2711"/>
    <mergeCell ref="F2709:F2711"/>
    <mergeCell ref="G2709:G2711"/>
    <mergeCell ref="H2709:H2711"/>
    <mergeCell ref="H2706:H2708"/>
    <mergeCell ref="I2706:I2708"/>
    <mergeCell ref="J2706:J2708"/>
    <mergeCell ref="K2706:K2708"/>
    <mergeCell ref="L2706:L2708"/>
    <mergeCell ref="M2706:M2708"/>
    <mergeCell ref="A2706:A2708"/>
    <mergeCell ref="B2706:B2708"/>
    <mergeCell ref="D2706:D2708"/>
    <mergeCell ref="E2706:E2708"/>
    <mergeCell ref="F2706:F2708"/>
    <mergeCell ref="G2706:G2708"/>
    <mergeCell ref="K2703:K2705"/>
    <mergeCell ref="L2703:L2705"/>
    <mergeCell ref="M2703:M2705"/>
    <mergeCell ref="N2703:N2705"/>
    <mergeCell ref="O2703:O2705"/>
    <mergeCell ref="Q2703:Q2705"/>
    <mergeCell ref="Q2700:Q2702"/>
    <mergeCell ref="A2703:A2705"/>
    <mergeCell ref="B2703:B2705"/>
    <mergeCell ref="D2703:D2705"/>
    <mergeCell ref="E2703:E2705"/>
    <mergeCell ref="F2703:F2705"/>
    <mergeCell ref="G2703:G2705"/>
    <mergeCell ref="H2703:H2705"/>
    <mergeCell ref="I2703:I2705"/>
    <mergeCell ref="J2703:J2705"/>
    <mergeCell ref="J2700:J2702"/>
    <mergeCell ref="K2700:K2702"/>
    <mergeCell ref="L2700:L2702"/>
    <mergeCell ref="M2700:M2702"/>
    <mergeCell ref="N2700:N2702"/>
    <mergeCell ref="O2700:O2702"/>
    <mergeCell ref="O2697:O2699"/>
    <mergeCell ref="Q2697:Q2699"/>
    <mergeCell ref="A2700:A2702"/>
    <mergeCell ref="B2700:B2702"/>
    <mergeCell ref="D2700:D2702"/>
    <mergeCell ref="E2700:E2702"/>
    <mergeCell ref="F2700:F2702"/>
    <mergeCell ref="G2700:G2702"/>
    <mergeCell ref="H2700:H2702"/>
    <mergeCell ref="I2700:I2702"/>
    <mergeCell ref="I2697:I2699"/>
    <mergeCell ref="J2697:J2699"/>
    <mergeCell ref="K2697:K2699"/>
    <mergeCell ref="L2697:L2699"/>
    <mergeCell ref="M2697:M2699"/>
    <mergeCell ref="N2697:N2699"/>
    <mergeCell ref="N2694:N2696"/>
    <mergeCell ref="O2694:O2696"/>
    <mergeCell ref="Q2694:Q2696"/>
    <mergeCell ref="A2697:A2699"/>
    <mergeCell ref="B2697:B2699"/>
    <mergeCell ref="D2697:D2699"/>
    <mergeCell ref="E2697:E2699"/>
    <mergeCell ref="F2697:F2699"/>
    <mergeCell ref="G2697:G2699"/>
    <mergeCell ref="H2697:H2699"/>
    <mergeCell ref="H2694:H2696"/>
    <mergeCell ref="I2694:I2696"/>
    <mergeCell ref="J2694:J2696"/>
    <mergeCell ref="K2694:K2696"/>
    <mergeCell ref="L2694:L2696"/>
    <mergeCell ref="M2694:M2696"/>
    <mergeCell ref="A2694:A2696"/>
    <mergeCell ref="B2694:B2696"/>
    <mergeCell ref="D2694:D2696"/>
    <mergeCell ref="E2694:E2696"/>
    <mergeCell ref="F2694:F2696"/>
    <mergeCell ref="G2694:G2696"/>
    <mergeCell ref="K2691:K2693"/>
    <mergeCell ref="L2691:L2693"/>
    <mergeCell ref="M2691:M2693"/>
    <mergeCell ref="N2691:N2693"/>
    <mergeCell ref="O2691:O2693"/>
    <mergeCell ref="Q2691:Q2693"/>
    <mergeCell ref="Q2688:Q2690"/>
    <mergeCell ref="A2691:A2693"/>
    <mergeCell ref="B2691:B2693"/>
    <mergeCell ref="D2691:D2693"/>
    <mergeCell ref="E2691:E2693"/>
    <mergeCell ref="F2691:F2693"/>
    <mergeCell ref="G2691:G2693"/>
    <mergeCell ref="H2691:H2693"/>
    <mergeCell ref="I2691:I2693"/>
    <mergeCell ref="J2691:J2693"/>
    <mergeCell ref="J2688:J2690"/>
    <mergeCell ref="K2688:K2690"/>
    <mergeCell ref="L2688:L2690"/>
    <mergeCell ref="M2688:M2690"/>
    <mergeCell ref="N2688:N2690"/>
    <mergeCell ref="O2688:O2690"/>
    <mergeCell ref="O2685:O2687"/>
    <mergeCell ref="Q2685:Q2687"/>
    <mergeCell ref="A2688:A2690"/>
    <mergeCell ref="B2688:B2690"/>
    <mergeCell ref="D2688:D2690"/>
    <mergeCell ref="E2688:E2690"/>
    <mergeCell ref="F2688:F2690"/>
    <mergeCell ref="G2688:G2690"/>
    <mergeCell ref="H2688:H2690"/>
    <mergeCell ref="I2688:I2690"/>
    <mergeCell ref="I2685:I2687"/>
    <mergeCell ref="J2685:J2687"/>
    <mergeCell ref="K2685:K2687"/>
    <mergeCell ref="L2685:L2687"/>
    <mergeCell ref="M2685:M2687"/>
    <mergeCell ref="N2685:N2687"/>
    <mergeCell ref="N2682:N2684"/>
    <mergeCell ref="O2682:O2684"/>
    <mergeCell ref="Q2682:Q2684"/>
    <mergeCell ref="A2685:A2687"/>
    <mergeCell ref="B2685:B2687"/>
    <mergeCell ref="D2685:D2687"/>
    <mergeCell ref="E2685:E2687"/>
    <mergeCell ref="F2685:F2687"/>
    <mergeCell ref="G2685:G2687"/>
    <mergeCell ref="H2685:H2687"/>
    <mergeCell ref="H2682:H2684"/>
    <mergeCell ref="I2682:I2684"/>
    <mergeCell ref="J2682:J2684"/>
    <mergeCell ref="K2682:K2684"/>
    <mergeCell ref="L2682:L2684"/>
    <mergeCell ref="M2682:M2684"/>
    <mergeCell ref="A2682:A2684"/>
    <mergeCell ref="B2682:B2684"/>
    <mergeCell ref="D2682:D2684"/>
    <mergeCell ref="E2682:E2684"/>
    <mergeCell ref="F2682:F2684"/>
    <mergeCell ref="G2682:G2684"/>
    <mergeCell ref="K2679:K2681"/>
    <mergeCell ref="L2679:L2681"/>
    <mergeCell ref="M2679:M2681"/>
    <mergeCell ref="N2679:N2681"/>
    <mergeCell ref="O2679:O2681"/>
    <mergeCell ref="Q2679:Q2681"/>
    <mergeCell ref="Q2676:Q2678"/>
    <mergeCell ref="A2679:A2681"/>
    <mergeCell ref="B2679:B2681"/>
    <mergeCell ref="D2679:D2681"/>
    <mergeCell ref="E2679:E2681"/>
    <mergeCell ref="F2679:F2681"/>
    <mergeCell ref="G2679:G2681"/>
    <mergeCell ref="H2679:H2681"/>
    <mergeCell ref="I2679:I2681"/>
    <mergeCell ref="J2679:J2681"/>
    <mergeCell ref="J2676:J2678"/>
    <mergeCell ref="K2676:K2678"/>
    <mergeCell ref="L2676:L2678"/>
    <mergeCell ref="M2676:M2678"/>
    <mergeCell ref="N2676:N2678"/>
    <mergeCell ref="O2676:O2678"/>
    <mergeCell ref="O2673:O2675"/>
    <mergeCell ref="Q2673:Q2675"/>
    <mergeCell ref="A2676:A2678"/>
    <mergeCell ref="B2676:B2678"/>
    <mergeCell ref="D2676:D2678"/>
    <mergeCell ref="E2676:E2678"/>
    <mergeCell ref="F2676:F2678"/>
    <mergeCell ref="G2676:G2678"/>
    <mergeCell ref="H2676:H2678"/>
    <mergeCell ref="I2676:I2678"/>
    <mergeCell ref="I2673:I2675"/>
    <mergeCell ref="J2673:J2675"/>
    <mergeCell ref="K2673:K2675"/>
    <mergeCell ref="L2673:L2675"/>
    <mergeCell ref="M2673:M2675"/>
    <mergeCell ref="N2673:N2675"/>
    <mergeCell ref="N2670:N2672"/>
    <mergeCell ref="O2670:O2672"/>
    <mergeCell ref="Q2670:Q2672"/>
    <mergeCell ref="A2673:A2675"/>
    <mergeCell ref="B2673:B2675"/>
    <mergeCell ref="D2673:D2675"/>
    <mergeCell ref="E2673:E2675"/>
    <mergeCell ref="F2673:F2675"/>
    <mergeCell ref="G2673:G2675"/>
    <mergeCell ref="H2673:H2675"/>
    <mergeCell ref="H2670:H2672"/>
    <mergeCell ref="I2670:I2672"/>
    <mergeCell ref="J2670:J2672"/>
    <mergeCell ref="K2670:K2672"/>
    <mergeCell ref="L2670:L2672"/>
    <mergeCell ref="M2670:M2672"/>
    <mergeCell ref="A2670:A2672"/>
    <mergeCell ref="B2670:B2672"/>
    <mergeCell ref="D2670:D2672"/>
    <mergeCell ref="E2670:E2672"/>
    <mergeCell ref="F2670:F2672"/>
    <mergeCell ref="G2670:G2672"/>
    <mergeCell ref="K2667:K2669"/>
    <mergeCell ref="L2667:L2669"/>
    <mergeCell ref="M2667:M2669"/>
    <mergeCell ref="N2667:N2669"/>
    <mergeCell ref="O2667:O2669"/>
    <mergeCell ref="Q2667:Q2669"/>
    <mergeCell ref="Q2664:Q2666"/>
    <mergeCell ref="A2667:A2669"/>
    <mergeCell ref="B2667:B2669"/>
    <mergeCell ref="D2667:D2669"/>
    <mergeCell ref="E2667:E2669"/>
    <mergeCell ref="F2667:F2669"/>
    <mergeCell ref="G2667:G2669"/>
    <mergeCell ref="H2667:H2669"/>
    <mergeCell ref="I2667:I2669"/>
    <mergeCell ref="J2667:J2669"/>
    <mergeCell ref="J2664:J2666"/>
    <mergeCell ref="K2664:K2666"/>
    <mergeCell ref="L2664:L2666"/>
    <mergeCell ref="M2664:M2666"/>
    <mergeCell ref="N2664:N2666"/>
    <mergeCell ref="O2664:O2666"/>
    <mergeCell ref="O2661:O2663"/>
    <mergeCell ref="Q2661:Q2663"/>
    <mergeCell ref="A2664:A2666"/>
    <mergeCell ref="B2664:B2666"/>
    <mergeCell ref="D2664:D2666"/>
    <mergeCell ref="E2664:E2666"/>
    <mergeCell ref="F2664:F2666"/>
    <mergeCell ref="G2664:G2666"/>
    <mergeCell ref="H2664:H2666"/>
    <mergeCell ref="I2664:I2666"/>
    <mergeCell ref="I2661:I2663"/>
    <mergeCell ref="J2661:J2663"/>
    <mergeCell ref="K2661:K2663"/>
    <mergeCell ref="L2661:L2663"/>
    <mergeCell ref="M2661:M2663"/>
    <mergeCell ref="N2661:N2663"/>
    <mergeCell ref="N2658:N2660"/>
    <mergeCell ref="O2658:O2660"/>
    <mergeCell ref="Q2658:Q2660"/>
    <mergeCell ref="A2661:A2663"/>
    <mergeCell ref="B2661:B2663"/>
    <mergeCell ref="D2661:D2663"/>
    <mergeCell ref="E2661:E2663"/>
    <mergeCell ref="F2661:F2663"/>
    <mergeCell ref="G2661:G2663"/>
    <mergeCell ref="H2661:H2663"/>
    <mergeCell ref="H2658:H2660"/>
    <mergeCell ref="I2658:I2660"/>
    <mergeCell ref="J2658:J2660"/>
    <mergeCell ref="K2658:K2660"/>
    <mergeCell ref="L2658:L2660"/>
    <mergeCell ref="M2658:M2660"/>
    <mergeCell ref="A2658:A2660"/>
    <mergeCell ref="B2658:B2660"/>
    <mergeCell ref="D2658:D2660"/>
    <mergeCell ref="E2658:E2660"/>
    <mergeCell ref="F2658:F2660"/>
    <mergeCell ref="G2658:G2660"/>
    <mergeCell ref="K2655:K2657"/>
    <mergeCell ref="L2655:L2657"/>
    <mergeCell ref="M2655:M2657"/>
    <mergeCell ref="N2655:N2657"/>
    <mergeCell ref="O2655:O2657"/>
    <mergeCell ref="Q2655:Q2657"/>
    <mergeCell ref="Q2652:Q2654"/>
    <mergeCell ref="A2655:A2657"/>
    <mergeCell ref="B2655:B2657"/>
    <mergeCell ref="D2655:D2657"/>
    <mergeCell ref="E2655:E2657"/>
    <mergeCell ref="F2655:F2657"/>
    <mergeCell ref="G2655:G2657"/>
    <mergeCell ref="H2655:H2657"/>
    <mergeCell ref="I2655:I2657"/>
    <mergeCell ref="J2655:J2657"/>
    <mergeCell ref="J2652:J2654"/>
    <mergeCell ref="K2652:K2654"/>
    <mergeCell ref="L2652:L2654"/>
    <mergeCell ref="M2652:M2654"/>
    <mergeCell ref="N2652:N2654"/>
    <mergeCell ref="O2652:O2654"/>
    <mergeCell ref="O2649:O2651"/>
    <mergeCell ref="Q2649:Q2651"/>
    <mergeCell ref="A2652:A2654"/>
    <mergeCell ref="B2652:B2654"/>
    <mergeCell ref="D2652:D2654"/>
    <mergeCell ref="E2652:E2654"/>
    <mergeCell ref="F2652:F2654"/>
    <mergeCell ref="G2652:G2654"/>
    <mergeCell ref="H2652:H2654"/>
    <mergeCell ref="I2652:I2654"/>
    <mergeCell ref="I2649:I2651"/>
    <mergeCell ref="J2649:J2651"/>
    <mergeCell ref="K2649:K2651"/>
    <mergeCell ref="L2649:L2651"/>
    <mergeCell ref="M2649:M2651"/>
    <mergeCell ref="N2649:N2651"/>
    <mergeCell ref="N2646:N2648"/>
    <mergeCell ref="O2646:O2648"/>
    <mergeCell ref="Q2646:Q2648"/>
    <mergeCell ref="A2649:A2651"/>
    <mergeCell ref="B2649:B2651"/>
    <mergeCell ref="D2649:D2651"/>
    <mergeCell ref="E2649:E2651"/>
    <mergeCell ref="F2649:F2651"/>
    <mergeCell ref="G2649:G2651"/>
    <mergeCell ref="H2649:H2651"/>
    <mergeCell ref="H2646:H2648"/>
    <mergeCell ref="I2646:I2648"/>
    <mergeCell ref="J2646:J2648"/>
    <mergeCell ref="K2646:K2648"/>
    <mergeCell ref="L2646:L2648"/>
    <mergeCell ref="M2646:M2648"/>
    <mergeCell ref="A2646:A2648"/>
    <mergeCell ref="B2646:B2648"/>
    <mergeCell ref="D2646:D2648"/>
    <mergeCell ref="E2646:E2648"/>
    <mergeCell ref="F2646:F2648"/>
    <mergeCell ref="G2646:G2648"/>
    <mergeCell ref="K2643:K2645"/>
    <mergeCell ref="L2643:L2645"/>
    <mergeCell ref="M2643:M2645"/>
    <mergeCell ref="N2643:N2645"/>
    <mergeCell ref="O2643:O2645"/>
    <mergeCell ref="Q2643:Q2645"/>
    <mergeCell ref="Q2640:Q2642"/>
    <mergeCell ref="A2643:A2645"/>
    <mergeCell ref="B2643:B2645"/>
    <mergeCell ref="D2643:D2645"/>
    <mergeCell ref="E2643:E2645"/>
    <mergeCell ref="F2643:F2645"/>
    <mergeCell ref="G2643:G2645"/>
    <mergeCell ref="H2643:H2645"/>
    <mergeCell ref="I2643:I2645"/>
    <mergeCell ref="J2643:J2645"/>
    <mergeCell ref="J2640:J2642"/>
    <mergeCell ref="K2640:K2642"/>
    <mergeCell ref="L2640:L2642"/>
    <mergeCell ref="M2640:M2642"/>
    <mergeCell ref="N2640:N2642"/>
    <mergeCell ref="O2640:O2642"/>
    <mergeCell ref="O2637:O2639"/>
    <mergeCell ref="Q2637:Q2639"/>
    <mergeCell ref="A2640:A2642"/>
    <mergeCell ref="B2640:B2642"/>
    <mergeCell ref="D2640:D2642"/>
    <mergeCell ref="E2640:E2642"/>
    <mergeCell ref="F2640:F2642"/>
    <mergeCell ref="G2640:G2642"/>
    <mergeCell ref="H2640:H2642"/>
    <mergeCell ref="I2640:I2642"/>
    <mergeCell ref="I2637:I2639"/>
    <mergeCell ref="J2637:J2639"/>
    <mergeCell ref="K2637:K2639"/>
    <mergeCell ref="L2637:L2639"/>
    <mergeCell ref="M2637:M2639"/>
    <mergeCell ref="N2637:N2639"/>
    <mergeCell ref="N2634:N2636"/>
    <mergeCell ref="O2634:O2636"/>
    <mergeCell ref="Q2634:Q2636"/>
    <mergeCell ref="A2637:A2639"/>
    <mergeCell ref="B2637:B2639"/>
    <mergeCell ref="D2637:D2639"/>
    <mergeCell ref="E2637:E2639"/>
    <mergeCell ref="F2637:F2639"/>
    <mergeCell ref="G2637:G2639"/>
    <mergeCell ref="H2637:H2639"/>
    <mergeCell ref="H2634:H2636"/>
    <mergeCell ref="I2634:I2636"/>
    <mergeCell ref="J2634:J2636"/>
    <mergeCell ref="K2634:K2636"/>
    <mergeCell ref="L2634:L2636"/>
    <mergeCell ref="M2634:M2636"/>
    <mergeCell ref="A2634:A2636"/>
    <mergeCell ref="B2634:B2636"/>
    <mergeCell ref="D2634:D2636"/>
    <mergeCell ref="E2634:E2636"/>
    <mergeCell ref="F2634:F2636"/>
    <mergeCell ref="G2634:G2636"/>
    <mergeCell ref="L2631:L2633"/>
    <mergeCell ref="M2631:M2633"/>
    <mergeCell ref="N2631:N2633"/>
    <mergeCell ref="O2631:O2633"/>
    <mergeCell ref="Q2631:Q2633"/>
    <mergeCell ref="Q2628:Q2630"/>
    <mergeCell ref="A2631:A2633"/>
    <mergeCell ref="B2631:B2632"/>
    <mergeCell ref="D2631:D2633"/>
    <mergeCell ref="E2631:E2632"/>
    <mergeCell ref="F2631:F2633"/>
    <mergeCell ref="G2631:G2633"/>
    <mergeCell ref="H2631:H2633"/>
    <mergeCell ref="I2631:I2632"/>
    <mergeCell ref="J2631:J2632"/>
    <mergeCell ref="J2628:J2629"/>
    <mergeCell ref="L2628:L2630"/>
    <mergeCell ref="M2628:M2630"/>
    <mergeCell ref="N2628:N2630"/>
    <mergeCell ref="O2628:O2630"/>
    <mergeCell ref="O2625:O2627"/>
    <mergeCell ref="Q2625:Q2627"/>
    <mergeCell ref="A2628:A2630"/>
    <mergeCell ref="B2628:B2629"/>
    <mergeCell ref="D2628:D2630"/>
    <mergeCell ref="E2628:E2629"/>
    <mergeCell ref="F2628:F2630"/>
    <mergeCell ref="G2628:G2630"/>
    <mergeCell ref="H2628:H2630"/>
    <mergeCell ref="I2628:I2629"/>
    <mergeCell ref="I2625:I2627"/>
    <mergeCell ref="J2625:J2627"/>
    <mergeCell ref="K2625:K2627"/>
    <mergeCell ref="L2625:L2627"/>
    <mergeCell ref="M2625:M2627"/>
    <mergeCell ref="N2625:N2627"/>
    <mergeCell ref="N2622:N2624"/>
    <mergeCell ref="O2622:O2624"/>
    <mergeCell ref="Q2622:Q2624"/>
    <mergeCell ref="A2625:A2627"/>
    <mergeCell ref="B2625:B2627"/>
    <mergeCell ref="D2625:D2627"/>
    <mergeCell ref="E2625:E2627"/>
    <mergeCell ref="F2625:F2627"/>
    <mergeCell ref="G2625:G2627"/>
    <mergeCell ref="H2625:H2627"/>
    <mergeCell ref="H2622:H2624"/>
    <mergeCell ref="I2622:I2624"/>
    <mergeCell ref="J2622:J2624"/>
    <mergeCell ref="K2622:K2624"/>
    <mergeCell ref="L2622:L2624"/>
    <mergeCell ref="M2622:M2624"/>
    <mergeCell ref="A2622:A2624"/>
    <mergeCell ref="B2622:B2624"/>
    <mergeCell ref="D2622:D2624"/>
    <mergeCell ref="E2622:E2624"/>
    <mergeCell ref="F2622:F2624"/>
    <mergeCell ref="G2622:G2624"/>
    <mergeCell ref="K2619:K2621"/>
    <mergeCell ref="L2619:L2621"/>
    <mergeCell ref="M2619:M2621"/>
    <mergeCell ref="N2619:N2621"/>
    <mergeCell ref="O2619:O2621"/>
    <mergeCell ref="Q2619:Q2621"/>
    <mergeCell ref="Q2616:Q2618"/>
    <mergeCell ref="A2619:A2621"/>
    <mergeCell ref="B2619:B2621"/>
    <mergeCell ref="D2619:D2621"/>
    <mergeCell ref="E2619:E2621"/>
    <mergeCell ref="F2619:F2621"/>
    <mergeCell ref="G2619:G2621"/>
    <mergeCell ref="H2619:H2621"/>
    <mergeCell ref="I2619:I2621"/>
    <mergeCell ref="J2619:J2621"/>
    <mergeCell ref="J2616:J2618"/>
    <mergeCell ref="K2616:K2618"/>
    <mergeCell ref="L2616:L2618"/>
    <mergeCell ref="M2616:M2618"/>
    <mergeCell ref="N2616:N2618"/>
    <mergeCell ref="O2616:O2618"/>
    <mergeCell ref="O2613:O2615"/>
    <mergeCell ref="Q2613:Q2615"/>
    <mergeCell ref="A2616:A2618"/>
    <mergeCell ref="B2616:B2618"/>
    <mergeCell ref="D2616:D2618"/>
    <mergeCell ref="E2616:E2618"/>
    <mergeCell ref="F2616:F2618"/>
    <mergeCell ref="G2616:G2618"/>
    <mergeCell ref="H2616:H2618"/>
    <mergeCell ref="I2616:I2618"/>
    <mergeCell ref="I2613:I2615"/>
    <mergeCell ref="J2613:J2615"/>
    <mergeCell ref="K2613:K2615"/>
    <mergeCell ref="L2613:L2615"/>
    <mergeCell ref="M2613:M2615"/>
    <mergeCell ref="N2613:N2615"/>
    <mergeCell ref="N2610:N2612"/>
    <mergeCell ref="O2610:O2612"/>
    <mergeCell ref="Q2610:Q2612"/>
    <mergeCell ref="A2613:A2615"/>
    <mergeCell ref="B2613:B2615"/>
    <mergeCell ref="D2613:D2615"/>
    <mergeCell ref="E2613:E2615"/>
    <mergeCell ref="F2613:F2615"/>
    <mergeCell ref="G2613:G2615"/>
    <mergeCell ref="H2613:H2615"/>
    <mergeCell ref="H2610:H2612"/>
    <mergeCell ref="I2610:I2612"/>
    <mergeCell ref="J2610:J2612"/>
    <mergeCell ref="K2610:K2612"/>
    <mergeCell ref="L2610:L2612"/>
    <mergeCell ref="M2610:M2612"/>
    <mergeCell ref="A2610:A2612"/>
    <mergeCell ref="B2610:B2612"/>
    <mergeCell ref="D2610:D2612"/>
    <mergeCell ref="E2610:E2612"/>
    <mergeCell ref="F2610:F2612"/>
    <mergeCell ref="G2610:G2612"/>
    <mergeCell ref="K2607:K2609"/>
    <mergeCell ref="L2607:L2609"/>
    <mergeCell ref="M2607:M2609"/>
    <mergeCell ref="N2607:N2609"/>
    <mergeCell ref="O2607:O2609"/>
    <mergeCell ref="Q2607:Q2609"/>
    <mergeCell ref="Q2604:Q2606"/>
    <mergeCell ref="A2607:A2609"/>
    <mergeCell ref="B2607:B2609"/>
    <mergeCell ref="D2607:D2609"/>
    <mergeCell ref="E2607:E2609"/>
    <mergeCell ref="F2607:F2609"/>
    <mergeCell ref="G2607:G2609"/>
    <mergeCell ref="H2607:H2609"/>
    <mergeCell ref="I2607:I2609"/>
    <mergeCell ref="J2607:J2609"/>
    <mergeCell ref="J2604:J2606"/>
    <mergeCell ref="K2604:K2606"/>
    <mergeCell ref="L2604:L2606"/>
    <mergeCell ref="M2604:M2606"/>
    <mergeCell ref="N2604:N2606"/>
    <mergeCell ref="O2604:O2606"/>
    <mergeCell ref="O2601:O2603"/>
    <mergeCell ref="Q2601:Q2603"/>
    <mergeCell ref="A2604:A2606"/>
    <mergeCell ref="B2604:B2606"/>
    <mergeCell ref="D2604:D2606"/>
    <mergeCell ref="E2604:E2606"/>
    <mergeCell ref="F2604:F2606"/>
    <mergeCell ref="G2604:G2606"/>
    <mergeCell ref="H2604:H2606"/>
    <mergeCell ref="I2604:I2606"/>
    <mergeCell ref="I2601:I2603"/>
    <mergeCell ref="J2601:J2603"/>
    <mergeCell ref="K2601:K2603"/>
    <mergeCell ref="L2601:L2603"/>
    <mergeCell ref="M2601:M2603"/>
    <mergeCell ref="N2601:N2603"/>
    <mergeCell ref="N2598:N2600"/>
    <mergeCell ref="O2598:O2600"/>
    <mergeCell ref="Q2598:Q2600"/>
    <mergeCell ref="A2601:A2603"/>
    <mergeCell ref="B2601:B2603"/>
    <mergeCell ref="D2601:D2603"/>
    <mergeCell ref="E2601:E2603"/>
    <mergeCell ref="F2601:F2603"/>
    <mergeCell ref="G2601:G2603"/>
    <mergeCell ref="H2601:H2603"/>
    <mergeCell ref="H2598:H2600"/>
    <mergeCell ref="I2598:I2600"/>
    <mergeCell ref="J2598:J2600"/>
    <mergeCell ref="K2598:K2600"/>
    <mergeCell ref="L2598:L2600"/>
    <mergeCell ref="M2598:M2600"/>
    <mergeCell ref="A2598:A2600"/>
    <mergeCell ref="B2598:B2600"/>
    <mergeCell ref="D2598:D2600"/>
    <mergeCell ref="E2598:E2600"/>
    <mergeCell ref="F2598:F2600"/>
    <mergeCell ref="G2598:G2600"/>
    <mergeCell ref="K2595:K2597"/>
    <mergeCell ref="L2595:L2597"/>
    <mergeCell ref="M2595:M2597"/>
    <mergeCell ref="N2595:N2597"/>
    <mergeCell ref="O2595:O2597"/>
    <mergeCell ref="Q2595:Q2597"/>
    <mergeCell ref="Q2592:Q2594"/>
    <mergeCell ref="A2595:A2597"/>
    <mergeCell ref="B2595:B2597"/>
    <mergeCell ref="D2595:D2597"/>
    <mergeCell ref="E2595:E2597"/>
    <mergeCell ref="F2595:F2597"/>
    <mergeCell ref="G2595:G2597"/>
    <mergeCell ref="H2595:H2597"/>
    <mergeCell ref="I2595:I2597"/>
    <mergeCell ref="J2595:J2597"/>
    <mergeCell ref="J2592:J2594"/>
    <mergeCell ref="K2592:K2594"/>
    <mergeCell ref="L2592:L2594"/>
    <mergeCell ref="M2592:M2594"/>
    <mergeCell ref="N2592:N2594"/>
    <mergeCell ref="O2592:O2594"/>
    <mergeCell ref="O2589:O2591"/>
    <mergeCell ref="Q2589:Q2591"/>
    <mergeCell ref="A2592:A2594"/>
    <mergeCell ref="B2592:B2594"/>
    <mergeCell ref="D2592:D2594"/>
    <mergeCell ref="E2592:E2594"/>
    <mergeCell ref="F2592:F2594"/>
    <mergeCell ref="G2592:G2594"/>
    <mergeCell ref="H2592:H2594"/>
    <mergeCell ref="I2592:I2594"/>
    <mergeCell ref="I2589:I2591"/>
    <mergeCell ref="J2589:J2591"/>
    <mergeCell ref="K2589:K2591"/>
    <mergeCell ref="L2589:L2591"/>
    <mergeCell ref="M2589:M2591"/>
    <mergeCell ref="N2589:N2591"/>
    <mergeCell ref="N2586:N2588"/>
    <mergeCell ref="O2586:O2588"/>
    <mergeCell ref="Q2586:Q2588"/>
    <mergeCell ref="A2589:A2591"/>
    <mergeCell ref="B2589:B2591"/>
    <mergeCell ref="D2589:D2591"/>
    <mergeCell ref="E2589:E2591"/>
    <mergeCell ref="F2589:F2591"/>
    <mergeCell ref="G2589:G2591"/>
    <mergeCell ref="H2589:H2591"/>
    <mergeCell ref="H2586:H2588"/>
    <mergeCell ref="I2586:I2588"/>
    <mergeCell ref="J2586:J2588"/>
    <mergeCell ref="K2586:K2588"/>
    <mergeCell ref="L2586:L2588"/>
    <mergeCell ref="M2586:M2588"/>
    <mergeCell ref="A2586:A2588"/>
    <mergeCell ref="B2586:B2588"/>
    <mergeCell ref="D2586:D2588"/>
    <mergeCell ref="E2586:E2588"/>
    <mergeCell ref="F2586:F2588"/>
    <mergeCell ref="G2586:G2588"/>
    <mergeCell ref="K2583:K2585"/>
    <mergeCell ref="L2583:L2585"/>
    <mergeCell ref="M2583:M2585"/>
    <mergeCell ref="N2583:N2585"/>
    <mergeCell ref="O2583:O2585"/>
    <mergeCell ref="Q2583:Q2585"/>
    <mergeCell ref="Q2580:Q2582"/>
    <mergeCell ref="A2583:A2585"/>
    <mergeCell ref="B2583:B2585"/>
    <mergeCell ref="D2583:D2585"/>
    <mergeCell ref="E2583:E2585"/>
    <mergeCell ref="F2583:F2585"/>
    <mergeCell ref="G2583:G2585"/>
    <mergeCell ref="H2583:H2585"/>
    <mergeCell ref="I2583:I2585"/>
    <mergeCell ref="J2583:J2585"/>
    <mergeCell ref="J2580:J2582"/>
    <mergeCell ref="K2580:K2582"/>
    <mergeCell ref="L2580:L2582"/>
    <mergeCell ref="M2580:M2582"/>
    <mergeCell ref="N2580:N2582"/>
    <mergeCell ref="O2580:O2582"/>
    <mergeCell ref="O2577:O2579"/>
    <mergeCell ref="Q2577:Q2579"/>
    <mergeCell ref="A2580:A2582"/>
    <mergeCell ref="B2580:B2582"/>
    <mergeCell ref="D2580:D2582"/>
    <mergeCell ref="E2580:E2582"/>
    <mergeCell ref="F2580:F2582"/>
    <mergeCell ref="G2580:G2582"/>
    <mergeCell ref="H2580:H2582"/>
    <mergeCell ref="I2580:I2582"/>
    <mergeCell ref="I2577:I2579"/>
    <mergeCell ref="J2577:J2579"/>
    <mergeCell ref="K2577:K2579"/>
    <mergeCell ref="L2577:L2579"/>
    <mergeCell ref="M2577:M2579"/>
    <mergeCell ref="N2577:N2579"/>
    <mergeCell ref="N2574:N2576"/>
    <mergeCell ref="O2574:O2576"/>
    <mergeCell ref="Q2574:Q2576"/>
    <mergeCell ref="A2577:A2579"/>
    <mergeCell ref="B2577:B2579"/>
    <mergeCell ref="D2577:D2579"/>
    <mergeCell ref="E2577:E2579"/>
    <mergeCell ref="F2577:F2579"/>
    <mergeCell ref="G2577:G2579"/>
    <mergeCell ref="H2577:H2579"/>
    <mergeCell ref="H2574:H2576"/>
    <mergeCell ref="I2574:I2576"/>
    <mergeCell ref="J2574:J2576"/>
    <mergeCell ref="K2574:K2576"/>
    <mergeCell ref="L2574:L2576"/>
    <mergeCell ref="M2574:M2576"/>
    <mergeCell ref="A2574:A2576"/>
    <mergeCell ref="B2574:B2576"/>
    <mergeCell ref="D2574:D2576"/>
    <mergeCell ref="E2574:E2576"/>
    <mergeCell ref="F2574:F2576"/>
    <mergeCell ref="G2574:G2576"/>
    <mergeCell ref="K2571:K2573"/>
    <mergeCell ref="L2571:L2573"/>
    <mergeCell ref="M2571:M2573"/>
    <mergeCell ref="N2571:N2573"/>
    <mergeCell ref="O2571:O2573"/>
    <mergeCell ref="Q2571:Q2573"/>
    <mergeCell ref="Q2568:Q2570"/>
    <mergeCell ref="A2571:A2573"/>
    <mergeCell ref="B2571:B2573"/>
    <mergeCell ref="D2571:D2573"/>
    <mergeCell ref="E2571:E2573"/>
    <mergeCell ref="F2571:F2573"/>
    <mergeCell ref="G2571:G2573"/>
    <mergeCell ref="H2571:H2573"/>
    <mergeCell ref="I2571:I2573"/>
    <mergeCell ref="J2571:J2573"/>
    <mergeCell ref="J2568:J2570"/>
    <mergeCell ref="K2568:K2570"/>
    <mergeCell ref="L2568:L2570"/>
    <mergeCell ref="M2568:M2570"/>
    <mergeCell ref="N2568:N2570"/>
    <mergeCell ref="O2568:O2570"/>
    <mergeCell ref="O2565:O2567"/>
    <mergeCell ref="Q2565:Q2567"/>
    <mergeCell ref="A2568:A2570"/>
    <mergeCell ref="B2568:B2570"/>
    <mergeCell ref="D2568:D2570"/>
    <mergeCell ref="E2568:E2570"/>
    <mergeCell ref="F2568:F2570"/>
    <mergeCell ref="G2568:G2570"/>
    <mergeCell ref="H2568:H2570"/>
    <mergeCell ref="I2568:I2570"/>
    <mergeCell ref="I2565:I2567"/>
    <mergeCell ref="J2565:J2567"/>
    <mergeCell ref="K2565:K2567"/>
    <mergeCell ref="L2565:L2567"/>
    <mergeCell ref="M2565:M2567"/>
    <mergeCell ref="N2565:N2567"/>
    <mergeCell ref="N2562:N2564"/>
    <mergeCell ref="O2562:O2564"/>
    <mergeCell ref="Q2562:Q2564"/>
    <mergeCell ref="A2565:A2567"/>
    <mergeCell ref="B2565:B2567"/>
    <mergeCell ref="D2565:D2567"/>
    <mergeCell ref="E2565:E2567"/>
    <mergeCell ref="F2565:F2567"/>
    <mergeCell ref="G2565:G2567"/>
    <mergeCell ref="H2565:H2567"/>
    <mergeCell ref="H2562:H2564"/>
    <mergeCell ref="I2562:I2564"/>
    <mergeCell ref="J2562:J2564"/>
    <mergeCell ref="K2562:K2564"/>
    <mergeCell ref="L2562:L2564"/>
    <mergeCell ref="M2562:M2564"/>
    <mergeCell ref="A2562:A2564"/>
    <mergeCell ref="B2562:B2564"/>
    <mergeCell ref="D2562:D2564"/>
    <mergeCell ref="E2562:E2564"/>
    <mergeCell ref="F2562:F2564"/>
    <mergeCell ref="G2562:G2564"/>
    <mergeCell ref="K2559:K2561"/>
    <mergeCell ref="L2559:L2561"/>
    <mergeCell ref="M2559:M2561"/>
    <mergeCell ref="N2559:N2561"/>
    <mergeCell ref="O2559:O2561"/>
    <mergeCell ref="Q2559:Q2561"/>
    <mergeCell ref="Q2556:Q2558"/>
    <mergeCell ref="A2559:A2561"/>
    <mergeCell ref="B2559:B2561"/>
    <mergeCell ref="D2559:D2561"/>
    <mergeCell ref="E2559:E2561"/>
    <mergeCell ref="F2559:F2561"/>
    <mergeCell ref="G2559:G2561"/>
    <mergeCell ref="H2559:H2561"/>
    <mergeCell ref="I2559:I2561"/>
    <mergeCell ref="J2559:J2561"/>
    <mergeCell ref="J2556:J2558"/>
    <mergeCell ref="K2556:K2558"/>
    <mergeCell ref="L2556:L2558"/>
    <mergeCell ref="M2556:M2558"/>
    <mergeCell ref="N2556:N2558"/>
    <mergeCell ref="O2556:O2558"/>
    <mergeCell ref="O2553:O2555"/>
    <mergeCell ref="Q2553:Q2555"/>
    <mergeCell ref="A2556:A2558"/>
    <mergeCell ref="B2556:B2558"/>
    <mergeCell ref="D2556:D2558"/>
    <mergeCell ref="E2556:E2558"/>
    <mergeCell ref="F2556:F2558"/>
    <mergeCell ref="G2556:G2558"/>
    <mergeCell ref="H2556:H2558"/>
    <mergeCell ref="I2556:I2558"/>
    <mergeCell ref="I2553:I2555"/>
    <mergeCell ref="J2553:J2555"/>
    <mergeCell ref="K2553:K2555"/>
    <mergeCell ref="L2553:L2555"/>
    <mergeCell ref="M2553:M2555"/>
    <mergeCell ref="N2553:N2555"/>
    <mergeCell ref="N2550:N2552"/>
    <mergeCell ref="O2550:O2552"/>
    <mergeCell ref="Q2550:Q2552"/>
    <mergeCell ref="A2553:A2555"/>
    <mergeCell ref="B2553:B2555"/>
    <mergeCell ref="D2553:D2555"/>
    <mergeCell ref="E2553:E2555"/>
    <mergeCell ref="F2553:F2555"/>
    <mergeCell ref="G2553:G2555"/>
    <mergeCell ref="H2553:H2555"/>
    <mergeCell ref="H2550:H2552"/>
    <mergeCell ref="I2550:I2552"/>
    <mergeCell ref="J2550:J2552"/>
    <mergeCell ref="K2550:K2552"/>
    <mergeCell ref="L2550:L2552"/>
    <mergeCell ref="M2550:M2552"/>
    <mergeCell ref="A2550:A2552"/>
    <mergeCell ref="B2550:B2552"/>
    <mergeCell ref="D2550:D2552"/>
    <mergeCell ref="E2550:E2552"/>
    <mergeCell ref="F2550:F2552"/>
    <mergeCell ref="G2550:G2552"/>
    <mergeCell ref="K2547:K2549"/>
    <mergeCell ref="L2547:L2549"/>
    <mergeCell ref="M2547:M2549"/>
    <mergeCell ref="N2547:N2549"/>
    <mergeCell ref="O2547:O2549"/>
    <mergeCell ref="Q2547:Q2549"/>
    <mergeCell ref="A2546:Q2546"/>
    <mergeCell ref="A2547:A2549"/>
    <mergeCell ref="B2547:B2549"/>
    <mergeCell ref="D2547:D2549"/>
    <mergeCell ref="E2547:E2549"/>
    <mergeCell ref="F2547:F2549"/>
    <mergeCell ref="G2547:G2549"/>
    <mergeCell ref="H2547:H2549"/>
    <mergeCell ref="I2547:I2549"/>
    <mergeCell ref="J2547:J2549"/>
    <mergeCell ref="K2543:K2545"/>
    <mergeCell ref="L2543:L2545"/>
    <mergeCell ref="M2543:M2545"/>
    <mergeCell ref="N2543:N2545"/>
    <mergeCell ref="O2543:O2545"/>
    <mergeCell ref="Q2543:Q2545"/>
    <mergeCell ref="Q2540:Q2542"/>
    <mergeCell ref="A2543:A2545"/>
    <mergeCell ref="B2543:B2545"/>
    <mergeCell ref="D2543:D2545"/>
    <mergeCell ref="E2543:E2545"/>
    <mergeCell ref="F2543:F2545"/>
    <mergeCell ref="G2543:G2545"/>
    <mergeCell ref="H2543:H2545"/>
    <mergeCell ref="I2543:I2545"/>
    <mergeCell ref="J2543:J2545"/>
    <mergeCell ref="J2540:J2542"/>
    <mergeCell ref="K2540:K2542"/>
    <mergeCell ref="L2540:L2542"/>
    <mergeCell ref="M2540:M2542"/>
    <mergeCell ref="N2540:N2542"/>
    <mergeCell ref="O2540:O2542"/>
    <mergeCell ref="O2537:O2539"/>
    <mergeCell ref="Q2537:Q2539"/>
    <mergeCell ref="A2540:A2542"/>
    <mergeCell ref="B2540:B2542"/>
    <mergeCell ref="D2540:D2542"/>
    <mergeCell ref="E2540:E2542"/>
    <mergeCell ref="F2540:F2542"/>
    <mergeCell ref="G2540:G2542"/>
    <mergeCell ref="H2540:H2542"/>
    <mergeCell ref="I2540:I2542"/>
    <mergeCell ref="I2537:I2539"/>
    <mergeCell ref="J2537:J2539"/>
    <mergeCell ref="K2537:K2539"/>
    <mergeCell ref="L2537:L2539"/>
    <mergeCell ref="M2537:M2539"/>
    <mergeCell ref="N2537:N2539"/>
    <mergeCell ref="N2534:N2536"/>
    <mergeCell ref="O2534:O2536"/>
    <mergeCell ref="Q2534:Q2536"/>
    <mergeCell ref="A2537:A2539"/>
    <mergeCell ref="B2537:B2539"/>
    <mergeCell ref="D2537:D2539"/>
    <mergeCell ref="E2537:E2539"/>
    <mergeCell ref="F2537:F2539"/>
    <mergeCell ref="G2537:G2539"/>
    <mergeCell ref="H2537:H2539"/>
    <mergeCell ref="H2534:H2536"/>
    <mergeCell ref="I2534:I2536"/>
    <mergeCell ref="J2534:J2536"/>
    <mergeCell ref="K2534:K2536"/>
    <mergeCell ref="L2534:L2536"/>
    <mergeCell ref="M2534:M2536"/>
    <mergeCell ref="A2534:A2536"/>
    <mergeCell ref="B2534:B2536"/>
    <mergeCell ref="D2534:D2536"/>
    <mergeCell ref="E2534:E2536"/>
    <mergeCell ref="F2534:F2536"/>
    <mergeCell ref="G2534:G2536"/>
    <mergeCell ref="K2531:K2533"/>
    <mergeCell ref="L2531:L2533"/>
    <mergeCell ref="M2531:M2533"/>
    <mergeCell ref="N2531:N2533"/>
    <mergeCell ref="O2531:O2533"/>
    <mergeCell ref="Q2531:Q2533"/>
    <mergeCell ref="Q2528:Q2530"/>
    <mergeCell ref="A2531:A2533"/>
    <mergeCell ref="B2531:B2533"/>
    <mergeCell ref="D2531:D2533"/>
    <mergeCell ref="E2531:E2533"/>
    <mergeCell ref="F2531:F2533"/>
    <mergeCell ref="G2531:G2533"/>
    <mergeCell ref="H2531:H2533"/>
    <mergeCell ref="I2531:I2533"/>
    <mergeCell ref="J2531:J2533"/>
    <mergeCell ref="J2528:J2530"/>
    <mergeCell ref="K2528:K2530"/>
    <mergeCell ref="L2528:L2530"/>
    <mergeCell ref="M2528:M2530"/>
    <mergeCell ref="N2528:N2530"/>
    <mergeCell ref="O2528:O2530"/>
    <mergeCell ref="O2525:O2527"/>
    <mergeCell ref="Q2525:Q2527"/>
    <mergeCell ref="A2528:A2530"/>
    <mergeCell ref="B2528:B2530"/>
    <mergeCell ref="D2528:D2530"/>
    <mergeCell ref="E2528:E2530"/>
    <mergeCell ref="F2528:F2530"/>
    <mergeCell ref="G2528:G2530"/>
    <mergeCell ref="H2528:H2530"/>
    <mergeCell ref="I2528:I2530"/>
    <mergeCell ref="I2525:I2527"/>
    <mergeCell ref="J2525:J2527"/>
    <mergeCell ref="K2525:K2527"/>
    <mergeCell ref="L2525:L2527"/>
    <mergeCell ref="M2525:M2527"/>
    <mergeCell ref="N2525:N2527"/>
    <mergeCell ref="N2522:N2524"/>
    <mergeCell ref="O2522:O2524"/>
    <mergeCell ref="Q2522:Q2524"/>
    <mergeCell ref="A2525:A2527"/>
    <mergeCell ref="B2525:B2527"/>
    <mergeCell ref="D2525:D2527"/>
    <mergeCell ref="E2525:E2527"/>
    <mergeCell ref="F2525:F2527"/>
    <mergeCell ref="G2525:G2527"/>
    <mergeCell ref="H2525:H2527"/>
    <mergeCell ref="H2522:H2524"/>
    <mergeCell ref="I2522:I2524"/>
    <mergeCell ref="J2522:J2524"/>
    <mergeCell ref="K2522:K2524"/>
    <mergeCell ref="L2522:L2524"/>
    <mergeCell ref="M2522:M2524"/>
    <mergeCell ref="N2518:N2520"/>
    <mergeCell ref="O2518:O2520"/>
    <mergeCell ref="Q2518:Q2520"/>
    <mergeCell ref="A2521:Q2521"/>
    <mergeCell ref="A2522:A2524"/>
    <mergeCell ref="B2522:B2524"/>
    <mergeCell ref="D2522:D2524"/>
    <mergeCell ref="E2522:E2524"/>
    <mergeCell ref="F2522:F2524"/>
    <mergeCell ref="G2522:G2524"/>
    <mergeCell ref="H2518:H2520"/>
    <mergeCell ref="I2518:I2520"/>
    <mergeCell ref="J2518:J2520"/>
    <mergeCell ref="K2518:K2520"/>
    <mergeCell ref="L2518:L2520"/>
    <mergeCell ref="M2518:M2520"/>
    <mergeCell ref="A2518:A2520"/>
    <mergeCell ref="B2518:B2520"/>
    <mergeCell ref="D2518:D2520"/>
    <mergeCell ref="E2518:E2520"/>
    <mergeCell ref="F2518:F2520"/>
    <mergeCell ref="G2518:G2520"/>
    <mergeCell ref="K2515:K2517"/>
    <mergeCell ref="L2515:L2517"/>
    <mergeCell ref="M2515:M2517"/>
    <mergeCell ref="N2515:N2517"/>
    <mergeCell ref="O2515:O2517"/>
    <mergeCell ref="Q2515:Q2517"/>
    <mergeCell ref="Q2512:Q2514"/>
    <mergeCell ref="A2515:A2517"/>
    <mergeCell ref="B2515:B2517"/>
    <mergeCell ref="D2515:D2517"/>
    <mergeCell ref="E2515:E2517"/>
    <mergeCell ref="F2515:F2517"/>
    <mergeCell ref="G2515:G2517"/>
    <mergeCell ref="H2515:H2517"/>
    <mergeCell ref="I2515:I2517"/>
    <mergeCell ref="J2515:J2517"/>
    <mergeCell ref="J2512:J2514"/>
    <mergeCell ref="K2512:K2514"/>
    <mergeCell ref="L2512:L2514"/>
    <mergeCell ref="M2512:M2514"/>
    <mergeCell ref="N2512:N2514"/>
    <mergeCell ref="O2512:O2514"/>
    <mergeCell ref="O2509:O2511"/>
    <mergeCell ref="Q2509:Q2511"/>
    <mergeCell ref="A2512:A2514"/>
    <mergeCell ref="B2512:B2514"/>
    <mergeCell ref="D2512:D2514"/>
    <mergeCell ref="E2512:E2514"/>
    <mergeCell ref="F2512:F2514"/>
    <mergeCell ref="G2512:G2514"/>
    <mergeCell ref="H2512:H2514"/>
    <mergeCell ref="I2512:I2514"/>
    <mergeCell ref="I2509:I2511"/>
    <mergeCell ref="J2509:J2511"/>
    <mergeCell ref="K2509:K2511"/>
    <mergeCell ref="L2509:L2511"/>
    <mergeCell ref="M2509:M2511"/>
    <mergeCell ref="N2509:N2511"/>
    <mergeCell ref="N2506:N2508"/>
    <mergeCell ref="O2506:O2508"/>
    <mergeCell ref="Q2506:Q2508"/>
    <mergeCell ref="A2509:A2511"/>
    <mergeCell ref="B2509:B2511"/>
    <mergeCell ref="D2509:D2511"/>
    <mergeCell ref="E2509:E2511"/>
    <mergeCell ref="F2509:F2511"/>
    <mergeCell ref="G2509:G2511"/>
    <mergeCell ref="H2509:H2511"/>
    <mergeCell ref="H2506:H2508"/>
    <mergeCell ref="I2506:I2508"/>
    <mergeCell ref="J2506:J2508"/>
    <mergeCell ref="K2506:K2508"/>
    <mergeCell ref="L2506:L2508"/>
    <mergeCell ref="M2506:M2508"/>
    <mergeCell ref="A2506:A2508"/>
    <mergeCell ref="B2506:B2508"/>
    <mergeCell ref="D2506:D2508"/>
    <mergeCell ref="E2506:E2508"/>
    <mergeCell ref="F2506:F2508"/>
    <mergeCell ref="G2506:G2508"/>
    <mergeCell ref="K2503:K2505"/>
    <mergeCell ref="L2503:L2505"/>
    <mergeCell ref="M2503:M2505"/>
    <mergeCell ref="N2503:N2505"/>
    <mergeCell ref="O2503:O2505"/>
    <mergeCell ref="Q2503:Q2505"/>
    <mergeCell ref="Q2500:Q2502"/>
    <mergeCell ref="A2503:A2505"/>
    <mergeCell ref="B2503:B2505"/>
    <mergeCell ref="D2503:D2505"/>
    <mergeCell ref="E2503:E2505"/>
    <mergeCell ref="F2503:F2505"/>
    <mergeCell ref="G2503:G2505"/>
    <mergeCell ref="H2503:H2505"/>
    <mergeCell ref="I2503:I2505"/>
    <mergeCell ref="J2503:J2505"/>
    <mergeCell ref="J2500:J2502"/>
    <mergeCell ref="K2500:K2502"/>
    <mergeCell ref="L2500:L2502"/>
    <mergeCell ref="M2500:M2502"/>
    <mergeCell ref="N2500:N2502"/>
    <mergeCell ref="O2500:O2502"/>
    <mergeCell ref="O2497:O2499"/>
    <mergeCell ref="Q2497:Q2499"/>
    <mergeCell ref="A2500:A2502"/>
    <mergeCell ref="B2500:B2502"/>
    <mergeCell ref="D2500:D2502"/>
    <mergeCell ref="E2500:E2502"/>
    <mergeCell ref="F2500:F2502"/>
    <mergeCell ref="G2500:G2502"/>
    <mergeCell ref="H2500:H2502"/>
    <mergeCell ref="I2500:I2502"/>
    <mergeCell ref="I2497:I2498"/>
    <mergeCell ref="J2497:J2498"/>
    <mergeCell ref="L2497:L2499"/>
    <mergeCell ref="M2497:M2499"/>
    <mergeCell ref="N2497:N2499"/>
    <mergeCell ref="N2494:N2496"/>
    <mergeCell ref="O2494:O2496"/>
    <mergeCell ref="Q2494:Q2496"/>
    <mergeCell ref="A2497:A2499"/>
    <mergeCell ref="B2497:B2499"/>
    <mergeCell ref="D2497:D2499"/>
    <mergeCell ref="E2497:E2498"/>
    <mergeCell ref="F2497:F2499"/>
    <mergeCell ref="G2497:G2499"/>
    <mergeCell ref="H2497:H2499"/>
    <mergeCell ref="H2494:H2496"/>
    <mergeCell ref="I2494:I2496"/>
    <mergeCell ref="J2494:J2496"/>
    <mergeCell ref="K2494:K2496"/>
    <mergeCell ref="L2494:L2496"/>
    <mergeCell ref="M2494:M2496"/>
    <mergeCell ref="A2494:A2496"/>
    <mergeCell ref="B2494:B2496"/>
    <mergeCell ref="D2494:D2496"/>
    <mergeCell ref="E2494:E2496"/>
    <mergeCell ref="F2494:F2496"/>
    <mergeCell ref="G2494:G2496"/>
    <mergeCell ref="K2491:K2493"/>
    <mergeCell ref="L2491:L2493"/>
    <mergeCell ref="M2491:M2493"/>
    <mergeCell ref="N2491:N2493"/>
    <mergeCell ref="O2491:O2493"/>
    <mergeCell ref="Q2491:Q2493"/>
    <mergeCell ref="Q2488:Q2490"/>
    <mergeCell ref="A2491:A2493"/>
    <mergeCell ref="B2491:B2493"/>
    <mergeCell ref="D2491:D2493"/>
    <mergeCell ref="E2491:E2493"/>
    <mergeCell ref="F2491:F2493"/>
    <mergeCell ref="G2491:G2493"/>
    <mergeCell ref="H2491:H2493"/>
    <mergeCell ref="I2491:I2493"/>
    <mergeCell ref="J2491:J2493"/>
    <mergeCell ref="J2488:J2490"/>
    <mergeCell ref="K2488:K2490"/>
    <mergeCell ref="L2488:L2490"/>
    <mergeCell ref="M2488:M2490"/>
    <mergeCell ref="N2488:N2490"/>
    <mergeCell ref="O2488:O2490"/>
    <mergeCell ref="O2485:O2487"/>
    <mergeCell ref="Q2485:Q2487"/>
    <mergeCell ref="A2488:A2490"/>
    <mergeCell ref="B2488:B2490"/>
    <mergeCell ref="D2488:D2490"/>
    <mergeCell ref="E2488:E2490"/>
    <mergeCell ref="F2488:F2490"/>
    <mergeCell ref="G2488:G2490"/>
    <mergeCell ref="H2488:H2490"/>
    <mergeCell ref="I2488:I2490"/>
    <mergeCell ref="I2485:I2487"/>
    <mergeCell ref="J2485:J2487"/>
    <mergeCell ref="K2485:K2487"/>
    <mergeCell ref="L2485:L2487"/>
    <mergeCell ref="M2485:M2487"/>
    <mergeCell ref="N2485:N2487"/>
    <mergeCell ref="N2482:N2484"/>
    <mergeCell ref="O2482:O2484"/>
    <mergeCell ref="Q2482:Q2484"/>
    <mergeCell ref="A2485:A2487"/>
    <mergeCell ref="B2485:B2487"/>
    <mergeCell ref="D2485:D2487"/>
    <mergeCell ref="E2485:E2487"/>
    <mergeCell ref="F2485:F2487"/>
    <mergeCell ref="G2485:G2487"/>
    <mergeCell ref="H2485:H2487"/>
    <mergeCell ref="H2482:H2484"/>
    <mergeCell ref="I2482:I2484"/>
    <mergeCell ref="J2482:J2484"/>
    <mergeCell ref="K2482:K2484"/>
    <mergeCell ref="L2482:L2484"/>
    <mergeCell ref="M2482:M2484"/>
    <mergeCell ref="A2482:A2484"/>
    <mergeCell ref="B2482:B2484"/>
    <mergeCell ref="D2482:D2484"/>
    <mergeCell ref="E2482:E2484"/>
    <mergeCell ref="F2482:F2484"/>
    <mergeCell ref="G2482:G2484"/>
    <mergeCell ref="K2479:K2481"/>
    <mergeCell ref="L2479:L2481"/>
    <mergeCell ref="M2479:M2481"/>
    <mergeCell ref="N2479:N2481"/>
    <mergeCell ref="O2479:O2481"/>
    <mergeCell ref="Q2479:Q2481"/>
    <mergeCell ref="Q2476:Q2478"/>
    <mergeCell ref="A2479:A2481"/>
    <mergeCell ref="B2479:B2481"/>
    <mergeCell ref="D2479:D2481"/>
    <mergeCell ref="E2479:E2481"/>
    <mergeCell ref="F2479:F2481"/>
    <mergeCell ref="G2479:G2481"/>
    <mergeCell ref="H2479:H2481"/>
    <mergeCell ref="I2479:I2481"/>
    <mergeCell ref="J2479:J2481"/>
    <mergeCell ref="J2476:J2478"/>
    <mergeCell ref="K2476:K2478"/>
    <mergeCell ref="L2476:L2478"/>
    <mergeCell ref="M2476:M2478"/>
    <mergeCell ref="N2476:N2478"/>
    <mergeCell ref="O2476:O2478"/>
    <mergeCell ref="O2473:O2475"/>
    <mergeCell ref="Q2473:Q2475"/>
    <mergeCell ref="A2476:A2478"/>
    <mergeCell ref="B2476:B2478"/>
    <mergeCell ref="D2476:D2478"/>
    <mergeCell ref="E2476:E2478"/>
    <mergeCell ref="F2476:F2478"/>
    <mergeCell ref="G2476:G2478"/>
    <mergeCell ref="H2476:H2478"/>
    <mergeCell ref="I2476:I2478"/>
    <mergeCell ref="I2473:I2475"/>
    <mergeCell ref="J2473:J2475"/>
    <mergeCell ref="K2473:K2475"/>
    <mergeCell ref="L2473:L2475"/>
    <mergeCell ref="M2473:M2475"/>
    <mergeCell ref="N2473:N2475"/>
    <mergeCell ref="N2470:N2472"/>
    <mergeCell ref="O2470:O2472"/>
    <mergeCell ref="Q2470:Q2472"/>
    <mergeCell ref="A2473:A2475"/>
    <mergeCell ref="B2473:B2475"/>
    <mergeCell ref="D2473:D2475"/>
    <mergeCell ref="E2473:E2475"/>
    <mergeCell ref="F2473:F2475"/>
    <mergeCell ref="G2473:G2475"/>
    <mergeCell ref="H2473:H2475"/>
    <mergeCell ref="H2470:H2472"/>
    <mergeCell ref="I2470:I2472"/>
    <mergeCell ref="J2470:J2472"/>
    <mergeCell ref="K2470:K2472"/>
    <mergeCell ref="L2470:L2472"/>
    <mergeCell ref="M2470:M2472"/>
    <mergeCell ref="A2470:A2472"/>
    <mergeCell ref="B2470:B2472"/>
    <mergeCell ref="D2470:D2472"/>
    <mergeCell ref="E2470:E2472"/>
    <mergeCell ref="F2470:F2472"/>
    <mergeCell ref="G2470:G2472"/>
    <mergeCell ref="K2467:K2469"/>
    <mergeCell ref="L2467:L2469"/>
    <mergeCell ref="M2467:M2469"/>
    <mergeCell ref="N2467:N2469"/>
    <mergeCell ref="O2467:O2469"/>
    <mergeCell ref="Q2467:Q2469"/>
    <mergeCell ref="Q2464:Q2466"/>
    <mergeCell ref="A2467:A2469"/>
    <mergeCell ref="B2467:B2469"/>
    <mergeCell ref="D2467:D2469"/>
    <mergeCell ref="E2467:E2469"/>
    <mergeCell ref="F2467:F2469"/>
    <mergeCell ref="G2467:G2469"/>
    <mergeCell ref="H2467:H2469"/>
    <mergeCell ref="I2467:I2469"/>
    <mergeCell ref="J2467:J2469"/>
    <mergeCell ref="J2464:J2466"/>
    <mergeCell ref="K2464:K2466"/>
    <mergeCell ref="L2464:L2466"/>
    <mergeCell ref="M2464:M2466"/>
    <mergeCell ref="N2464:N2466"/>
    <mergeCell ref="O2464:O2466"/>
    <mergeCell ref="O2461:O2463"/>
    <mergeCell ref="Q2461:Q2463"/>
    <mergeCell ref="A2464:A2466"/>
    <mergeCell ref="B2464:B2466"/>
    <mergeCell ref="D2464:D2466"/>
    <mergeCell ref="E2464:E2466"/>
    <mergeCell ref="F2464:F2466"/>
    <mergeCell ref="G2464:G2466"/>
    <mergeCell ref="H2464:H2466"/>
    <mergeCell ref="I2464:I2466"/>
    <mergeCell ref="I2461:I2463"/>
    <mergeCell ref="J2461:J2463"/>
    <mergeCell ref="K2461:K2463"/>
    <mergeCell ref="L2461:L2463"/>
    <mergeCell ref="M2461:M2463"/>
    <mergeCell ref="N2461:N2463"/>
    <mergeCell ref="N2458:N2460"/>
    <mergeCell ref="O2458:O2460"/>
    <mergeCell ref="Q2458:Q2460"/>
    <mergeCell ref="A2461:A2463"/>
    <mergeCell ref="B2461:B2463"/>
    <mergeCell ref="D2461:D2463"/>
    <mergeCell ref="E2461:E2463"/>
    <mergeCell ref="F2461:F2463"/>
    <mergeCell ref="G2461:G2463"/>
    <mergeCell ref="H2461:H2463"/>
    <mergeCell ref="H2458:H2460"/>
    <mergeCell ref="I2458:I2460"/>
    <mergeCell ref="J2458:J2460"/>
    <mergeCell ref="K2458:K2460"/>
    <mergeCell ref="L2458:L2460"/>
    <mergeCell ref="M2458:M2460"/>
    <mergeCell ref="A2458:A2460"/>
    <mergeCell ref="B2458:B2460"/>
    <mergeCell ref="D2458:D2460"/>
    <mergeCell ref="E2458:E2460"/>
    <mergeCell ref="F2458:F2460"/>
    <mergeCell ref="G2458:G2460"/>
    <mergeCell ref="K2455:K2457"/>
    <mergeCell ref="L2455:L2457"/>
    <mergeCell ref="M2455:M2457"/>
    <mergeCell ref="N2455:N2457"/>
    <mergeCell ref="O2455:O2457"/>
    <mergeCell ref="Q2455:Q2457"/>
    <mergeCell ref="Q2452:Q2454"/>
    <mergeCell ref="A2455:A2457"/>
    <mergeCell ref="B2455:B2457"/>
    <mergeCell ref="D2455:D2457"/>
    <mergeCell ref="E2455:E2457"/>
    <mergeCell ref="F2455:F2457"/>
    <mergeCell ref="G2455:G2457"/>
    <mergeCell ref="H2455:H2457"/>
    <mergeCell ref="I2455:I2457"/>
    <mergeCell ref="J2455:J2457"/>
    <mergeCell ref="J2452:J2454"/>
    <mergeCell ref="K2452:K2454"/>
    <mergeCell ref="L2452:L2454"/>
    <mergeCell ref="M2452:M2454"/>
    <mergeCell ref="N2452:N2454"/>
    <mergeCell ref="O2452:O2454"/>
    <mergeCell ref="O2449:O2451"/>
    <mergeCell ref="Q2449:Q2451"/>
    <mergeCell ref="A2452:A2454"/>
    <mergeCell ref="B2452:B2454"/>
    <mergeCell ref="D2452:D2454"/>
    <mergeCell ref="E2452:E2454"/>
    <mergeCell ref="F2452:F2454"/>
    <mergeCell ref="G2452:G2454"/>
    <mergeCell ref="H2452:H2454"/>
    <mergeCell ref="I2452:I2454"/>
    <mergeCell ref="I2449:I2451"/>
    <mergeCell ref="J2449:J2451"/>
    <mergeCell ref="K2449:K2451"/>
    <mergeCell ref="L2449:L2451"/>
    <mergeCell ref="M2449:M2451"/>
    <mergeCell ref="N2449:N2451"/>
    <mergeCell ref="N2446:N2448"/>
    <mergeCell ref="O2446:O2448"/>
    <mergeCell ref="Q2446:Q2448"/>
    <mergeCell ref="A2449:A2451"/>
    <mergeCell ref="B2449:B2451"/>
    <mergeCell ref="D2449:D2451"/>
    <mergeCell ref="E2449:E2451"/>
    <mergeCell ref="F2449:F2451"/>
    <mergeCell ref="G2449:G2451"/>
    <mergeCell ref="H2449:H2451"/>
    <mergeCell ref="H2446:H2448"/>
    <mergeCell ref="I2446:I2448"/>
    <mergeCell ref="J2446:J2448"/>
    <mergeCell ref="K2446:K2448"/>
    <mergeCell ref="L2446:L2448"/>
    <mergeCell ref="M2446:M2448"/>
    <mergeCell ref="A2446:A2448"/>
    <mergeCell ref="B2446:B2448"/>
    <mergeCell ref="D2446:D2448"/>
    <mergeCell ref="E2446:E2448"/>
    <mergeCell ref="F2446:F2448"/>
    <mergeCell ref="G2446:G2448"/>
    <mergeCell ref="K2443:K2445"/>
    <mergeCell ref="L2443:L2445"/>
    <mergeCell ref="M2443:M2445"/>
    <mergeCell ref="N2443:N2445"/>
    <mergeCell ref="O2443:O2445"/>
    <mergeCell ref="Q2443:Q2445"/>
    <mergeCell ref="Q2440:Q2442"/>
    <mergeCell ref="A2443:A2445"/>
    <mergeCell ref="B2443:B2445"/>
    <mergeCell ref="D2443:D2445"/>
    <mergeCell ref="E2443:E2445"/>
    <mergeCell ref="F2443:F2445"/>
    <mergeCell ref="G2443:G2445"/>
    <mergeCell ref="H2443:H2445"/>
    <mergeCell ref="I2443:I2445"/>
    <mergeCell ref="J2443:J2445"/>
    <mergeCell ref="J2440:J2442"/>
    <mergeCell ref="K2440:K2442"/>
    <mergeCell ref="L2440:L2442"/>
    <mergeCell ref="M2440:M2442"/>
    <mergeCell ref="N2440:N2442"/>
    <mergeCell ref="O2440:O2442"/>
    <mergeCell ref="O2437:O2439"/>
    <mergeCell ref="Q2437:Q2439"/>
    <mergeCell ref="A2440:A2442"/>
    <mergeCell ref="B2440:B2442"/>
    <mergeCell ref="D2440:D2442"/>
    <mergeCell ref="E2440:E2442"/>
    <mergeCell ref="F2440:F2442"/>
    <mergeCell ref="G2440:G2442"/>
    <mergeCell ref="H2440:H2442"/>
    <mergeCell ref="I2440:I2442"/>
    <mergeCell ref="I2437:I2439"/>
    <mergeCell ref="J2437:J2439"/>
    <mergeCell ref="K2437:K2439"/>
    <mergeCell ref="L2437:L2439"/>
    <mergeCell ref="M2437:M2439"/>
    <mergeCell ref="N2437:N2439"/>
    <mergeCell ref="N2434:N2436"/>
    <mergeCell ref="O2434:O2436"/>
    <mergeCell ref="Q2434:Q2436"/>
    <mergeCell ref="A2437:A2439"/>
    <mergeCell ref="B2437:B2439"/>
    <mergeCell ref="D2437:D2439"/>
    <mergeCell ref="E2437:E2439"/>
    <mergeCell ref="F2437:F2439"/>
    <mergeCell ref="G2437:G2439"/>
    <mergeCell ref="H2437:H2439"/>
    <mergeCell ref="H2434:H2436"/>
    <mergeCell ref="I2434:I2436"/>
    <mergeCell ref="J2434:J2436"/>
    <mergeCell ref="K2434:K2436"/>
    <mergeCell ref="L2434:L2436"/>
    <mergeCell ref="M2434:M2436"/>
    <mergeCell ref="A2434:A2436"/>
    <mergeCell ref="B2434:B2436"/>
    <mergeCell ref="D2434:D2436"/>
    <mergeCell ref="E2434:E2436"/>
    <mergeCell ref="F2434:F2436"/>
    <mergeCell ref="G2434:G2436"/>
    <mergeCell ref="K2431:K2433"/>
    <mergeCell ref="L2431:L2433"/>
    <mergeCell ref="M2431:M2433"/>
    <mergeCell ref="N2431:N2433"/>
    <mergeCell ref="O2431:O2433"/>
    <mergeCell ref="Q2431:Q2433"/>
    <mergeCell ref="Q2428:Q2430"/>
    <mergeCell ref="A2431:A2433"/>
    <mergeCell ref="B2431:B2433"/>
    <mergeCell ref="D2431:D2433"/>
    <mergeCell ref="E2431:E2433"/>
    <mergeCell ref="F2431:F2433"/>
    <mergeCell ref="G2431:G2433"/>
    <mergeCell ref="H2431:H2433"/>
    <mergeCell ref="I2431:I2433"/>
    <mergeCell ref="J2431:J2433"/>
    <mergeCell ref="J2428:J2430"/>
    <mergeCell ref="K2428:K2430"/>
    <mergeCell ref="L2428:L2430"/>
    <mergeCell ref="M2428:M2430"/>
    <mergeCell ref="N2428:N2430"/>
    <mergeCell ref="O2428:O2430"/>
    <mergeCell ref="O2425:O2427"/>
    <mergeCell ref="Q2425:Q2427"/>
    <mergeCell ref="A2428:A2430"/>
    <mergeCell ref="B2428:B2430"/>
    <mergeCell ref="D2428:D2430"/>
    <mergeCell ref="E2428:E2430"/>
    <mergeCell ref="F2428:F2430"/>
    <mergeCell ref="G2428:G2430"/>
    <mergeCell ref="H2428:H2430"/>
    <mergeCell ref="I2428:I2430"/>
    <mergeCell ref="I2425:I2427"/>
    <mergeCell ref="J2425:J2427"/>
    <mergeCell ref="K2425:K2427"/>
    <mergeCell ref="L2425:L2427"/>
    <mergeCell ref="M2425:M2427"/>
    <mergeCell ref="N2425:N2427"/>
    <mergeCell ref="N2422:N2424"/>
    <mergeCell ref="O2422:O2424"/>
    <mergeCell ref="Q2422:Q2424"/>
    <mergeCell ref="A2425:A2427"/>
    <mergeCell ref="B2425:B2427"/>
    <mergeCell ref="D2425:D2427"/>
    <mergeCell ref="E2425:E2427"/>
    <mergeCell ref="F2425:F2427"/>
    <mergeCell ref="G2425:G2427"/>
    <mergeCell ref="H2425:H2427"/>
    <mergeCell ref="H2422:H2424"/>
    <mergeCell ref="I2422:I2424"/>
    <mergeCell ref="J2422:J2424"/>
    <mergeCell ref="K2422:K2424"/>
    <mergeCell ref="L2422:L2424"/>
    <mergeCell ref="M2422:M2424"/>
    <mergeCell ref="A2422:A2424"/>
    <mergeCell ref="B2422:B2424"/>
    <mergeCell ref="D2422:D2424"/>
    <mergeCell ref="E2422:E2424"/>
    <mergeCell ref="F2422:F2424"/>
    <mergeCell ref="G2422:G2424"/>
    <mergeCell ref="K2419:K2421"/>
    <mergeCell ref="L2419:L2421"/>
    <mergeCell ref="M2419:M2421"/>
    <mergeCell ref="N2419:N2421"/>
    <mergeCell ref="O2419:O2421"/>
    <mergeCell ref="Q2419:Q2421"/>
    <mergeCell ref="Q2416:Q2418"/>
    <mergeCell ref="A2419:A2421"/>
    <mergeCell ref="B2419:B2421"/>
    <mergeCell ref="D2419:D2421"/>
    <mergeCell ref="E2419:E2421"/>
    <mergeCell ref="F2419:F2421"/>
    <mergeCell ref="G2419:G2421"/>
    <mergeCell ref="H2419:H2421"/>
    <mergeCell ref="I2419:I2421"/>
    <mergeCell ref="J2419:J2421"/>
    <mergeCell ref="J2416:J2418"/>
    <mergeCell ref="K2416:K2418"/>
    <mergeCell ref="L2416:L2418"/>
    <mergeCell ref="M2416:M2418"/>
    <mergeCell ref="N2416:N2418"/>
    <mergeCell ref="O2416:O2418"/>
    <mergeCell ref="O2413:O2415"/>
    <mergeCell ref="Q2413:Q2415"/>
    <mergeCell ref="A2416:A2418"/>
    <mergeCell ref="B2416:B2418"/>
    <mergeCell ref="D2416:D2418"/>
    <mergeCell ref="E2416:E2418"/>
    <mergeCell ref="F2416:F2418"/>
    <mergeCell ref="G2416:G2418"/>
    <mergeCell ref="H2416:H2418"/>
    <mergeCell ref="I2416:I2418"/>
    <mergeCell ref="I2413:I2415"/>
    <mergeCell ref="J2413:J2415"/>
    <mergeCell ref="K2413:K2415"/>
    <mergeCell ref="L2413:L2415"/>
    <mergeCell ref="M2413:M2415"/>
    <mergeCell ref="N2413:N2415"/>
    <mergeCell ref="N2410:N2412"/>
    <mergeCell ref="O2410:O2412"/>
    <mergeCell ref="Q2410:Q2412"/>
    <mergeCell ref="A2413:A2415"/>
    <mergeCell ref="B2413:B2415"/>
    <mergeCell ref="D2413:D2415"/>
    <mergeCell ref="E2413:E2415"/>
    <mergeCell ref="F2413:F2415"/>
    <mergeCell ref="G2413:G2415"/>
    <mergeCell ref="H2413:H2415"/>
    <mergeCell ref="H2410:H2412"/>
    <mergeCell ref="I2410:I2412"/>
    <mergeCell ref="J2410:J2412"/>
    <mergeCell ref="K2410:K2412"/>
    <mergeCell ref="L2410:L2412"/>
    <mergeCell ref="M2410:M2412"/>
    <mergeCell ref="A2410:A2412"/>
    <mergeCell ref="B2410:B2412"/>
    <mergeCell ref="D2410:D2412"/>
    <mergeCell ref="E2410:E2412"/>
    <mergeCell ref="F2410:F2412"/>
    <mergeCell ref="G2410:G2412"/>
    <mergeCell ref="K2407:K2409"/>
    <mergeCell ref="L2407:L2409"/>
    <mergeCell ref="M2407:M2409"/>
    <mergeCell ref="N2407:N2409"/>
    <mergeCell ref="O2407:O2409"/>
    <mergeCell ref="Q2407:Q2409"/>
    <mergeCell ref="Q2404:Q2406"/>
    <mergeCell ref="A2407:A2409"/>
    <mergeCell ref="B2407:B2409"/>
    <mergeCell ref="D2407:D2409"/>
    <mergeCell ref="E2407:E2409"/>
    <mergeCell ref="F2407:F2409"/>
    <mergeCell ref="G2407:G2409"/>
    <mergeCell ref="H2407:H2409"/>
    <mergeCell ref="I2407:I2409"/>
    <mergeCell ref="J2407:J2409"/>
    <mergeCell ref="J2404:J2406"/>
    <mergeCell ref="K2404:K2406"/>
    <mergeCell ref="L2404:L2406"/>
    <mergeCell ref="M2404:M2406"/>
    <mergeCell ref="N2404:N2406"/>
    <mergeCell ref="O2404:O2406"/>
    <mergeCell ref="O2401:O2403"/>
    <mergeCell ref="Q2401:Q2403"/>
    <mergeCell ref="A2404:A2406"/>
    <mergeCell ref="B2404:B2406"/>
    <mergeCell ref="D2404:D2406"/>
    <mergeCell ref="E2404:E2406"/>
    <mergeCell ref="F2404:F2406"/>
    <mergeCell ref="G2404:G2406"/>
    <mergeCell ref="H2404:H2406"/>
    <mergeCell ref="I2404:I2406"/>
    <mergeCell ref="I2401:I2403"/>
    <mergeCell ref="J2401:J2403"/>
    <mergeCell ref="K2401:K2403"/>
    <mergeCell ref="L2401:L2403"/>
    <mergeCell ref="M2401:M2403"/>
    <mergeCell ref="N2401:N2403"/>
    <mergeCell ref="N2398:N2400"/>
    <mergeCell ref="O2398:O2400"/>
    <mergeCell ref="Q2398:Q2400"/>
    <mergeCell ref="A2401:A2403"/>
    <mergeCell ref="B2401:B2403"/>
    <mergeCell ref="D2401:D2403"/>
    <mergeCell ref="E2401:E2403"/>
    <mergeCell ref="F2401:F2403"/>
    <mergeCell ref="G2401:G2403"/>
    <mergeCell ref="H2401:H2403"/>
    <mergeCell ref="H2398:H2400"/>
    <mergeCell ref="I2398:I2400"/>
    <mergeCell ref="J2398:J2400"/>
    <mergeCell ref="K2398:K2400"/>
    <mergeCell ref="L2398:L2400"/>
    <mergeCell ref="M2398:M2400"/>
    <mergeCell ref="A2398:A2400"/>
    <mergeCell ref="B2398:B2400"/>
    <mergeCell ref="D2398:D2400"/>
    <mergeCell ref="E2398:E2400"/>
    <mergeCell ref="F2398:F2400"/>
    <mergeCell ref="G2398:G2400"/>
    <mergeCell ref="K2395:K2397"/>
    <mergeCell ref="L2395:L2397"/>
    <mergeCell ref="M2395:M2397"/>
    <mergeCell ref="N2395:N2397"/>
    <mergeCell ref="O2395:O2397"/>
    <mergeCell ref="Q2395:Q2397"/>
    <mergeCell ref="Q2392:Q2394"/>
    <mergeCell ref="A2395:A2397"/>
    <mergeCell ref="B2395:B2397"/>
    <mergeCell ref="D2395:D2397"/>
    <mergeCell ref="E2395:E2397"/>
    <mergeCell ref="F2395:F2397"/>
    <mergeCell ref="G2395:G2397"/>
    <mergeCell ref="H2395:H2397"/>
    <mergeCell ref="I2395:I2397"/>
    <mergeCell ref="J2395:J2397"/>
    <mergeCell ref="J2392:J2394"/>
    <mergeCell ref="K2392:K2394"/>
    <mergeCell ref="L2392:L2394"/>
    <mergeCell ref="M2392:M2394"/>
    <mergeCell ref="N2392:N2394"/>
    <mergeCell ref="O2392:O2394"/>
    <mergeCell ref="O2389:O2391"/>
    <mergeCell ref="Q2389:Q2391"/>
    <mergeCell ref="A2392:A2394"/>
    <mergeCell ref="B2392:B2394"/>
    <mergeCell ref="D2392:D2394"/>
    <mergeCell ref="E2392:E2394"/>
    <mergeCell ref="F2392:F2394"/>
    <mergeCell ref="G2392:G2394"/>
    <mergeCell ref="H2392:H2394"/>
    <mergeCell ref="I2392:I2394"/>
    <mergeCell ref="I2389:I2391"/>
    <mergeCell ref="J2389:J2391"/>
    <mergeCell ref="K2389:K2391"/>
    <mergeCell ref="L2389:L2391"/>
    <mergeCell ref="M2389:M2391"/>
    <mergeCell ref="N2389:N2391"/>
    <mergeCell ref="N2386:N2388"/>
    <mergeCell ref="O2386:O2388"/>
    <mergeCell ref="Q2386:Q2388"/>
    <mergeCell ref="A2389:A2391"/>
    <mergeCell ref="B2389:B2391"/>
    <mergeCell ref="D2389:D2391"/>
    <mergeCell ref="E2389:E2391"/>
    <mergeCell ref="F2389:F2391"/>
    <mergeCell ref="G2389:G2391"/>
    <mergeCell ref="H2389:H2391"/>
    <mergeCell ref="H2386:H2388"/>
    <mergeCell ref="I2386:I2388"/>
    <mergeCell ref="J2386:J2388"/>
    <mergeCell ref="K2386:K2388"/>
    <mergeCell ref="L2386:L2388"/>
    <mergeCell ref="M2386:M2388"/>
    <mergeCell ref="A2386:A2388"/>
    <mergeCell ref="B2386:B2388"/>
    <mergeCell ref="D2386:D2388"/>
    <mergeCell ref="E2386:E2388"/>
    <mergeCell ref="F2386:F2388"/>
    <mergeCell ref="G2386:G2388"/>
    <mergeCell ref="K2383:K2385"/>
    <mergeCell ref="L2383:L2385"/>
    <mergeCell ref="M2383:M2385"/>
    <mergeCell ref="N2383:N2385"/>
    <mergeCell ref="O2383:O2385"/>
    <mergeCell ref="Q2383:Q2385"/>
    <mergeCell ref="Q2380:Q2382"/>
    <mergeCell ref="A2383:A2385"/>
    <mergeCell ref="B2383:B2385"/>
    <mergeCell ref="D2383:D2385"/>
    <mergeCell ref="E2383:E2385"/>
    <mergeCell ref="F2383:F2385"/>
    <mergeCell ref="G2383:G2385"/>
    <mergeCell ref="H2383:H2385"/>
    <mergeCell ref="I2383:I2385"/>
    <mergeCell ref="J2383:J2385"/>
    <mergeCell ref="J2380:J2382"/>
    <mergeCell ref="K2380:K2382"/>
    <mergeCell ref="L2380:L2382"/>
    <mergeCell ref="M2380:M2382"/>
    <mergeCell ref="N2380:N2382"/>
    <mergeCell ref="O2380:O2382"/>
    <mergeCell ref="O2377:O2379"/>
    <mergeCell ref="Q2377:Q2379"/>
    <mergeCell ref="A2380:A2382"/>
    <mergeCell ref="B2380:B2382"/>
    <mergeCell ref="D2380:D2382"/>
    <mergeCell ref="E2380:E2382"/>
    <mergeCell ref="F2380:F2382"/>
    <mergeCell ref="G2380:G2382"/>
    <mergeCell ref="H2380:H2382"/>
    <mergeCell ref="I2380:I2382"/>
    <mergeCell ref="I2377:I2379"/>
    <mergeCell ref="J2377:J2379"/>
    <mergeCell ref="K2377:K2379"/>
    <mergeCell ref="L2377:L2379"/>
    <mergeCell ref="M2377:M2379"/>
    <mergeCell ref="N2377:N2379"/>
    <mergeCell ref="N2374:N2376"/>
    <mergeCell ref="O2374:O2376"/>
    <mergeCell ref="Q2374:Q2376"/>
    <mergeCell ref="A2377:A2379"/>
    <mergeCell ref="B2377:B2379"/>
    <mergeCell ref="D2377:D2379"/>
    <mergeCell ref="E2377:E2379"/>
    <mergeCell ref="F2377:F2379"/>
    <mergeCell ref="G2377:G2379"/>
    <mergeCell ref="H2377:H2379"/>
    <mergeCell ref="H2374:H2376"/>
    <mergeCell ref="I2374:I2376"/>
    <mergeCell ref="J2374:J2376"/>
    <mergeCell ref="K2374:K2376"/>
    <mergeCell ref="L2374:L2376"/>
    <mergeCell ref="M2374:M2376"/>
    <mergeCell ref="A2374:A2376"/>
    <mergeCell ref="B2374:B2376"/>
    <mergeCell ref="D2374:D2376"/>
    <mergeCell ref="E2374:E2376"/>
    <mergeCell ref="F2374:F2376"/>
    <mergeCell ref="G2374:G2376"/>
    <mergeCell ref="K2371:K2373"/>
    <mergeCell ref="L2371:L2373"/>
    <mergeCell ref="M2371:M2373"/>
    <mergeCell ref="N2371:N2373"/>
    <mergeCell ref="O2371:O2373"/>
    <mergeCell ref="Q2371:Q2373"/>
    <mergeCell ref="Q2368:Q2370"/>
    <mergeCell ref="A2371:A2373"/>
    <mergeCell ref="B2371:B2373"/>
    <mergeCell ref="D2371:D2373"/>
    <mergeCell ref="E2371:E2373"/>
    <mergeCell ref="F2371:F2373"/>
    <mergeCell ref="G2371:G2373"/>
    <mergeCell ref="H2371:H2373"/>
    <mergeCell ref="I2371:I2373"/>
    <mergeCell ref="J2371:J2373"/>
    <mergeCell ref="J2368:J2370"/>
    <mergeCell ref="K2368:K2370"/>
    <mergeCell ref="L2368:L2370"/>
    <mergeCell ref="M2368:M2370"/>
    <mergeCell ref="N2368:N2370"/>
    <mergeCell ref="O2368:O2370"/>
    <mergeCell ref="O2365:O2367"/>
    <mergeCell ref="Q2365:Q2367"/>
    <mergeCell ref="A2368:A2370"/>
    <mergeCell ref="B2368:B2370"/>
    <mergeCell ref="D2368:D2370"/>
    <mergeCell ref="E2368:E2370"/>
    <mergeCell ref="F2368:F2370"/>
    <mergeCell ref="G2368:G2370"/>
    <mergeCell ref="H2368:H2370"/>
    <mergeCell ref="I2368:I2370"/>
    <mergeCell ref="I2365:I2367"/>
    <mergeCell ref="J2365:J2367"/>
    <mergeCell ref="K2365:K2367"/>
    <mergeCell ref="L2365:L2367"/>
    <mergeCell ref="M2365:M2367"/>
    <mergeCell ref="N2365:N2367"/>
    <mergeCell ref="N2362:N2364"/>
    <mergeCell ref="O2362:O2364"/>
    <mergeCell ref="Q2362:Q2364"/>
    <mergeCell ref="A2365:A2367"/>
    <mergeCell ref="B2365:B2367"/>
    <mergeCell ref="D2365:D2367"/>
    <mergeCell ref="E2365:E2367"/>
    <mergeCell ref="F2365:F2367"/>
    <mergeCell ref="G2365:G2367"/>
    <mergeCell ref="H2365:H2367"/>
    <mergeCell ref="H2362:H2364"/>
    <mergeCell ref="I2362:I2364"/>
    <mergeCell ref="J2362:J2364"/>
    <mergeCell ref="K2362:K2364"/>
    <mergeCell ref="L2362:L2364"/>
    <mergeCell ref="M2362:M2364"/>
    <mergeCell ref="A2362:A2364"/>
    <mergeCell ref="B2362:B2364"/>
    <mergeCell ref="D2362:D2364"/>
    <mergeCell ref="E2362:E2364"/>
    <mergeCell ref="F2362:F2364"/>
    <mergeCell ref="G2362:G2364"/>
    <mergeCell ref="K2359:K2361"/>
    <mergeCell ref="L2359:L2361"/>
    <mergeCell ref="M2359:M2361"/>
    <mergeCell ref="N2359:N2361"/>
    <mergeCell ref="O2359:O2361"/>
    <mergeCell ref="Q2359:Q2361"/>
    <mergeCell ref="Q2356:Q2358"/>
    <mergeCell ref="A2359:A2361"/>
    <mergeCell ref="B2359:B2361"/>
    <mergeCell ref="D2359:D2361"/>
    <mergeCell ref="E2359:E2361"/>
    <mergeCell ref="F2359:F2361"/>
    <mergeCell ref="G2359:G2361"/>
    <mergeCell ref="H2359:H2361"/>
    <mergeCell ref="I2359:I2361"/>
    <mergeCell ref="J2359:J2361"/>
    <mergeCell ref="J2356:J2358"/>
    <mergeCell ref="K2356:K2358"/>
    <mergeCell ref="L2356:L2358"/>
    <mergeCell ref="M2356:M2358"/>
    <mergeCell ref="N2356:N2358"/>
    <mergeCell ref="O2356:O2358"/>
    <mergeCell ref="O2353:O2355"/>
    <mergeCell ref="Q2353:Q2355"/>
    <mergeCell ref="A2356:A2358"/>
    <mergeCell ref="B2356:B2358"/>
    <mergeCell ref="D2356:D2358"/>
    <mergeCell ref="E2356:E2358"/>
    <mergeCell ref="F2356:F2358"/>
    <mergeCell ref="G2356:G2358"/>
    <mergeCell ref="H2356:H2358"/>
    <mergeCell ref="I2356:I2358"/>
    <mergeCell ref="I2353:I2355"/>
    <mergeCell ref="J2353:J2355"/>
    <mergeCell ref="K2353:K2355"/>
    <mergeCell ref="L2353:L2355"/>
    <mergeCell ref="M2353:M2355"/>
    <mergeCell ref="N2353:N2355"/>
    <mergeCell ref="N2350:N2352"/>
    <mergeCell ref="O2350:O2352"/>
    <mergeCell ref="Q2350:Q2352"/>
    <mergeCell ref="A2353:A2355"/>
    <mergeCell ref="B2353:B2355"/>
    <mergeCell ref="D2353:D2355"/>
    <mergeCell ref="E2353:E2355"/>
    <mergeCell ref="F2353:F2355"/>
    <mergeCell ref="G2353:G2355"/>
    <mergeCell ref="H2353:H2355"/>
    <mergeCell ref="H2350:H2352"/>
    <mergeCell ref="I2350:I2352"/>
    <mergeCell ref="J2350:J2352"/>
    <mergeCell ref="K2350:K2352"/>
    <mergeCell ref="L2350:L2352"/>
    <mergeCell ref="M2350:M2352"/>
    <mergeCell ref="A2350:A2352"/>
    <mergeCell ref="B2350:B2352"/>
    <mergeCell ref="D2350:D2352"/>
    <mergeCell ref="E2350:E2352"/>
    <mergeCell ref="F2350:F2352"/>
    <mergeCell ref="G2350:G2352"/>
    <mergeCell ref="K2347:K2349"/>
    <mergeCell ref="L2347:L2349"/>
    <mergeCell ref="M2347:M2349"/>
    <mergeCell ref="N2347:N2349"/>
    <mergeCell ref="O2347:O2349"/>
    <mergeCell ref="Q2347:Q2349"/>
    <mergeCell ref="Q2344:Q2346"/>
    <mergeCell ref="A2347:A2349"/>
    <mergeCell ref="B2347:B2349"/>
    <mergeCell ref="D2347:D2349"/>
    <mergeCell ref="E2347:E2349"/>
    <mergeCell ref="F2347:F2349"/>
    <mergeCell ref="G2347:G2349"/>
    <mergeCell ref="H2347:H2349"/>
    <mergeCell ref="I2347:I2349"/>
    <mergeCell ref="J2347:J2349"/>
    <mergeCell ref="J2344:J2346"/>
    <mergeCell ref="K2344:K2346"/>
    <mergeCell ref="L2344:L2346"/>
    <mergeCell ref="M2344:M2346"/>
    <mergeCell ref="N2344:N2346"/>
    <mergeCell ref="O2344:O2346"/>
    <mergeCell ref="O2341:O2343"/>
    <mergeCell ref="Q2341:Q2343"/>
    <mergeCell ref="A2344:A2346"/>
    <mergeCell ref="B2344:B2346"/>
    <mergeCell ref="D2344:D2346"/>
    <mergeCell ref="E2344:E2346"/>
    <mergeCell ref="F2344:F2346"/>
    <mergeCell ref="G2344:G2346"/>
    <mergeCell ref="H2344:H2346"/>
    <mergeCell ref="I2344:I2346"/>
    <mergeCell ref="I2341:I2343"/>
    <mergeCell ref="J2341:J2343"/>
    <mergeCell ref="K2341:K2343"/>
    <mergeCell ref="L2341:L2343"/>
    <mergeCell ref="M2341:M2343"/>
    <mergeCell ref="N2341:N2343"/>
    <mergeCell ref="N2338:N2340"/>
    <mergeCell ref="O2338:O2340"/>
    <mergeCell ref="Q2338:Q2340"/>
    <mergeCell ref="A2341:A2343"/>
    <mergeCell ref="B2341:B2343"/>
    <mergeCell ref="D2341:D2343"/>
    <mergeCell ref="E2341:E2343"/>
    <mergeCell ref="F2341:F2343"/>
    <mergeCell ref="G2341:G2343"/>
    <mergeCell ref="H2341:H2343"/>
    <mergeCell ref="H2338:H2340"/>
    <mergeCell ref="I2338:I2340"/>
    <mergeCell ref="J2338:J2340"/>
    <mergeCell ref="K2338:K2340"/>
    <mergeCell ref="L2338:L2340"/>
    <mergeCell ref="M2338:M2340"/>
    <mergeCell ref="A2338:A2340"/>
    <mergeCell ref="B2338:B2340"/>
    <mergeCell ref="D2338:D2340"/>
    <mergeCell ref="E2338:E2340"/>
    <mergeCell ref="F2338:F2340"/>
    <mergeCell ref="G2338:G2340"/>
    <mergeCell ref="K2335:K2337"/>
    <mergeCell ref="L2335:L2337"/>
    <mergeCell ref="M2335:M2337"/>
    <mergeCell ref="N2335:N2337"/>
    <mergeCell ref="O2335:O2337"/>
    <mergeCell ref="Q2335:Q2337"/>
    <mergeCell ref="Q2332:Q2334"/>
    <mergeCell ref="A2335:A2337"/>
    <mergeCell ref="B2335:B2337"/>
    <mergeCell ref="D2335:D2337"/>
    <mergeCell ref="E2335:E2337"/>
    <mergeCell ref="F2335:F2337"/>
    <mergeCell ref="G2335:G2337"/>
    <mergeCell ref="H2335:H2337"/>
    <mergeCell ref="I2335:I2337"/>
    <mergeCell ref="J2335:J2337"/>
    <mergeCell ref="J2332:J2334"/>
    <mergeCell ref="K2332:K2334"/>
    <mergeCell ref="L2332:L2334"/>
    <mergeCell ref="M2332:M2334"/>
    <mergeCell ref="N2332:N2334"/>
    <mergeCell ref="O2332:O2334"/>
    <mergeCell ref="O2329:O2331"/>
    <mergeCell ref="Q2329:Q2331"/>
    <mergeCell ref="A2332:A2334"/>
    <mergeCell ref="B2332:B2334"/>
    <mergeCell ref="D2332:D2334"/>
    <mergeCell ref="E2332:E2334"/>
    <mergeCell ref="F2332:F2334"/>
    <mergeCell ref="G2332:G2334"/>
    <mergeCell ref="H2332:H2334"/>
    <mergeCell ref="I2332:I2334"/>
    <mergeCell ref="I2329:I2331"/>
    <mergeCell ref="J2329:J2331"/>
    <mergeCell ref="K2329:K2331"/>
    <mergeCell ref="L2329:L2331"/>
    <mergeCell ref="M2329:M2331"/>
    <mergeCell ref="N2329:N2331"/>
    <mergeCell ref="N2326:N2328"/>
    <mergeCell ref="O2326:O2328"/>
    <mergeCell ref="Q2326:Q2328"/>
    <mergeCell ref="A2329:A2331"/>
    <mergeCell ref="B2329:B2331"/>
    <mergeCell ref="D2329:D2331"/>
    <mergeCell ref="E2329:E2331"/>
    <mergeCell ref="F2329:F2331"/>
    <mergeCell ref="G2329:G2331"/>
    <mergeCell ref="H2329:H2331"/>
    <mergeCell ref="H2326:H2328"/>
    <mergeCell ref="I2326:I2328"/>
    <mergeCell ref="J2326:J2328"/>
    <mergeCell ref="K2326:K2328"/>
    <mergeCell ref="L2326:L2328"/>
    <mergeCell ref="M2326:M2328"/>
    <mergeCell ref="A2326:A2328"/>
    <mergeCell ref="B2326:B2328"/>
    <mergeCell ref="D2326:D2328"/>
    <mergeCell ref="E2326:E2328"/>
    <mergeCell ref="F2326:F2328"/>
    <mergeCell ref="G2326:G2328"/>
    <mergeCell ref="K2323:K2325"/>
    <mergeCell ref="L2323:L2325"/>
    <mergeCell ref="M2323:M2325"/>
    <mergeCell ref="N2323:N2325"/>
    <mergeCell ref="O2323:O2325"/>
    <mergeCell ref="Q2323:Q2325"/>
    <mergeCell ref="Q2320:Q2322"/>
    <mergeCell ref="A2323:A2325"/>
    <mergeCell ref="B2323:B2325"/>
    <mergeCell ref="D2323:D2325"/>
    <mergeCell ref="E2323:E2325"/>
    <mergeCell ref="F2323:F2325"/>
    <mergeCell ref="G2323:G2325"/>
    <mergeCell ref="H2323:H2325"/>
    <mergeCell ref="I2323:I2325"/>
    <mergeCell ref="J2323:J2325"/>
    <mergeCell ref="J2320:J2322"/>
    <mergeCell ref="K2320:K2322"/>
    <mergeCell ref="L2320:L2322"/>
    <mergeCell ref="M2320:M2322"/>
    <mergeCell ref="N2320:N2322"/>
    <mergeCell ref="O2320:O2322"/>
    <mergeCell ref="O2317:O2319"/>
    <mergeCell ref="Q2317:Q2319"/>
    <mergeCell ref="A2320:A2322"/>
    <mergeCell ref="B2320:B2322"/>
    <mergeCell ref="D2320:D2322"/>
    <mergeCell ref="E2320:E2322"/>
    <mergeCell ref="F2320:F2322"/>
    <mergeCell ref="G2320:G2322"/>
    <mergeCell ref="H2320:H2322"/>
    <mergeCell ref="I2320:I2322"/>
    <mergeCell ref="I2317:I2319"/>
    <mergeCell ref="J2317:J2319"/>
    <mergeCell ref="K2317:K2319"/>
    <mergeCell ref="L2317:L2319"/>
    <mergeCell ref="M2317:M2319"/>
    <mergeCell ref="N2317:N2319"/>
    <mergeCell ref="N2314:N2316"/>
    <mergeCell ref="O2314:O2316"/>
    <mergeCell ref="Q2314:Q2316"/>
    <mergeCell ref="A2317:A2319"/>
    <mergeCell ref="B2317:B2319"/>
    <mergeCell ref="D2317:D2319"/>
    <mergeCell ref="E2317:E2319"/>
    <mergeCell ref="F2317:F2319"/>
    <mergeCell ref="G2317:G2319"/>
    <mergeCell ref="H2317:H2319"/>
    <mergeCell ref="H2314:H2316"/>
    <mergeCell ref="I2314:I2316"/>
    <mergeCell ref="J2314:J2316"/>
    <mergeCell ref="K2314:K2316"/>
    <mergeCell ref="L2314:L2316"/>
    <mergeCell ref="M2314:M2316"/>
    <mergeCell ref="A2314:A2316"/>
    <mergeCell ref="B2314:B2316"/>
    <mergeCell ref="D2314:D2316"/>
    <mergeCell ref="E2314:E2316"/>
    <mergeCell ref="F2314:F2316"/>
    <mergeCell ref="G2314:G2316"/>
    <mergeCell ref="K2311:K2313"/>
    <mergeCell ref="L2311:L2313"/>
    <mergeCell ref="M2311:M2313"/>
    <mergeCell ref="N2311:N2313"/>
    <mergeCell ref="O2311:O2313"/>
    <mergeCell ref="Q2311:Q2313"/>
    <mergeCell ref="Q2308:Q2310"/>
    <mergeCell ref="A2311:A2313"/>
    <mergeCell ref="B2311:B2313"/>
    <mergeCell ref="D2311:D2313"/>
    <mergeCell ref="E2311:E2313"/>
    <mergeCell ref="F2311:F2313"/>
    <mergeCell ref="G2311:G2313"/>
    <mergeCell ref="H2311:H2313"/>
    <mergeCell ref="I2311:I2313"/>
    <mergeCell ref="J2311:J2313"/>
    <mergeCell ref="J2308:J2310"/>
    <mergeCell ref="K2308:K2310"/>
    <mergeCell ref="L2308:L2310"/>
    <mergeCell ref="M2308:M2310"/>
    <mergeCell ref="N2308:N2310"/>
    <mergeCell ref="O2308:O2310"/>
    <mergeCell ref="O2305:O2307"/>
    <mergeCell ref="Q2305:Q2307"/>
    <mergeCell ref="A2308:A2310"/>
    <mergeCell ref="B2308:B2310"/>
    <mergeCell ref="D2308:D2310"/>
    <mergeCell ref="E2308:E2310"/>
    <mergeCell ref="F2308:F2310"/>
    <mergeCell ref="G2308:G2310"/>
    <mergeCell ref="H2308:H2310"/>
    <mergeCell ref="I2308:I2310"/>
    <mergeCell ref="I2305:I2307"/>
    <mergeCell ref="J2305:J2307"/>
    <mergeCell ref="K2305:K2307"/>
    <mergeCell ref="L2305:L2307"/>
    <mergeCell ref="M2305:M2307"/>
    <mergeCell ref="N2305:N2307"/>
    <mergeCell ref="N2302:N2304"/>
    <mergeCell ref="O2302:O2304"/>
    <mergeCell ref="Q2302:Q2304"/>
    <mergeCell ref="A2305:A2307"/>
    <mergeCell ref="B2305:B2307"/>
    <mergeCell ref="D2305:D2307"/>
    <mergeCell ref="E2305:E2307"/>
    <mergeCell ref="F2305:F2307"/>
    <mergeCell ref="G2305:G2307"/>
    <mergeCell ref="H2305:H2307"/>
    <mergeCell ref="H2302:H2304"/>
    <mergeCell ref="I2302:I2304"/>
    <mergeCell ref="J2302:J2304"/>
    <mergeCell ref="K2302:K2304"/>
    <mergeCell ref="L2302:L2304"/>
    <mergeCell ref="M2302:M2304"/>
    <mergeCell ref="A2302:A2304"/>
    <mergeCell ref="B2302:B2304"/>
    <mergeCell ref="D2302:D2304"/>
    <mergeCell ref="E2302:E2304"/>
    <mergeCell ref="F2302:F2304"/>
    <mergeCell ref="G2302:G2304"/>
    <mergeCell ref="K2299:K2301"/>
    <mergeCell ref="L2299:L2301"/>
    <mergeCell ref="M2299:M2301"/>
    <mergeCell ref="N2299:N2301"/>
    <mergeCell ref="O2299:O2301"/>
    <mergeCell ref="Q2299:Q2301"/>
    <mergeCell ref="Q2296:Q2298"/>
    <mergeCell ref="A2299:A2301"/>
    <mergeCell ref="B2299:B2301"/>
    <mergeCell ref="D2299:D2301"/>
    <mergeCell ref="E2299:E2301"/>
    <mergeCell ref="F2299:F2301"/>
    <mergeCell ref="G2299:G2301"/>
    <mergeCell ref="H2299:H2301"/>
    <mergeCell ref="I2299:I2301"/>
    <mergeCell ref="J2299:J2301"/>
    <mergeCell ref="J2296:J2298"/>
    <mergeCell ref="K2296:K2298"/>
    <mergeCell ref="L2296:L2298"/>
    <mergeCell ref="M2296:M2298"/>
    <mergeCell ref="N2296:N2298"/>
    <mergeCell ref="O2296:O2298"/>
    <mergeCell ref="O2293:O2295"/>
    <mergeCell ref="Q2293:Q2295"/>
    <mergeCell ref="A2296:A2298"/>
    <mergeCell ref="B2296:B2298"/>
    <mergeCell ref="D2296:D2298"/>
    <mergeCell ref="E2296:E2298"/>
    <mergeCell ref="F2296:F2298"/>
    <mergeCell ref="G2296:G2298"/>
    <mergeCell ref="H2296:H2298"/>
    <mergeCell ref="I2296:I2298"/>
    <mergeCell ref="I2293:I2295"/>
    <mergeCell ref="J2293:J2295"/>
    <mergeCell ref="K2293:K2295"/>
    <mergeCell ref="L2293:L2295"/>
    <mergeCell ref="M2293:M2295"/>
    <mergeCell ref="N2293:N2295"/>
    <mergeCell ref="N2290:N2292"/>
    <mergeCell ref="O2290:O2292"/>
    <mergeCell ref="Q2290:Q2292"/>
    <mergeCell ref="A2293:A2295"/>
    <mergeCell ref="B2293:B2295"/>
    <mergeCell ref="D2293:D2295"/>
    <mergeCell ref="E2293:E2295"/>
    <mergeCell ref="F2293:F2295"/>
    <mergeCell ref="G2293:G2295"/>
    <mergeCell ref="H2293:H2295"/>
    <mergeCell ref="H2290:H2292"/>
    <mergeCell ref="I2290:I2292"/>
    <mergeCell ref="J2290:J2292"/>
    <mergeCell ref="K2290:K2292"/>
    <mergeCell ref="L2290:L2292"/>
    <mergeCell ref="M2290:M2292"/>
    <mergeCell ref="A2290:A2292"/>
    <mergeCell ref="B2290:B2292"/>
    <mergeCell ref="D2290:D2292"/>
    <mergeCell ref="E2290:E2292"/>
    <mergeCell ref="F2290:F2292"/>
    <mergeCell ref="G2290:G2292"/>
    <mergeCell ref="K2287:K2289"/>
    <mergeCell ref="L2287:L2289"/>
    <mergeCell ref="M2287:M2289"/>
    <mergeCell ref="N2287:N2289"/>
    <mergeCell ref="O2287:O2289"/>
    <mergeCell ref="Q2287:Q2289"/>
    <mergeCell ref="Q2284:Q2286"/>
    <mergeCell ref="A2287:A2289"/>
    <mergeCell ref="B2287:B2289"/>
    <mergeCell ref="D2287:D2289"/>
    <mergeCell ref="E2287:E2289"/>
    <mergeCell ref="F2287:F2289"/>
    <mergeCell ref="G2287:G2289"/>
    <mergeCell ref="H2287:H2289"/>
    <mergeCell ref="I2287:I2289"/>
    <mergeCell ref="J2287:J2289"/>
    <mergeCell ref="J2284:J2286"/>
    <mergeCell ref="K2284:K2286"/>
    <mergeCell ref="L2284:L2286"/>
    <mergeCell ref="M2284:M2286"/>
    <mergeCell ref="N2284:N2286"/>
    <mergeCell ref="O2284:O2286"/>
    <mergeCell ref="O2281:O2283"/>
    <mergeCell ref="Q2281:Q2283"/>
    <mergeCell ref="A2284:A2286"/>
    <mergeCell ref="B2284:B2286"/>
    <mergeCell ref="D2284:D2286"/>
    <mergeCell ref="E2284:E2286"/>
    <mergeCell ref="F2284:F2286"/>
    <mergeCell ref="G2284:G2286"/>
    <mergeCell ref="H2284:H2286"/>
    <mergeCell ref="I2284:I2286"/>
    <mergeCell ref="I2281:I2283"/>
    <mergeCell ref="J2281:J2283"/>
    <mergeCell ref="K2281:K2283"/>
    <mergeCell ref="L2281:L2283"/>
    <mergeCell ref="M2281:M2283"/>
    <mergeCell ref="N2281:N2283"/>
    <mergeCell ref="N2278:N2280"/>
    <mergeCell ref="O2278:O2280"/>
    <mergeCell ref="Q2278:Q2280"/>
    <mergeCell ref="A2281:A2283"/>
    <mergeCell ref="B2281:B2283"/>
    <mergeCell ref="D2281:D2283"/>
    <mergeCell ref="E2281:E2283"/>
    <mergeCell ref="F2281:F2283"/>
    <mergeCell ref="G2281:G2283"/>
    <mergeCell ref="H2281:H2283"/>
    <mergeCell ref="H2278:H2280"/>
    <mergeCell ref="I2278:I2280"/>
    <mergeCell ref="J2278:J2280"/>
    <mergeCell ref="K2278:K2280"/>
    <mergeCell ref="L2278:L2280"/>
    <mergeCell ref="M2278:M2280"/>
    <mergeCell ref="A2278:A2280"/>
    <mergeCell ref="B2278:B2280"/>
    <mergeCell ref="D2278:D2280"/>
    <mergeCell ref="E2278:E2280"/>
    <mergeCell ref="F2278:F2280"/>
    <mergeCell ref="G2278:G2280"/>
    <mergeCell ref="K2275:K2277"/>
    <mergeCell ref="L2275:L2277"/>
    <mergeCell ref="M2275:M2277"/>
    <mergeCell ref="N2275:N2277"/>
    <mergeCell ref="O2275:O2277"/>
    <mergeCell ref="Q2275:Q2277"/>
    <mergeCell ref="Q2272:Q2274"/>
    <mergeCell ref="A2275:A2277"/>
    <mergeCell ref="B2275:B2277"/>
    <mergeCell ref="D2275:D2277"/>
    <mergeCell ref="E2275:E2277"/>
    <mergeCell ref="F2275:F2277"/>
    <mergeCell ref="G2275:G2277"/>
    <mergeCell ref="H2275:H2277"/>
    <mergeCell ref="I2275:I2277"/>
    <mergeCell ref="J2275:J2277"/>
    <mergeCell ref="J2272:J2274"/>
    <mergeCell ref="K2272:K2274"/>
    <mergeCell ref="L2272:L2274"/>
    <mergeCell ref="M2272:M2274"/>
    <mergeCell ref="N2272:N2274"/>
    <mergeCell ref="O2272:O2274"/>
    <mergeCell ref="O2269:O2271"/>
    <mergeCell ref="Q2269:Q2271"/>
    <mergeCell ref="A2272:A2274"/>
    <mergeCell ref="B2272:B2274"/>
    <mergeCell ref="D2272:D2274"/>
    <mergeCell ref="E2272:E2274"/>
    <mergeCell ref="F2272:F2274"/>
    <mergeCell ref="G2272:G2274"/>
    <mergeCell ref="H2272:H2274"/>
    <mergeCell ref="I2272:I2274"/>
    <mergeCell ref="I2269:I2271"/>
    <mergeCell ref="J2269:J2271"/>
    <mergeCell ref="K2269:K2271"/>
    <mergeCell ref="L2269:L2271"/>
    <mergeCell ref="M2269:M2271"/>
    <mergeCell ref="N2269:N2271"/>
    <mergeCell ref="N2266:N2268"/>
    <mergeCell ref="O2266:O2268"/>
    <mergeCell ref="Q2266:Q2268"/>
    <mergeCell ref="A2269:A2271"/>
    <mergeCell ref="B2269:B2271"/>
    <mergeCell ref="D2269:D2271"/>
    <mergeCell ref="E2269:E2271"/>
    <mergeCell ref="F2269:F2271"/>
    <mergeCell ref="G2269:G2271"/>
    <mergeCell ref="H2269:H2271"/>
    <mergeCell ref="H2266:H2268"/>
    <mergeCell ref="I2266:I2268"/>
    <mergeCell ref="J2266:J2268"/>
    <mergeCell ref="K2266:K2268"/>
    <mergeCell ref="L2266:L2268"/>
    <mergeCell ref="M2266:M2268"/>
    <mergeCell ref="A2266:A2268"/>
    <mergeCell ref="B2266:B2268"/>
    <mergeCell ref="D2266:D2268"/>
    <mergeCell ref="E2266:E2268"/>
    <mergeCell ref="F2266:F2268"/>
    <mergeCell ref="G2266:G2268"/>
    <mergeCell ref="K2263:K2265"/>
    <mergeCell ref="L2263:L2265"/>
    <mergeCell ref="M2263:M2265"/>
    <mergeCell ref="N2263:N2265"/>
    <mergeCell ref="O2263:O2265"/>
    <mergeCell ref="Q2263:Q2265"/>
    <mergeCell ref="Q2260:Q2262"/>
    <mergeCell ref="A2263:A2265"/>
    <mergeCell ref="B2263:B2265"/>
    <mergeCell ref="D2263:D2265"/>
    <mergeCell ref="E2263:E2265"/>
    <mergeCell ref="F2263:F2265"/>
    <mergeCell ref="G2263:G2265"/>
    <mergeCell ref="H2263:H2265"/>
    <mergeCell ref="I2263:I2265"/>
    <mergeCell ref="J2263:J2265"/>
    <mergeCell ref="J2260:J2262"/>
    <mergeCell ref="K2260:K2262"/>
    <mergeCell ref="L2260:L2262"/>
    <mergeCell ref="M2260:M2262"/>
    <mergeCell ref="N2260:N2262"/>
    <mergeCell ref="O2260:O2262"/>
    <mergeCell ref="O2257:O2259"/>
    <mergeCell ref="Q2257:Q2259"/>
    <mergeCell ref="A2260:A2262"/>
    <mergeCell ref="B2260:B2262"/>
    <mergeCell ref="D2260:D2262"/>
    <mergeCell ref="E2260:E2262"/>
    <mergeCell ref="F2260:F2262"/>
    <mergeCell ref="G2260:G2262"/>
    <mergeCell ref="H2260:H2262"/>
    <mergeCell ref="I2260:I2262"/>
    <mergeCell ref="I2257:I2259"/>
    <mergeCell ref="J2257:J2259"/>
    <mergeCell ref="K2257:K2259"/>
    <mergeCell ref="L2257:L2259"/>
    <mergeCell ref="M2257:M2259"/>
    <mergeCell ref="N2257:N2259"/>
    <mergeCell ref="N2254:N2256"/>
    <mergeCell ref="O2254:O2256"/>
    <mergeCell ref="Q2254:Q2256"/>
    <mergeCell ref="A2257:A2259"/>
    <mergeCell ref="B2257:B2259"/>
    <mergeCell ref="D2257:D2259"/>
    <mergeCell ref="E2257:E2259"/>
    <mergeCell ref="F2257:F2259"/>
    <mergeCell ref="G2257:G2259"/>
    <mergeCell ref="H2257:H2259"/>
    <mergeCell ref="H2254:H2256"/>
    <mergeCell ref="I2254:I2256"/>
    <mergeCell ref="J2254:J2256"/>
    <mergeCell ref="K2254:K2256"/>
    <mergeCell ref="L2254:L2256"/>
    <mergeCell ref="M2254:M2256"/>
    <mergeCell ref="A2254:A2256"/>
    <mergeCell ref="B2254:B2256"/>
    <mergeCell ref="D2254:D2256"/>
    <mergeCell ref="E2254:E2256"/>
    <mergeCell ref="F2254:F2256"/>
    <mergeCell ref="G2254:G2256"/>
    <mergeCell ref="K2251:K2253"/>
    <mergeCell ref="L2251:L2253"/>
    <mergeCell ref="M2251:M2253"/>
    <mergeCell ref="N2251:N2253"/>
    <mergeCell ref="O2251:O2253"/>
    <mergeCell ref="Q2251:Q2253"/>
    <mergeCell ref="Q2248:Q2250"/>
    <mergeCell ref="A2251:A2253"/>
    <mergeCell ref="B2251:B2253"/>
    <mergeCell ref="D2251:D2253"/>
    <mergeCell ref="E2251:E2253"/>
    <mergeCell ref="F2251:F2253"/>
    <mergeCell ref="G2251:G2253"/>
    <mergeCell ref="H2251:H2253"/>
    <mergeCell ref="I2251:I2253"/>
    <mergeCell ref="J2251:J2253"/>
    <mergeCell ref="J2248:J2250"/>
    <mergeCell ref="K2248:K2250"/>
    <mergeCell ref="L2248:L2250"/>
    <mergeCell ref="M2248:M2250"/>
    <mergeCell ref="N2248:N2250"/>
    <mergeCell ref="O2248:O2250"/>
    <mergeCell ref="O2245:O2247"/>
    <mergeCell ref="Q2245:Q2247"/>
    <mergeCell ref="A2248:A2250"/>
    <mergeCell ref="B2248:B2250"/>
    <mergeCell ref="D2248:D2250"/>
    <mergeCell ref="E2248:E2250"/>
    <mergeCell ref="F2248:F2250"/>
    <mergeCell ref="G2248:G2250"/>
    <mergeCell ref="H2248:H2250"/>
    <mergeCell ref="I2248:I2250"/>
    <mergeCell ref="I2245:I2247"/>
    <mergeCell ref="J2245:J2247"/>
    <mergeCell ref="K2245:K2247"/>
    <mergeCell ref="L2245:L2247"/>
    <mergeCell ref="M2245:M2247"/>
    <mergeCell ref="N2245:N2247"/>
    <mergeCell ref="N2242:N2244"/>
    <mergeCell ref="O2242:O2244"/>
    <mergeCell ref="Q2242:Q2244"/>
    <mergeCell ref="A2245:A2247"/>
    <mergeCell ref="B2245:B2247"/>
    <mergeCell ref="D2245:D2247"/>
    <mergeCell ref="E2245:E2247"/>
    <mergeCell ref="F2245:F2247"/>
    <mergeCell ref="G2245:G2247"/>
    <mergeCell ref="H2245:H2247"/>
    <mergeCell ref="H2242:H2244"/>
    <mergeCell ref="I2242:I2244"/>
    <mergeCell ref="J2242:J2244"/>
    <mergeCell ref="K2242:K2244"/>
    <mergeCell ref="L2242:L2244"/>
    <mergeCell ref="M2242:M2244"/>
    <mergeCell ref="A2242:A2244"/>
    <mergeCell ref="B2242:B2244"/>
    <mergeCell ref="D2242:D2244"/>
    <mergeCell ref="E2242:E2244"/>
    <mergeCell ref="F2242:F2244"/>
    <mergeCell ref="G2242:G2244"/>
    <mergeCell ref="K2239:K2241"/>
    <mergeCell ref="L2239:L2241"/>
    <mergeCell ref="M2239:M2241"/>
    <mergeCell ref="N2239:N2241"/>
    <mergeCell ref="O2239:O2241"/>
    <mergeCell ref="Q2239:Q2241"/>
    <mergeCell ref="Q2236:Q2238"/>
    <mergeCell ref="A2239:A2241"/>
    <mergeCell ref="B2239:B2241"/>
    <mergeCell ref="D2239:D2241"/>
    <mergeCell ref="E2239:E2241"/>
    <mergeCell ref="F2239:F2241"/>
    <mergeCell ref="G2239:G2241"/>
    <mergeCell ref="H2239:H2241"/>
    <mergeCell ref="I2239:I2241"/>
    <mergeCell ref="J2239:J2241"/>
    <mergeCell ref="J2236:J2238"/>
    <mergeCell ref="K2236:K2238"/>
    <mergeCell ref="L2236:L2238"/>
    <mergeCell ref="M2236:M2238"/>
    <mergeCell ref="N2236:N2238"/>
    <mergeCell ref="O2236:O2238"/>
    <mergeCell ref="O2233:O2235"/>
    <mergeCell ref="Q2233:Q2235"/>
    <mergeCell ref="A2236:A2238"/>
    <mergeCell ref="B2236:B2238"/>
    <mergeCell ref="D2236:D2238"/>
    <mergeCell ref="E2236:E2238"/>
    <mergeCell ref="F2236:F2238"/>
    <mergeCell ref="G2236:G2238"/>
    <mergeCell ref="H2236:H2238"/>
    <mergeCell ref="I2236:I2238"/>
    <mergeCell ref="I2233:I2235"/>
    <mergeCell ref="J2233:J2235"/>
    <mergeCell ref="K2233:K2235"/>
    <mergeCell ref="L2233:L2235"/>
    <mergeCell ref="M2233:M2235"/>
    <mergeCell ref="N2233:N2235"/>
    <mergeCell ref="N2230:N2232"/>
    <mergeCell ref="O2230:O2232"/>
    <mergeCell ref="Q2230:Q2232"/>
    <mergeCell ref="A2233:A2235"/>
    <mergeCell ref="B2233:B2235"/>
    <mergeCell ref="D2233:D2235"/>
    <mergeCell ref="E2233:E2235"/>
    <mergeCell ref="F2233:F2235"/>
    <mergeCell ref="G2233:G2235"/>
    <mergeCell ref="H2233:H2235"/>
    <mergeCell ref="H2230:H2232"/>
    <mergeCell ref="I2230:I2232"/>
    <mergeCell ref="J2230:J2232"/>
    <mergeCell ref="K2230:K2232"/>
    <mergeCell ref="L2230:L2232"/>
    <mergeCell ref="M2230:M2232"/>
    <mergeCell ref="A2230:A2232"/>
    <mergeCell ref="B2230:B2232"/>
    <mergeCell ref="D2230:D2232"/>
    <mergeCell ref="E2230:E2232"/>
    <mergeCell ref="F2230:F2232"/>
    <mergeCell ref="G2230:G2232"/>
    <mergeCell ref="K2227:K2229"/>
    <mergeCell ref="L2227:L2229"/>
    <mergeCell ref="M2227:M2229"/>
    <mergeCell ref="N2227:N2229"/>
    <mergeCell ref="O2227:O2229"/>
    <mergeCell ref="Q2227:Q2229"/>
    <mergeCell ref="Q2224:Q2226"/>
    <mergeCell ref="A2227:A2229"/>
    <mergeCell ref="B2227:B2229"/>
    <mergeCell ref="D2227:D2229"/>
    <mergeCell ref="E2227:E2229"/>
    <mergeCell ref="F2227:F2229"/>
    <mergeCell ref="G2227:G2229"/>
    <mergeCell ref="H2227:H2229"/>
    <mergeCell ref="I2227:I2229"/>
    <mergeCell ref="J2227:J2229"/>
    <mergeCell ref="J2224:J2226"/>
    <mergeCell ref="K2224:K2226"/>
    <mergeCell ref="L2224:L2226"/>
    <mergeCell ref="M2224:M2226"/>
    <mergeCell ref="N2224:N2226"/>
    <mergeCell ref="O2224:O2226"/>
    <mergeCell ref="O2221:O2223"/>
    <mergeCell ref="Q2221:Q2223"/>
    <mergeCell ref="A2224:A2226"/>
    <mergeCell ref="B2224:B2226"/>
    <mergeCell ref="D2224:D2226"/>
    <mergeCell ref="E2224:E2226"/>
    <mergeCell ref="F2224:F2226"/>
    <mergeCell ref="G2224:G2226"/>
    <mergeCell ref="H2224:H2226"/>
    <mergeCell ref="I2224:I2226"/>
    <mergeCell ref="I2221:I2223"/>
    <mergeCell ref="J2221:J2223"/>
    <mergeCell ref="K2221:K2223"/>
    <mergeCell ref="L2221:L2223"/>
    <mergeCell ref="M2221:M2223"/>
    <mergeCell ref="N2221:N2223"/>
    <mergeCell ref="N2218:N2220"/>
    <mergeCell ref="O2218:O2220"/>
    <mergeCell ref="Q2218:Q2220"/>
    <mergeCell ref="A2221:A2223"/>
    <mergeCell ref="B2221:B2223"/>
    <mergeCell ref="D2221:D2223"/>
    <mergeCell ref="E2221:E2223"/>
    <mergeCell ref="F2221:F2223"/>
    <mergeCell ref="G2221:G2223"/>
    <mergeCell ref="H2221:H2223"/>
    <mergeCell ref="H2218:H2220"/>
    <mergeCell ref="I2218:I2220"/>
    <mergeCell ref="J2218:J2220"/>
    <mergeCell ref="K2218:K2220"/>
    <mergeCell ref="L2218:L2220"/>
    <mergeCell ref="M2218:M2220"/>
    <mergeCell ref="A2218:A2220"/>
    <mergeCell ref="B2218:B2220"/>
    <mergeCell ref="D2218:D2220"/>
    <mergeCell ref="E2218:E2220"/>
    <mergeCell ref="F2218:F2220"/>
    <mergeCell ref="G2218:G2220"/>
    <mergeCell ref="K2215:K2217"/>
    <mergeCell ref="L2215:L2217"/>
    <mergeCell ref="M2215:M2217"/>
    <mergeCell ref="N2215:N2217"/>
    <mergeCell ref="O2215:O2217"/>
    <mergeCell ref="Q2215:Q2217"/>
    <mergeCell ref="Q2212:Q2214"/>
    <mergeCell ref="A2215:A2217"/>
    <mergeCell ref="B2215:B2217"/>
    <mergeCell ref="D2215:D2217"/>
    <mergeCell ref="E2215:E2217"/>
    <mergeCell ref="F2215:F2217"/>
    <mergeCell ref="G2215:G2217"/>
    <mergeCell ref="H2215:H2217"/>
    <mergeCell ref="I2215:I2217"/>
    <mergeCell ref="J2215:J2217"/>
    <mergeCell ref="J2212:J2214"/>
    <mergeCell ref="K2212:K2214"/>
    <mergeCell ref="L2212:L2214"/>
    <mergeCell ref="M2212:M2214"/>
    <mergeCell ref="N2212:N2214"/>
    <mergeCell ref="O2212:O2214"/>
    <mergeCell ref="O2209:O2211"/>
    <mergeCell ref="Q2209:Q2211"/>
    <mergeCell ref="A2212:A2214"/>
    <mergeCell ref="B2212:B2214"/>
    <mergeCell ref="D2212:D2214"/>
    <mergeCell ref="E2212:E2214"/>
    <mergeCell ref="F2212:F2214"/>
    <mergeCell ref="G2212:G2214"/>
    <mergeCell ref="H2212:H2214"/>
    <mergeCell ref="I2212:I2214"/>
    <mergeCell ref="I2209:I2211"/>
    <mergeCell ref="J2209:J2211"/>
    <mergeCell ref="K2209:K2211"/>
    <mergeCell ref="L2209:L2211"/>
    <mergeCell ref="M2209:M2211"/>
    <mergeCell ref="N2209:N2211"/>
    <mergeCell ref="N2206:N2208"/>
    <mergeCell ref="O2206:O2208"/>
    <mergeCell ref="Q2206:Q2208"/>
    <mergeCell ref="A2209:A2211"/>
    <mergeCell ref="B2209:B2211"/>
    <mergeCell ref="D2209:D2211"/>
    <mergeCell ref="E2209:E2211"/>
    <mergeCell ref="F2209:F2211"/>
    <mergeCell ref="G2209:G2211"/>
    <mergeCell ref="H2209:H2211"/>
    <mergeCell ref="H2206:H2208"/>
    <mergeCell ref="I2206:I2208"/>
    <mergeCell ref="J2206:J2208"/>
    <mergeCell ref="K2206:K2208"/>
    <mergeCell ref="L2206:L2208"/>
    <mergeCell ref="M2206:M2208"/>
    <mergeCell ref="A2206:A2208"/>
    <mergeCell ref="B2206:B2208"/>
    <mergeCell ref="D2206:D2208"/>
    <mergeCell ref="E2206:E2208"/>
    <mergeCell ref="F2206:F2208"/>
    <mergeCell ref="G2206:G2208"/>
    <mergeCell ref="K2203:K2205"/>
    <mergeCell ref="L2203:L2205"/>
    <mergeCell ref="M2203:M2205"/>
    <mergeCell ref="N2203:N2205"/>
    <mergeCell ref="O2203:O2205"/>
    <mergeCell ref="Q2203:Q2205"/>
    <mergeCell ref="Q2200:Q2202"/>
    <mergeCell ref="A2203:A2205"/>
    <mergeCell ref="B2203:B2205"/>
    <mergeCell ref="D2203:D2205"/>
    <mergeCell ref="E2203:E2205"/>
    <mergeCell ref="F2203:F2205"/>
    <mergeCell ref="G2203:G2205"/>
    <mergeCell ref="H2203:H2205"/>
    <mergeCell ref="I2203:I2205"/>
    <mergeCell ref="J2203:J2205"/>
    <mergeCell ref="J2200:J2202"/>
    <mergeCell ref="K2200:K2202"/>
    <mergeCell ref="L2200:L2202"/>
    <mergeCell ref="M2200:M2202"/>
    <mergeCell ref="N2200:N2202"/>
    <mergeCell ref="O2200:O2202"/>
    <mergeCell ref="O2197:O2199"/>
    <mergeCell ref="Q2197:Q2199"/>
    <mergeCell ref="A2200:A2202"/>
    <mergeCell ref="B2200:B2202"/>
    <mergeCell ref="D2200:D2202"/>
    <mergeCell ref="E2200:E2202"/>
    <mergeCell ref="F2200:F2202"/>
    <mergeCell ref="G2200:G2202"/>
    <mergeCell ref="H2200:H2202"/>
    <mergeCell ref="I2200:I2202"/>
    <mergeCell ref="I2197:I2199"/>
    <mergeCell ref="J2197:J2199"/>
    <mergeCell ref="K2197:K2199"/>
    <mergeCell ref="L2197:L2199"/>
    <mergeCell ref="M2197:M2199"/>
    <mergeCell ref="N2197:N2199"/>
    <mergeCell ref="N2194:N2196"/>
    <mergeCell ref="O2194:O2196"/>
    <mergeCell ref="Q2194:Q2196"/>
    <mergeCell ref="A2197:A2199"/>
    <mergeCell ref="B2197:B2199"/>
    <mergeCell ref="D2197:D2199"/>
    <mergeCell ref="E2197:E2199"/>
    <mergeCell ref="F2197:F2199"/>
    <mergeCell ref="G2197:G2199"/>
    <mergeCell ref="H2197:H2199"/>
    <mergeCell ref="H2194:H2196"/>
    <mergeCell ref="I2194:I2196"/>
    <mergeCell ref="J2194:J2196"/>
    <mergeCell ref="K2194:K2196"/>
    <mergeCell ref="L2194:L2196"/>
    <mergeCell ref="M2194:M2196"/>
    <mergeCell ref="A2194:A2196"/>
    <mergeCell ref="B2194:B2196"/>
    <mergeCell ref="D2194:D2196"/>
    <mergeCell ref="E2194:E2196"/>
    <mergeCell ref="F2194:F2196"/>
    <mergeCell ref="G2194:G2196"/>
    <mergeCell ref="K2191:K2193"/>
    <mergeCell ref="L2191:L2193"/>
    <mergeCell ref="M2191:M2193"/>
    <mergeCell ref="N2191:N2193"/>
    <mergeCell ref="O2191:O2193"/>
    <mergeCell ref="Q2191:Q2193"/>
    <mergeCell ref="Q2188:Q2190"/>
    <mergeCell ref="A2191:A2193"/>
    <mergeCell ref="B2191:B2193"/>
    <mergeCell ref="D2191:D2193"/>
    <mergeCell ref="E2191:E2193"/>
    <mergeCell ref="F2191:F2193"/>
    <mergeCell ref="G2191:G2193"/>
    <mergeCell ref="H2191:H2193"/>
    <mergeCell ref="I2191:I2193"/>
    <mergeCell ref="J2191:J2193"/>
    <mergeCell ref="J2188:J2190"/>
    <mergeCell ref="K2188:K2190"/>
    <mergeCell ref="L2188:L2190"/>
    <mergeCell ref="M2188:M2190"/>
    <mergeCell ref="N2188:N2190"/>
    <mergeCell ref="O2188:O2190"/>
    <mergeCell ref="O2185:O2187"/>
    <mergeCell ref="Q2185:Q2187"/>
    <mergeCell ref="A2188:A2190"/>
    <mergeCell ref="B2188:B2190"/>
    <mergeCell ref="D2188:D2190"/>
    <mergeCell ref="E2188:E2190"/>
    <mergeCell ref="F2188:F2190"/>
    <mergeCell ref="G2188:G2190"/>
    <mergeCell ref="H2188:H2190"/>
    <mergeCell ref="I2188:I2190"/>
    <mergeCell ref="I2185:I2187"/>
    <mergeCell ref="J2185:J2187"/>
    <mergeCell ref="K2185:K2187"/>
    <mergeCell ref="L2185:L2187"/>
    <mergeCell ref="M2185:M2187"/>
    <mergeCell ref="N2185:N2187"/>
    <mergeCell ref="N2182:N2184"/>
    <mergeCell ref="O2182:O2184"/>
    <mergeCell ref="Q2182:Q2184"/>
    <mergeCell ref="A2185:A2187"/>
    <mergeCell ref="B2185:B2187"/>
    <mergeCell ref="D2185:D2187"/>
    <mergeCell ref="E2185:E2187"/>
    <mergeCell ref="F2185:F2187"/>
    <mergeCell ref="G2185:G2187"/>
    <mergeCell ref="H2185:H2187"/>
    <mergeCell ref="H2182:H2184"/>
    <mergeCell ref="I2182:I2184"/>
    <mergeCell ref="J2182:J2184"/>
    <mergeCell ref="K2182:K2184"/>
    <mergeCell ref="L2182:L2184"/>
    <mergeCell ref="M2182:M2184"/>
    <mergeCell ref="N2178:N2180"/>
    <mergeCell ref="O2178:O2180"/>
    <mergeCell ref="Q2178:Q2180"/>
    <mergeCell ref="A2181:Q2181"/>
    <mergeCell ref="A2182:A2184"/>
    <mergeCell ref="B2182:B2184"/>
    <mergeCell ref="D2182:D2184"/>
    <mergeCell ref="E2182:E2184"/>
    <mergeCell ref="F2182:F2184"/>
    <mergeCell ref="G2182:G2184"/>
    <mergeCell ref="N2173:N2177"/>
    <mergeCell ref="O2173:O2177"/>
    <mergeCell ref="Q2173:Q2177"/>
    <mergeCell ref="A2178:A2180"/>
    <mergeCell ref="D2178:D2180"/>
    <mergeCell ref="F2178:F2180"/>
    <mergeCell ref="G2178:G2180"/>
    <mergeCell ref="K2178:K2180"/>
    <mergeCell ref="L2178:L2180"/>
    <mergeCell ref="M2178:M2180"/>
    <mergeCell ref="O2170:O2172"/>
    <mergeCell ref="Q2170:Q2172"/>
    <mergeCell ref="A2173:A2177"/>
    <mergeCell ref="D2173:D2177"/>
    <mergeCell ref="F2173:F2177"/>
    <mergeCell ref="G2173:G2177"/>
    <mergeCell ref="H2173:H2177"/>
    <mergeCell ref="K2173:K2177"/>
    <mergeCell ref="L2173:L2177"/>
    <mergeCell ref="M2173:M2177"/>
    <mergeCell ref="I2170:I2171"/>
    <mergeCell ref="J2170:J2171"/>
    <mergeCell ref="K2170:K2172"/>
    <mergeCell ref="L2170:L2172"/>
    <mergeCell ref="M2170:M2172"/>
    <mergeCell ref="N2170:N2172"/>
    <mergeCell ref="N2167:N2169"/>
    <mergeCell ref="O2167:O2169"/>
    <mergeCell ref="Q2167:Q2169"/>
    <mergeCell ref="A2170:A2172"/>
    <mergeCell ref="B2170:B2171"/>
    <mergeCell ref="D2170:D2172"/>
    <mergeCell ref="E2170:E2171"/>
    <mergeCell ref="F2170:F2172"/>
    <mergeCell ref="G2170:G2172"/>
    <mergeCell ref="H2170:H2172"/>
    <mergeCell ref="H2167:H2169"/>
    <mergeCell ref="I2167:I2169"/>
    <mergeCell ref="J2167:J2169"/>
    <mergeCell ref="K2167:K2169"/>
    <mergeCell ref="L2167:L2169"/>
    <mergeCell ref="M2167:M2169"/>
    <mergeCell ref="A2167:A2169"/>
    <mergeCell ref="B2167:B2169"/>
    <mergeCell ref="D2167:D2169"/>
    <mergeCell ref="E2167:E2169"/>
    <mergeCell ref="F2167:F2169"/>
    <mergeCell ref="G2167:G2169"/>
    <mergeCell ref="K2164:K2166"/>
    <mergeCell ref="L2164:L2166"/>
    <mergeCell ref="M2164:M2166"/>
    <mergeCell ref="N2164:N2166"/>
    <mergeCell ref="O2164:O2166"/>
    <mergeCell ref="Q2164:Q2166"/>
    <mergeCell ref="Q2161:Q2163"/>
    <mergeCell ref="A2164:A2166"/>
    <mergeCell ref="B2164:B2166"/>
    <mergeCell ref="D2164:D2166"/>
    <mergeCell ref="E2164:E2166"/>
    <mergeCell ref="F2164:F2166"/>
    <mergeCell ref="G2164:G2166"/>
    <mergeCell ref="H2164:H2166"/>
    <mergeCell ref="I2164:I2166"/>
    <mergeCell ref="J2164:J2166"/>
    <mergeCell ref="J2161:J2163"/>
    <mergeCell ref="K2161:K2163"/>
    <mergeCell ref="L2161:L2163"/>
    <mergeCell ref="M2161:M2163"/>
    <mergeCell ref="N2161:N2163"/>
    <mergeCell ref="O2161:O2163"/>
    <mergeCell ref="O2158:O2160"/>
    <mergeCell ref="Q2158:Q2160"/>
    <mergeCell ref="A2161:A2163"/>
    <mergeCell ref="B2161:B2163"/>
    <mergeCell ref="D2161:D2163"/>
    <mergeCell ref="E2161:E2163"/>
    <mergeCell ref="F2161:F2163"/>
    <mergeCell ref="G2161:G2163"/>
    <mergeCell ref="H2161:H2163"/>
    <mergeCell ref="I2161:I2163"/>
    <mergeCell ref="I2158:I2160"/>
    <mergeCell ref="J2158:J2160"/>
    <mergeCell ref="K2158:K2160"/>
    <mergeCell ref="L2158:L2160"/>
    <mergeCell ref="M2158:M2160"/>
    <mergeCell ref="N2158:N2160"/>
    <mergeCell ref="N2155:N2157"/>
    <mergeCell ref="O2155:O2157"/>
    <mergeCell ref="Q2155:Q2157"/>
    <mergeCell ref="A2158:A2160"/>
    <mergeCell ref="B2158:B2160"/>
    <mergeCell ref="D2158:D2160"/>
    <mergeCell ref="E2158:E2160"/>
    <mergeCell ref="F2158:F2160"/>
    <mergeCell ref="G2158:G2160"/>
    <mergeCell ref="H2158:H2160"/>
    <mergeCell ref="H2155:H2157"/>
    <mergeCell ref="I2155:I2157"/>
    <mergeCell ref="J2155:J2157"/>
    <mergeCell ref="K2155:K2157"/>
    <mergeCell ref="L2155:L2157"/>
    <mergeCell ref="M2155:M2157"/>
    <mergeCell ref="A2155:A2157"/>
    <mergeCell ref="B2155:B2157"/>
    <mergeCell ref="D2155:D2157"/>
    <mergeCell ref="E2155:E2157"/>
    <mergeCell ref="F2155:F2157"/>
    <mergeCell ref="G2155:G2157"/>
    <mergeCell ref="K2152:K2154"/>
    <mergeCell ref="L2152:L2154"/>
    <mergeCell ref="M2152:M2154"/>
    <mergeCell ref="N2152:N2154"/>
    <mergeCell ref="O2152:O2154"/>
    <mergeCell ref="Q2152:Q2154"/>
    <mergeCell ref="Q2149:Q2151"/>
    <mergeCell ref="A2152:A2154"/>
    <mergeCell ref="B2152:B2154"/>
    <mergeCell ref="D2152:D2154"/>
    <mergeCell ref="E2152:E2154"/>
    <mergeCell ref="F2152:F2154"/>
    <mergeCell ref="G2152:G2154"/>
    <mergeCell ref="H2152:H2154"/>
    <mergeCell ref="I2152:I2154"/>
    <mergeCell ref="J2152:J2154"/>
    <mergeCell ref="J2149:J2151"/>
    <mergeCell ref="K2149:K2151"/>
    <mergeCell ref="L2149:L2151"/>
    <mergeCell ref="M2149:M2151"/>
    <mergeCell ref="N2149:N2151"/>
    <mergeCell ref="O2149:O2151"/>
    <mergeCell ref="O2146:O2148"/>
    <mergeCell ref="Q2146:Q2148"/>
    <mergeCell ref="A2149:A2151"/>
    <mergeCell ref="B2149:B2151"/>
    <mergeCell ref="D2149:D2151"/>
    <mergeCell ref="E2149:E2151"/>
    <mergeCell ref="F2149:F2151"/>
    <mergeCell ref="G2149:G2151"/>
    <mergeCell ref="H2149:H2151"/>
    <mergeCell ref="I2149:I2151"/>
    <mergeCell ref="I2146:I2148"/>
    <mergeCell ref="J2146:J2148"/>
    <mergeCell ref="K2146:K2148"/>
    <mergeCell ref="L2146:L2148"/>
    <mergeCell ref="M2146:M2148"/>
    <mergeCell ref="N2146:N2148"/>
    <mergeCell ref="N2143:N2145"/>
    <mergeCell ref="O2143:O2145"/>
    <mergeCell ref="Q2143:Q2145"/>
    <mergeCell ref="A2146:A2148"/>
    <mergeCell ref="B2146:B2148"/>
    <mergeCell ref="D2146:D2148"/>
    <mergeCell ref="E2146:E2148"/>
    <mergeCell ref="F2146:F2148"/>
    <mergeCell ref="G2146:G2148"/>
    <mergeCell ref="H2146:H2148"/>
    <mergeCell ref="H2143:H2145"/>
    <mergeCell ref="I2143:I2145"/>
    <mergeCell ref="J2143:J2145"/>
    <mergeCell ref="K2143:K2145"/>
    <mergeCell ref="L2143:L2145"/>
    <mergeCell ref="M2143:M2145"/>
    <mergeCell ref="A2143:A2145"/>
    <mergeCell ref="B2143:B2145"/>
    <mergeCell ref="D2143:D2145"/>
    <mergeCell ref="E2143:E2145"/>
    <mergeCell ref="F2143:F2145"/>
    <mergeCell ref="G2143:G2145"/>
    <mergeCell ref="K2140:K2142"/>
    <mergeCell ref="L2140:L2142"/>
    <mergeCell ref="M2140:M2142"/>
    <mergeCell ref="N2140:N2142"/>
    <mergeCell ref="O2140:O2142"/>
    <mergeCell ref="Q2140:Q2142"/>
    <mergeCell ref="Q2137:Q2139"/>
    <mergeCell ref="A2140:A2142"/>
    <mergeCell ref="B2140:B2142"/>
    <mergeCell ref="D2140:D2142"/>
    <mergeCell ref="E2140:E2142"/>
    <mergeCell ref="F2140:F2142"/>
    <mergeCell ref="G2140:G2142"/>
    <mergeCell ref="H2140:H2142"/>
    <mergeCell ref="I2140:I2142"/>
    <mergeCell ref="J2140:J2142"/>
    <mergeCell ref="J2137:J2139"/>
    <mergeCell ref="K2137:K2139"/>
    <mergeCell ref="L2137:L2139"/>
    <mergeCell ref="M2137:M2139"/>
    <mergeCell ref="N2137:N2139"/>
    <mergeCell ref="O2137:O2139"/>
    <mergeCell ref="O2134:O2136"/>
    <mergeCell ref="Q2134:Q2136"/>
    <mergeCell ref="A2137:A2139"/>
    <mergeCell ref="B2137:B2139"/>
    <mergeCell ref="D2137:D2139"/>
    <mergeCell ref="E2137:E2139"/>
    <mergeCell ref="F2137:F2139"/>
    <mergeCell ref="G2137:G2139"/>
    <mergeCell ref="H2137:H2139"/>
    <mergeCell ref="I2137:I2139"/>
    <mergeCell ref="I2134:I2136"/>
    <mergeCell ref="J2134:J2136"/>
    <mergeCell ref="K2134:K2136"/>
    <mergeCell ref="L2134:L2136"/>
    <mergeCell ref="M2134:M2136"/>
    <mergeCell ref="N2134:N2136"/>
    <mergeCell ref="N2131:N2133"/>
    <mergeCell ref="O2131:O2133"/>
    <mergeCell ref="Q2131:Q2133"/>
    <mergeCell ref="A2134:A2136"/>
    <mergeCell ref="B2134:B2136"/>
    <mergeCell ref="D2134:D2136"/>
    <mergeCell ref="E2134:E2136"/>
    <mergeCell ref="F2134:F2136"/>
    <mergeCell ref="G2134:G2136"/>
    <mergeCell ref="H2134:H2136"/>
    <mergeCell ref="H2131:H2133"/>
    <mergeCell ref="I2131:I2133"/>
    <mergeCell ref="J2131:J2133"/>
    <mergeCell ref="K2131:K2133"/>
    <mergeCell ref="L2131:L2133"/>
    <mergeCell ref="M2131:M2133"/>
    <mergeCell ref="A2131:A2133"/>
    <mergeCell ref="B2131:B2133"/>
    <mergeCell ref="D2131:D2133"/>
    <mergeCell ref="E2131:E2133"/>
    <mergeCell ref="F2131:F2133"/>
    <mergeCell ref="G2131:G2133"/>
    <mergeCell ref="K2128:K2130"/>
    <mergeCell ref="L2128:L2130"/>
    <mergeCell ref="M2128:M2130"/>
    <mergeCell ref="N2128:N2130"/>
    <mergeCell ref="O2128:O2130"/>
    <mergeCell ref="Q2128:Q2130"/>
    <mergeCell ref="Q2125:Q2127"/>
    <mergeCell ref="A2128:A2130"/>
    <mergeCell ref="B2128:B2130"/>
    <mergeCell ref="D2128:D2130"/>
    <mergeCell ref="E2128:E2130"/>
    <mergeCell ref="F2128:F2130"/>
    <mergeCell ref="G2128:G2130"/>
    <mergeCell ref="H2128:H2130"/>
    <mergeCell ref="I2128:I2130"/>
    <mergeCell ref="J2128:J2130"/>
    <mergeCell ref="J2125:J2127"/>
    <mergeCell ref="K2125:K2127"/>
    <mergeCell ref="L2125:L2127"/>
    <mergeCell ref="M2125:M2127"/>
    <mergeCell ref="N2125:N2127"/>
    <mergeCell ref="O2125:O2127"/>
    <mergeCell ref="O2122:O2124"/>
    <mergeCell ref="Q2122:Q2124"/>
    <mergeCell ref="A2125:A2127"/>
    <mergeCell ref="B2125:B2127"/>
    <mergeCell ref="D2125:D2127"/>
    <mergeCell ref="E2125:E2127"/>
    <mergeCell ref="F2125:F2127"/>
    <mergeCell ref="G2125:G2127"/>
    <mergeCell ref="H2125:H2127"/>
    <mergeCell ref="I2125:I2127"/>
    <mergeCell ref="I2122:I2124"/>
    <mergeCell ref="J2122:J2124"/>
    <mergeCell ref="K2122:K2124"/>
    <mergeCell ref="L2122:L2124"/>
    <mergeCell ref="M2122:M2124"/>
    <mergeCell ref="N2122:N2124"/>
    <mergeCell ref="N2119:N2121"/>
    <mergeCell ref="O2119:O2121"/>
    <mergeCell ref="Q2119:Q2121"/>
    <mergeCell ref="A2122:A2124"/>
    <mergeCell ref="B2122:B2124"/>
    <mergeCell ref="D2122:D2124"/>
    <mergeCell ref="E2122:E2124"/>
    <mergeCell ref="F2122:F2124"/>
    <mergeCell ref="G2122:G2124"/>
    <mergeCell ref="H2122:H2124"/>
    <mergeCell ref="H2119:H2121"/>
    <mergeCell ref="I2119:I2121"/>
    <mergeCell ref="J2119:J2121"/>
    <mergeCell ref="K2119:K2121"/>
    <mergeCell ref="L2119:L2121"/>
    <mergeCell ref="M2119:M2121"/>
    <mergeCell ref="A2119:A2121"/>
    <mergeCell ref="B2119:B2121"/>
    <mergeCell ref="D2119:D2121"/>
    <mergeCell ref="E2119:E2121"/>
    <mergeCell ref="F2119:F2121"/>
    <mergeCell ref="G2119:G2121"/>
    <mergeCell ref="K2116:K2118"/>
    <mergeCell ref="L2116:L2118"/>
    <mergeCell ref="M2116:M2118"/>
    <mergeCell ref="N2116:N2118"/>
    <mergeCell ref="O2116:O2118"/>
    <mergeCell ref="Q2116:Q2118"/>
    <mergeCell ref="Q2113:Q2115"/>
    <mergeCell ref="A2116:A2118"/>
    <mergeCell ref="B2116:B2118"/>
    <mergeCell ref="D2116:D2118"/>
    <mergeCell ref="E2116:E2118"/>
    <mergeCell ref="F2116:F2118"/>
    <mergeCell ref="G2116:G2118"/>
    <mergeCell ref="H2116:H2118"/>
    <mergeCell ref="I2116:I2118"/>
    <mergeCell ref="J2116:J2118"/>
    <mergeCell ref="J2113:J2115"/>
    <mergeCell ref="K2113:K2115"/>
    <mergeCell ref="L2113:L2115"/>
    <mergeCell ref="M2113:M2115"/>
    <mergeCell ref="N2113:N2115"/>
    <mergeCell ref="O2113:O2115"/>
    <mergeCell ref="O2110:O2112"/>
    <mergeCell ref="Q2110:Q2112"/>
    <mergeCell ref="A2113:A2115"/>
    <mergeCell ref="B2113:B2115"/>
    <mergeCell ref="D2113:D2115"/>
    <mergeCell ref="E2113:E2115"/>
    <mergeCell ref="F2113:F2115"/>
    <mergeCell ref="G2113:G2115"/>
    <mergeCell ref="H2113:H2115"/>
    <mergeCell ref="I2113:I2115"/>
    <mergeCell ref="I2110:I2112"/>
    <mergeCell ref="J2110:J2112"/>
    <mergeCell ref="K2110:K2112"/>
    <mergeCell ref="L2110:L2112"/>
    <mergeCell ref="M2110:M2112"/>
    <mergeCell ref="N2110:N2112"/>
    <mergeCell ref="N2107:N2109"/>
    <mergeCell ref="O2107:O2109"/>
    <mergeCell ref="Q2107:Q2109"/>
    <mergeCell ref="A2110:A2112"/>
    <mergeCell ref="B2110:B2112"/>
    <mergeCell ref="D2110:D2112"/>
    <mergeCell ref="E2110:E2112"/>
    <mergeCell ref="F2110:F2112"/>
    <mergeCell ref="G2110:G2112"/>
    <mergeCell ref="H2110:H2112"/>
    <mergeCell ref="H2107:H2109"/>
    <mergeCell ref="I2107:I2109"/>
    <mergeCell ref="J2107:J2109"/>
    <mergeCell ref="K2107:K2109"/>
    <mergeCell ref="L2107:L2109"/>
    <mergeCell ref="M2107:M2109"/>
    <mergeCell ref="A2107:A2109"/>
    <mergeCell ref="B2107:B2109"/>
    <mergeCell ref="D2107:D2109"/>
    <mergeCell ref="E2107:E2109"/>
    <mergeCell ref="F2107:F2109"/>
    <mergeCell ref="G2107:G2109"/>
    <mergeCell ref="K2104:K2106"/>
    <mergeCell ref="L2104:L2106"/>
    <mergeCell ref="M2104:M2106"/>
    <mergeCell ref="N2104:N2106"/>
    <mergeCell ref="O2104:O2106"/>
    <mergeCell ref="Q2104:Q2106"/>
    <mergeCell ref="Q2101:Q2103"/>
    <mergeCell ref="A2104:A2106"/>
    <mergeCell ref="B2104:B2106"/>
    <mergeCell ref="D2104:D2106"/>
    <mergeCell ref="E2104:E2106"/>
    <mergeCell ref="F2104:F2106"/>
    <mergeCell ref="G2104:G2106"/>
    <mergeCell ref="H2104:H2106"/>
    <mergeCell ref="I2104:I2106"/>
    <mergeCell ref="J2104:J2106"/>
    <mergeCell ref="J2101:J2103"/>
    <mergeCell ref="K2101:K2103"/>
    <mergeCell ref="L2101:L2103"/>
    <mergeCell ref="M2101:M2103"/>
    <mergeCell ref="N2101:N2103"/>
    <mergeCell ref="O2101:O2103"/>
    <mergeCell ref="O2098:O2100"/>
    <mergeCell ref="Q2098:Q2100"/>
    <mergeCell ref="A2101:A2103"/>
    <mergeCell ref="B2101:B2103"/>
    <mergeCell ref="D2101:D2103"/>
    <mergeCell ref="E2101:E2103"/>
    <mergeCell ref="F2101:F2103"/>
    <mergeCell ref="G2101:G2103"/>
    <mergeCell ref="H2101:H2103"/>
    <mergeCell ref="I2101:I2103"/>
    <mergeCell ref="I2098:I2100"/>
    <mergeCell ref="J2098:J2100"/>
    <mergeCell ref="K2098:K2100"/>
    <mergeCell ref="L2098:L2100"/>
    <mergeCell ref="M2098:M2100"/>
    <mergeCell ref="N2098:N2100"/>
    <mergeCell ref="N2095:N2097"/>
    <mergeCell ref="O2095:O2097"/>
    <mergeCell ref="Q2095:Q2097"/>
    <mergeCell ref="A2098:A2100"/>
    <mergeCell ref="B2098:B2100"/>
    <mergeCell ref="D2098:D2100"/>
    <mergeCell ref="E2098:E2100"/>
    <mergeCell ref="F2098:F2100"/>
    <mergeCell ref="G2098:G2100"/>
    <mergeCell ref="H2098:H2100"/>
    <mergeCell ref="H2095:H2097"/>
    <mergeCell ref="I2095:I2097"/>
    <mergeCell ref="J2095:J2097"/>
    <mergeCell ref="K2095:K2097"/>
    <mergeCell ref="L2095:L2097"/>
    <mergeCell ref="M2095:M2097"/>
    <mergeCell ref="A2095:A2097"/>
    <mergeCell ref="B2095:B2097"/>
    <mergeCell ref="D2095:D2097"/>
    <mergeCell ref="E2095:E2097"/>
    <mergeCell ref="F2095:F2097"/>
    <mergeCell ref="G2095:G2097"/>
    <mergeCell ref="K2092:K2094"/>
    <mergeCell ref="L2092:L2094"/>
    <mergeCell ref="M2092:M2094"/>
    <mergeCell ref="N2092:N2094"/>
    <mergeCell ref="O2092:O2094"/>
    <mergeCell ref="Q2092:Q2094"/>
    <mergeCell ref="Q2089:Q2091"/>
    <mergeCell ref="A2092:A2094"/>
    <mergeCell ref="B2092:B2094"/>
    <mergeCell ref="D2092:D2094"/>
    <mergeCell ref="E2092:E2094"/>
    <mergeCell ref="F2092:F2094"/>
    <mergeCell ref="G2092:G2094"/>
    <mergeCell ref="H2092:H2094"/>
    <mergeCell ref="I2092:I2094"/>
    <mergeCell ref="J2092:J2094"/>
    <mergeCell ref="J2089:J2091"/>
    <mergeCell ref="K2089:K2091"/>
    <mergeCell ref="L2089:L2091"/>
    <mergeCell ref="M2089:M2091"/>
    <mergeCell ref="N2089:N2091"/>
    <mergeCell ref="O2089:O2091"/>
    <mergeCell ref="O2086:O2088"/>
    <mergeCell ref="Q2086:Q2088"/>
    <mergeCell ref="A2089:A2091"/>
    <mergeCell ref="B2089:B2091"/>
    <mergeCell ref="D2089:D2091"/>
    <mergeCell ref="E2089:E2091"/>
    <mergeCell ref="F2089:F2091"/>
    <mergeCell ref="G2089:G2091"/>
    <mergeCell ref="H2089:H2091"/>
    <mergeCell ref="I2089:I2091"/>
    <mergeCell ref="I2086:I2088"/>
    <mergeCell ref="J2086:J2088"/>
    <mergeCell ref="K2086:K2088"/>
    <mergeCell ref="L2086:L2088"/>
    <mergeCell ref="M2086:M2088"/>
    <mergeCell ref="N2086:N2088"/>
    <mergeCell ref="N2083:N2085"/>
    <mergeCell ref="O2083:O2085"/>
    <mergeCell ref="Q2083:Q2085"/>
    <mergeCell ref="A2086:A2088"/>
    <mergeCell ref="B2086:B2088"/>
    <mergeCell ref="D2086:D2088"/>
    <mergeCell ref="E2086:E2088"/>
    <mergeCell ref="F2086:F2088"/>
    <mergeCell ref="G2086:G2088"/>
    <mergeCell ref="H2086:H2088"/>
    <mergeCell ref="H2083:H2085"/>
    <mergeCell ref="I2083:I2085"/>
    <mergeCell ref="J2083:J2085"/>
    <mergeCell ref="K2083:K2085"/>
    <mergeCell ref="L2083:L2085"/>
    <mergeCell ref="M2083:M2085"/>
    <mergeCell ref="A2083:A2085"/>
    <mergeCell ref="B2083:B2085"/>
    <mergeCell ref="D2083:D2085"/>
    <mergeCell ref="E2083:E2085"/>
    <mergeCell ref="F2083:F2085"/>
    <mergeCell ref="G2083:G2085"/>
    <mergeCell ref="K2080:K2082"/>
    <mergeCell ref="L2080:L2082"/>
    <mergeCell ref="M2080:M2082"/>
    <mergeCell ref="N2080:N2082"/>
    <mergeCell ref="O2080:O2082"/>
    <mergeCell ref="Q2080:Q2082"/>
    <mergeCell ref="Q2077:Q2079"/>
    <mergeCell ref="A2080:A2082"/>
    <mergeCell ref="B2080:B2082"/>
    <mergeCell ref="D2080:D2082"/>
    <mergeCell ref="E2080:E2082"/>
    <mergeCell ref="F2080:F2082"/>
    <mergeCell ref="G2080:G2082"/>
    <mergeCell ref="H2080:H2082"/>
    <mergeCell ref="I2080:I2082"/>
    <mergeCell ref="J2080:J2082"/>
    <mergeCell ref="J2077:J2079"/>
    <mergeCell ref="K2077:K2079"/>
    <mergeCell ref="L2077:L2079"/>
    <mergeCell ref="M2077:M2079"/>
    <mergeCell ref="N2077:N2079"/>
    <mergeCell ref="O2077:O2079"/>
    <mergeCell ref="O2074:O2076"/>
    <mergeCell ref="Q2074:Q2076"/>
    <mergeCell ref="A2077:A2079"/>
    <mergeCell ref="B2077:B2079"/>
    <mergeCell ref="D2077:D2079"/>
    <mergeCell ref="E2077:E2079"/>
    <mergeCell ref="F2077:F2079"/>
    <mergeCell ref="G2077:G2079"/>
    <mergeCell ref="H2077:H2079"/>
    <mergeCell ref="I2077:I2079"/>
    <mergeCell ref="I2074:I2076"/>
    <mergeCell ref="J2074:J2076"/>
    <mergeCell ref="K2074:K2076"/>
    <mergeCell ref="L2074:L2076"/>
    <mergeCell ref="M2074:M2076"/>
    <mergeCell ref="N2074:N2076"/>
    <mergeCell ref="N2071:N2073"/>
    <mergeCell ref="O2071:O2073"/>
    <mergeCell ref="Q2071:Q2073"/>
    <mergeCell ref="A2074:A2076"/>
    <mergeCell ref="B2074:B2076"/>
    <mergeCell ref="D2074:D2076"/>
    <mergeCell ref="E2074:E2076"/>
    <mergeCell ref="F2074:F2076"/>
    <mergeCell ref="G2074:G2076"/>
    <mergeCell ref="H2074:H2076"/>
    <mergeCell ref="H2071:H2073"/>
    <mergeCell ref="I2071:I2073"/>
    <mergeCell ref="J2071:J2073"/>
    <mergeCell ref="K2071:K2073"/>
    <mergeCell ref="L2071:L2073"/>
    <mergeCell ref="M2071:M2073"/>
    <mergeCell ref="A2071:A2073"/>
    <mergeCell ref="B2071:B2073"/>
    <mergeCell ref="D2071:D2073"/>
    <mergeCell ref="E2071:E2073"/>
    <mergeCell ref="F2071:F2073"/>
    <mergeCell ref="G2071:G2073"/>
    <mergeCell ref="K2068:K2070"/>
    <mergeCell ref="L2068:L2070"/>
    <mergeCell ref="M2068:M2070"/>
    <mergeCell ref="N2068:N2070"/>
    <mergeCell ref="O2068:O2070"/>
    <mergeCell ref="Q2068:Q2070"/>
    <mergeCell ref="Q2065:Q2067"/>
    <mergeCell ref="A2068:A2070"/>
    <mergeCell ref="B2068:B2070"/>
    <mergeCell ref="D2068:D2070"/>
    <mergeCell ref="E2068:E2070"/>
    <mergeCell ref="F2068:F2070"/>
    <mergeCell ref="G2068:G2070"/>
    <mergeCell ref="H2068:H2070"/>
    <mergeCell ref="I2068:I2070"/>
    <mergeCell ref="J2068:J2070"/>
    <mergeCell ref="J2065:J2067"/>
    <mergeCell ref="K2065:K2067"/>
    <mergeCell ref="L2065:L2067"/>
    <mergeCell ref="M2065:M2067"/>
    <mergeCell ref="N2065:N2067"/>
    <mergeCell ref="O2065:O2067"/>
    <mergeCell ref="O2062:O2064"/>
    <mergeCell ref="Q2062:Q2064"/>
    <mergeCell ref="A2065:A2067"/>
    <mergeCell ref="B2065:B2067"/>
    <mergeCell ref="D2065:D2067"/>
    <mergeCell ref="E2065:E2067"/>
    <mergeCell ref="F2065:F2067"/>
    <mergeCell ref="G2065:G2067"/>
    <mergeCell ref="H2065:H2067"/>
    <mergeCell ref="I2065:I2067"/>
    <mergeCell ref="I2062:I2064"/>
    <mergeCell ref="J2062:J2064"/>
    <mergeCell ref="K2062:K2064"/>
    <mergeCell ref="L2062:L2064"/>
    <mergeCell ref="M2062:M2064"/>
    <mergeCell ref="N2062:N2064"/>
    <mergeCell ref="N2059:N2061"/>
    <mergeCell ref="O2059:O2061"/>
    <mergeCell ref="Q2059:Q2061"/>
    <mergeCell ref="A2062:A2064"/>
    <mergeCell ref="B2062:B2064"/>
    <mergeCell ref="D2062:D2064"/>
    <mergeCell ref="E2062:E2064"/>
    <mergeCell ref="F2062:F2064"/>
    <mergeCell ref="G2062:G2064"/>
    <mergeCell ref="H2062:H2064"/>
    <mergeCell ref="H2059:H2061"/>
    <mergeCell ref="I2059:I2061"/>
    <mergeCell ref="J2059:J2061"/>
    <mergeCell ref="K2059:K2061"/>
    <mergeCell ref="L2059:L2061"/>
    <mergeCell ref="M2059:M2061"/>
    <mergeCell ref="A2059:A2061"/>
    <mergeCell ref="B2059:B2061"/>
    <mergeCell ref="D2059:D2061"/>
    <mergeCell ref="E2059:E2061"/>
    <mergeCell ref="F2059:F2061"/>
    <mergeCell ref="G2059:G2061"/>
    <mergeCell ref="K2056:K2058"/>
    <mergeCell ref="L2056:L2058"/>
    <mergeCell ref="M2056:M2058"/>
    <mergeCell ref="N2056:N2058"/>
    <mergeCell ref="O2056:O2058"/>
    <mergeCell ref="Q2056:Q2058"/>
    <mergeCell ref="Q2053:Q2055"/>
    <mergeCell ref="A2056:A2058"/>
    <mergeCell ref="B2056:B2058"/>
    <mergeCell ref="D2056:D2058"/>
    <mergeCell ref="E2056:E2058"/>
    <mergeCell ref="F2056:F2058"/>
    <mergeCell ref="G2056:G2058"/>
    <mergeCell ref="H2056:H2058"/>
    <mergeCell ref="I2056:I2058"/>
    <mergeCell ref="J2056:J2058"/>
    <mergeCell ref="J2053:J2055"/>
    <mergeCell ref="K2053:K2055"/>
    <mergeCell ref="L2053:L2055"/>
    <mergeCell ref="M2053:M2055"/>
    <mergeCell ref="N2053:N2055"/>
    <mergeCell ref="O2053:O2055"/>
    <mergeCell ref="O2050:O2052"/>
    <mergeCell ref="Q2050:Q2052"/>
    <mergeCell ref="A2053:A2055"/>
    <mergeCell ref="B2053:B2055"/>
    <mergeCell ref="D2053:D2055"/>
    <mergeCell ref="E2053:E2055"/>
    <mergeCell ref="F2053:F2055"/>
    <mergeCell ref="G2053:G2055"/>
    <mergeCell ref="H2053:H2055"/>
    <mergeCell ref="I2053:I2055"/>
    <mergeCell ref="I2050:I2052"/>
    <mergeCell ref="J2050:J2052"/>
    <mergeCell ref="K2050:K2052"/>
    <mergeCell ref="L2050:L2052"/>
    <mergeCell ref="M2050:M2052"/>
    <mergeCell ref="N2050:N2052"/>
    <mergeCell ref="N2047:N2049"/>
    <mergeCell ref="O2047:O2049"/>
    <mergeCell ref="Q2047:Q2049"/>
    <mergeCell ref="A2050:A2052"/>
    <mergeCell ref="B2050:B2052"/>
    <mergeCell ref="D2050:D2052"/>
    <mergeCell ref="E2050:E2052"/>
    <mergeCell ref="F2050:F2052"/>
    <mergeCell ref="G2050:G2052"/>
    <mergeCell ref="H2050:H2052"/>
    <mergeCell ref="H2047:H2049"/>
    <mergeCell ref="I2047:I2049"/>
    <mergeCell ref="J2047:J2049"/>
    <mergeCell ref="K2047:K2049"/>
    <mergeCell ref="L2047:L2049"/>
    <mergeCell ref="M2047:M2049"/>
    <mergeCell ref="A2047:A2049"/>
    <mergeCell ref="B2047:B2049"/>
    <mergeCell ref="D2047:D2049"/>
    <mergeCell ref="E2047:E2049"/>
    <mergeCell ref="F2047:F2049"/>
    <mergeCell ref="G2047:G2049"/>
    <mergeCell ref="K2044:K2046"/>
    <mergeCell ref="L2044:L2046"/>
    <mergeCell ref="M2044:M2046"/>
    <mergeCell ref="N2044:N2046"/>
    <mergeCell ref="O2044:O2046"/>
    <mergeCell ref="Q2044:Q2046"/>
    <mergeCell ref="Q2041:Q2043"/>
    <mergeCell ref="A2044:A2046"/>
    <mergeCell ref="B2044:B2046"/>
    <mergeCell ref="D2044:D2046"/>
    <mergeCell ref="E2044:E2046"/>
    <mergeCell ref="F2044:F2046"/>
    <mergeCell ref="G2044:G2046"/>
    <mergeCell ref="H2044:H2046"/>
    <mergeCell ref="I2044:I2046"/>
    <mergeCell ref="J2044:J2046"/>
    <mergeCell ref="J2041:J2043"/>
    <mergeCell ref="K2041:K2043"/>
    <mergeCell ref="L2041:L2043"/>
    <mergeCell ref="M2041:M2043"/>
    <mergeCell ref="N2041:N2043"/>
    <mergeCell ref="O2041:O2043"/>
    <mergeCell ref="O2038:O2040"/>
    <mergeCell ref="Q2038:Q2040"/>
    <mergeCell ref="A2041:A2043"/>
    <mergeCell ref="B2041:B2043"/>
    <mergeCell ref="D2041:D2043"/>
    <mergeCell ref="E2041:E2043"/>
    <mergeCell ref="F2041:F2043"/>
    <mergeCell ref="G2041:G2043"/>
    <mergeCell ref="H2041:H2043"/>
    <mergeCell ref="I2041:I2043"/>
    <mergeCell ref="I2038:I2040"/>
    <mergeCell ref="J2038:J2040"/>
    <mergeCell ref="K2038:K2040"/>
    <mergeCell ref="L2038:L2040"/>
    <mergeCell ref="M2038:M2040"/>
    <mergeCell ref="N2038:N2040"/>
    <mergeCell ref="N2035:N2037"/>
    <mergeCell ref="O2035:O2037"/>
    <mergeCell ref="Q2035:Q2037"/>
    <mergeCell ref="A2038:A2040"/>
    <mergeCell ref="B2038:B2040"/>
    <mergeCell ref="D2038:D2040"/>
    <mergeCell ref="E2038:E2040"/>
    <mergeCell ref="F2038:F2040"/>
    <mergeCell ref="G2038:G2040"/>
    <mergeCell ref="H2038:H2040"/>
    <mergeCell ref="H2035:H2037"/>
    <mergeCell ref="I2035:I2037"/>
    <mergeCell ref="J2035:J2037"/>
    <mergeCell ref="K2035:K2037"/>
    <mergeCell ref="L2035:L2037"/>
    <mergeCell ref="M2035:M2037"/>
    <mergeCell ref="A2035:A2037"/>
    <mergeCell ref="B2035:B2037"/>
    <mergeCell ref="D2035:D2037"/>
    <mergeCell ref="E2035:E2037"/>
    <mergeCell ref="F2035:F2037"/>
    <mergeCell ref="G2035:G2037"/>
    <mergeCell ref="K2032:K2034"/>
    <mergeCell ref="L2032:L2034"/>
    <mergeCell ref="M2032:M2034"/>
    <mergeCell ref="N2032:N2034"/>
    <mergeCell ref="O2032:O2034"/>
    <mergeCell ref="Q2032:Q2034"/>
    <mergeCell ref="Q2029:Q2031"/>
    <mergeCell ref="A2032:A2034"/>
    <mergeCell ref="B2032:B2034"/>
    <mergeCell ref="D2032:D2034"/>
    <mergeCell ref="E2032:E2034"/>
    <mergeCell ref="F2032:F2034"/>
    <mergeCell ref="G2032:G2034"/>
    <mergeCell ref="H2032:H2034"/>
    <mergeCell ref="I2032:I2034"/>
    <mergeCell ref="J2032:J2034"/>
    <mergeCell ref="J2029:J2031"/>
    <mergeCell ref="K2029:K2031"/>
    <mergeCell ref="L2029:L2031"/>
    <mergeCell ref="M2029:M2031"/>
    <mergeCell ref="N2029:N2031"/>
    <mergeCell ref="O2029:O2031"/>
    <mergeCell ref="O2026:O2028"/>
    <mergeCell ref="Q2026:Q2028"/>
    <mergeCell ref="A2029:A2031"/>
    <mergeCell ref="B2029:B2031"/>
    <mergeCell ref="D2029:D2031"/>
    <mergeCell ref="E2029:E2031"/>
    <mergeCell ref="F2029:F2031"/>
    <mergeCell ref="G2029:G2031"/>
    <mergeCell ref="H2029:H2031"/>
    <mergeCell ref="I2029:I2031"/>
    <mergeCell ref="I2026:I2028"/>
    <mergeCell ref="J2026:J2028"/>
    <mergeCell ref="K2026:K2028"/>
    <mergeCell ref="L2026:L2028"/>
    <mergeCell ref="M2026:M2028"/>
    <mergeCell ref="N2026:N2028"/>
    <mergeCell ref="N2023:N2025"/>
    <mergeCell ref="O2023:O2025"/>
    <mergeCell ref="Q2023:Q2025"/>
    <mergeCell ref="A2026:A2028"/>
    <mergeCell ref="B2026:B2028"/>
    <mergeCell ref="D2026:D2028"/>
    <mergeCell ref="E2026:E2028"/>
    <mergeCell ref="F2026:F2028"/>
    <mergeCell ref="G2026:G2028"/>
    <mergeCell ref="H2026:H2028"/>
    <mergeCell ref="H2023:H2025"/>
    <mergeCell ref="I2023:I2025"/>
    <mergeCell ref="J2023:J2025"/>
    <mergeCell ref="K2023:K2025"/>
    <mergeCell ref="L2023:L2025"/>
    <mergeCell ref="M2023:M2025"/>
    <mergeCell ref="A2023:A2025"/>
    <mergeCell ref="B2023:B2025"/>
    <mergeCell ref="D2023:D2025"/>
    <mergeCell ref="E2023:E2025"/>
    <mergeCell ref="F2023:F2025"/>
    <mergeCell ref="G2023:G2025"/>
    <mergeCell ref="K2020:K2022"/>
    <mergeCell ref="L2020:L2022"/>
    <mergeCell ref="M2020:M2022"/>
    <mergeCell ref="N2020:N2022"/>
    <mergeCell ref="O2020:O2022"/>
    <mergeCell ref="Q2020:Q2022"/>
    <mergeCell ref="Q2017:Q2019"/>
    <mergeCell ref="A2020:A2022"/>
    <mergeCell ref="B2020:B2022"/>
    <mergeCell ref="D2020:D2022"/>
    <mergeCell ref="E2020:E2022"/>
    <mergeCell ref="F2020:F2022"/>
    <mergeCell ref="G2020:G2022"/>
    <mergeCell ref="H2020:H2022"/>
    <mergeCell ref="I2020:I2022"/>
    <mergeCell ref="J2020:J2022"/>
    <mergeCell ref="J2017:J2019"/>
    <mergeCell ref="K2017:K2019"/>
    <mergeCell ref="L2017:L2019"/>
    <mergeCell ref="M2017:M2019"/>
    <mergeCell ref="N2017:N2019"/>
    <mergeCell ref="O2017:O2019"/>
    <mergeCell ref="O2014:O2016"/>
    <mergeCell ref="Q2014:Q2016"/>
    <mergeCell ref="A2017:A2019"/>
    <mergeCell ref="B2017:B2019"/>
    <mergeCell ref="D2017:D2019"/>
    <mergeCell ref="E2017:E2019"/>
    <mergeCell ref="F2017:F2019"/>
    <mergeCell ref="G2017:G2019"/>
    <mergeCell ref="H2017:H2019"/>
    <mergeCell ref="I2017:I2019"/>
    <mergeCell ref="I2014:I2016"/>
    <mergeCell ref="J2014:J2016"/>
    <mergeCell ref="K2014:K2016"/>
    <mergeCell ref="L2014:L2016"/>
    <mergeCell ref="M2014:M2016"/>
    <mergeCell ref="N2014:N2016"/>
    <mergeCell ref="N2011:N2013"/>
    <mergeCell ref="O2011:O2013"/>
    <mergeCell ref="Q2011:Q2013"/>
    <mergeCell ref="A2014:A2016"/>
    <mergeCell ref="B2014:B2016"/>
    <mergeCell ref="D2014:D2016"/>
    <mergeCell ref="E2014:E2016"/>
    <mergeCell ref="F2014:F2016"/>
    <mergeCell ref="G2014:G2016"/>
    <mergeCell ref="H2014:H2016"/>
    <mergeCell ref="H2011:H2013"/>
    <mergeCell ref="I2011:I2013"/>
    <mergeCell ref="J2011:J2013"/>
    <mergeCell ref="K2011:K2013"/>
    <mergeCell ref="L2011:L2013"/>
    <mergeCell ref="M2011:M2013"/>
    <mergeCell ref="A2011:A2013"/>
    <mergeCell ref="B2011:B2013"/>
    <mergeCell ref="D2011:D2013"/>
    <mergeCell ref="E2011:E2013"/>
    <mergeCell ref="F2011:F2013"/>
    <mergeCell ref="G2011:G2013"/>
    <mergeCell ref="K2008:K2010"/>
    <mergeCell ref="L2008:L2010"/>
    <mergeCell ref="M2008:M2010"/>
    <mergeCell ref="N2008:N2010"/>
    <mergeCell ref="O2008:O2010"/>
    <mergeCell ref="Q2008:Q2010"/>
    <mergeCell ref="Q2005:Q2007"/>
    <mergeCell ref="A2008:A2010"/>
    <mergeCell ref="B2008:B2010"/>
    <mergeCell ref="D2008:D2010"/>
    <mergeCell ref="E2008:E2010"/>
    <mergeCell ref="F2008:F2010"/>
    <mergeCell ref="G2008:G2010"/>
    <mergeCell ref="H2008:H2010"/>
    <mergeCell ref="I2008:I2010"/>
    <mergeCell ref="J2008:J2010"/>
    <mergeCell ref="J2005:J2007"/>
    <mergeCell ref="K2005:K2007"/>
    <mergeCell ref="L2005:L2007"/>
    <mergeCell ref="M2005:M2007"/>
    <mergeCell ref="N2005:N2007"/>
    <mergeCell ref="O2005:O2007"/>
    <mergeCell ref="O2002:O2004"/>
    <mergeCell ref="Q2002:Q2004"/>
    <mergeCell ref="A2005:A2007"/>
    <mergeCell ref="B2005:B2007"/>
    <mergeCell ref="D2005:D2007"/>
    <mergeCell ref="E2005:E2007"/>
    <mergeCell ref="F2005:F2007"/>
    <mergeCell ref="G2005:G2007"/>
    <mergeCell ref="H2005:H2007"/>
    <mergeCell ref="I2005:I2007"/>
    <mergeCell ref="I2002:I2004"/>
    <mergeCell ref="J2002:J2004"/>
    <mergeCell ref="K2002:K2004"/>
    <mergeCell ref="L2002:L2004"/>
    <mergeCell ref="M2002:M2004"/>
    <mergeCell ref="N2002:N2004"/>
    <mergeCell ref="N1999:N2001"/>
    <mergeCell ref="O1999:O2001"/>
    <mergeCell ref="Q1999:Q2001"/>
    <mergeCell ref="A2002:A2004"/>
    <mergeCell ref="B2002:B2004"/>
    <mergeCell ref="D2002:D2004"/>
    <mergeCell ref="E2002:E2004"/>
    <mergeCell ref="F2002:F2004"/>
    <mergeCell ref="G2002:G2004"/>
    <mergeCell ref="H2002:H2004"/>
    <mergeCell ref="H1999:H2001"/>
    <mergeCell ref="I1999:I2001"/>
    <mergeCell ref="J1999:J2001"/>
    <mergeCell ref="K1999:K2001"/>
    <mergeCell ref="L1999:L2001"/>
    <mergeCell ref="M1999:M2001"/>
    <mergeCell ref="A1999:A2001"/>
    <mergeCell ref="B1999:B2001"/>
    <mergeCell ref="D1999:D2001"/>
    <mergeCell ref="E1999:E2001"/>
    <mergeCell ref="F1999:F2001"/>
    <mergeCell ref="G1999:G2001"/>
    <mergeCell ref="K1996:K1998"/>
    <mergeCell ref="L1996:L1998"/>
    <mergeCell ref="M1996:M1998"/>
    <mergeCell ref="N1996:N1998"/>
    <mergeCell ref="O1996:O1998"/>
    <mergeCell ref="Q1996:Q1998"/>
    <mergeCell ref="Q1993:Q1995"/>
    <mergeCell ref="A1996:A1998"/>
    <mergeCell ref="B1996:B1998"/>
    <mergeCell ref="D1996:D1998"/>
    <mergeCell ref="E1996:E1998"/>
    <mergeCell ref="F1996:F1998"/>
    <mergeCell ref="G1996:G1998"/>
    <mergeCell ref="H1996:H1998"/>
    <mergeCell ref="I1996:I1998"/>
    <mergeCell ref="J1996:J1998"/>
    <mergeCell ref="J1993:J1995"/>
    <mergeCell ref="K1993:K1995"/>
    <mergeCell ref="L1993:L1995"/>
    <mergeCell ref="M1993:M1995"/>
    <mergeCell ref="N1993:N1995"/>
    <mergeCell ref="O1993:O1995"/>
    <mergeCell ref="O1990:O1992"/>
    <mergeCell ref="Q1990:Q1992"/>
    <mergeCell ref="A1993:A1995"/>
    <mergeCell ref="B1993:B1995"/>
    <mergeCell ref="D1993:D1995"/>
    <mergeCell ref="E1993:E1995"/>
    <mergeCell ref="F1993:F1995"/>
    <mergeCell ref="G1993:G1995"/>
    <mergeCell ref="H1993:H1995"/>
    <mergeCell ref="I1993:I1995"/>
    <mergeCell ref="I1990:I1992"/>
    <mergeCell ref="J1990:J1992"/>
    <mergeCell ref="K1990:K1992"/>
    <mergeCell ref="L1990:L1992"/>
    <mergeCell ref="M1990:M1992"/>
    <mergeCell ref="N1990:N1992"/>
    <mergeCell ref="N1987:N1989"/>
    <mergeCell ref="O1987:O1989"/>
    <mergeCell ref="Q1987:Q1989"/>
    <mergeCell ref="A1990:A1992"/>
    <mergeCell ref="B1990:B1992"/>
    <mergeCell ref="D1990:D1992"/>
    <mergeCell ref="E1990:E1992"/>
    <mergeCell ref="F1990:F1992"/>
    <mergeCell ref="G1990:G1992"/>
    <mergeCell ref="H1990:H1992"/>
    <mergeCell ref="H1987:H1989"/>
    <mergeCell ref="I1987:I1989"/>
    <mergeCell ref="J1987:J1989"/>
    <mergeCell ref="K1987:K1989"/>
    <mergeCell ref="L1987:L1989"/>
    <mergeCell ref="M1987:M1989"/>
    <mergeCell ref="A1987:A1989"/>
    <mergeCell ref="B1987:B1989"/>
    <mergeCell ref="D1987:D1989"/>
    <mergeCell ref="E1987:E1989"/>
    <mergeCell ref="F1987:F1989"/>
    <mergeCell ref="G1987:G1989"/>
    <mergeCell ref="K1984:K1986"/>
    <mergeCell ref="L1984:L1986"/>
    <mergeCell ref="M1984:M1986"/>
    <mergeCell ref="N1984:N1986"/>
    <mergeCell ref="O1984:O1986"/>
    <mergeCell ref="Q1984:Q1986"/>
    <mergeCell ref="Q1981:Q1983"/>
    <mergeCell ref="A1984:A1986"/>
    <mergeCell ref="B1984:B1986"/>
    <mergeCell ref="D1984:D1986"/>
    <mergeCell ref="E1984:E1986"/>
    <mergeCell ref="F1984:F1986"/>
    <mergeCell ref="G1984:G1986"/>
    <mergeCell ref="H1984:H1986"/>
    <mergeCell ref="I1984:I1986"/>
    <mergeCell ref="J1984:J1986"/>
    <mergeCell ref="J1981:J1983"/>
    <mergeCell ref="K1981:K1983"/>
    <mergeCell ref="L1981:L1983"/>
    <mergeCell ref="M1981:M1983"/>
    <mergeCell ref="N1981:N1983"/>
    <mergeCell ref="O1981:O1983"/>
    <mergeCell ref="O1978:O1980"/>
    <mergeCell ref="Q1978:Q1980"/>
    <mergeCell ref="A1981:A1983"/>
    <mergeCell ref="B1981:B1983"/>
    <mergeCell ref="D1981:D1983"/>
    <mergeCell ref="E1981:E1983"/>
    <mergeCell ref="F1981:F1983"/>
    <mergeCell ref="G1981:G1983"/>
    <mergeCell ref="H1981:H1983"/>
    <mergeCell ref="I1981:I1983"/>
    <mergeCell ref="I1978:I1980"/>
    <mergeCell ref="J1978:J1980"/>
    <mergeCell ref="K1978:K1980"/>
    <mergeCell ref="L1978:L1980"/>
    <mergeCell ref="M1978:M1980"/>
    <mergeCell ref="N1978:N1980"/>
    <mergeCell ref="N1975:N1977"/>
    <mergeCell ref="O1975:O1977"/>
    <mergeCell ref="Q1975:Q1977"/>
    <mergeCell ref="A1978:A1980"/>
    <mergeCell ref="B1978:B1980"/>
    <mergeCell ref="D1978:D1980"/>
    <mergeCell ref="E1978:E1980"/>
    <mergeCell ref="F1978:F1980"/>
    <mergeCell ref="G1978:G1980"/>
    <mergeCell ref="H1978:H1980"/>
    <mergeCell ref="H1975:H1977"/>
    <mergeCell ref="I1975:I1977"/>
    <mergeCell ref="J1975:J1977"/>
    <mergeCell ref="K1975:K1977"/>
    <mergeCell ref="L1975:L1977"/>
    <mergeCell ref="M1975:M1977"/>
    <mergeCell ref="A1975:A1977"/>
    <mergeCell ref="B1975:B1977"/>
    <mergeCell ref="D1975:D1977"/>
    <mergeCell ref="E1975:E1977"/>
    <mergeCell ref="F1975:F1977"/>
    <mergeCell ref="G1975:G1977"/>
    <mergeCell ref="K1972:K1974"/>
    <mergeCell ref="L1972:L1974"/>
    <mergeCell ref="M1972:M1974"/>
    <mergeCell ref="N1972:N1974"/>
    <mergeCell ref="O1972:O1974"/>
    <mergeCell ref="Q1972:Q1974"/>
    <mergeCell ref="Q1969:Q1971"/>
    <mergeCell ref="A1972:A1974"/>
    <mergeCell ref="B1972:B1974"/>
    <mergeCell ref="D1972:D1974"/>
    <mergeCell ref="E1972:E1974"/>
    <mergeCell ref="F1972:F1974"/>
    <mergeCell ref="G1972:G1974"/>
    <mergeCell ref="H1972:H1974"/>
    <mergeCell ref="I1972:I1974"/>
    <mergeCell ref="J1972:J1974"/>
    <mergeCell ref="J1969:J1971"/>
    <mergeCell ref="K1969:K1971"/>
    <mergeCell ref="L1969:L1971"/>
    <mergeCell ref="M1969:M1971"/>
    <mergeCell ref="N1969:N1971"/>
    <mergeCell ref="O1969:O1971"/>
    <mergeCell ref="O1966:O1968"/>
    <mergeCell ref="Q1966:Q1968"/>
    <mergeCell ref="A1969:A1971"/>
    <mergeCell ref="B1969:B1971"/>
    <mergeCell ref="D1969:D1971"/>
    <mergeCell ref="E1969:E1971"/>
    <mergeCell ref="F1969:F1971"/>
    <mergeCell ref="G1969:G1971"/>
    <mergeCell ref="H1969:H1971"/>
    <mergeCell ref="I1969:I1971"/>
    <mergeCell ref="I1966:I1968"/>
    <mergeCell ref="J1966:J1968"/>
    <mergeCell ref="K1966:K1968"/>
    <mergeCell ref="L1966:L1968"/>
    <mergeCell ref="M1966:M1968"/>
    <mergeCell ref="N1966:N1968"/>
    <mergeCell ref="N1963:N1965"/>
    <mergeCell ref="O1963:O1965"/>
    <mergeCell ref="Q1963:Q1965"/>
    <mergeCell ref="A1966:A1968"/>
    <mergeCell ref="B1966:B1968"/>
    <mergeCell ref="D1966:D1968"/>
    <mergeCell ref="E1966:E1968"/>
    <mergeCell ref="F1966:F1968"/>
    <mergeCell ref="G1966:G1968"/>
    <mergeCell ref="H1966:H1968"/>
    <mergeCell ref="H1963:H1965"/>
    <mergeCell ref="I1963:I1965"/>
    <mergeCell ref="J1963:J1965"/>
    <mergeCell ref="K1963:K1965"/>
    <mergeCell ref="L1963:L1965"/>
    <mergeCell ref="M1963:M1965"/>
    <mergeCell ref="A1963:A1965"/>
    <mergeCell ref="B1963:B1965"/>
    <mergeCell ref="D1963:D1965"/>
    <mergeCell ref="E1963:E1965"/>
    <mergeCell ref="F1963:F1965"/>
    <mergeCell ref="G1963:G1965"/>
    <mergeCell ref="K1960:K1962"/>
    <mergeCell ref="L1960:L1962"/>
    <mergeCell ref="M1960:M1962"/>
    <mergeCell ref="N1960:N1962"/>
    <mergeCell ref="O1960:O1962"/>
    <mergeCell ref="Q1960:Q1962"/>
    <mergeCell ref="Q1957:Q1959"/>
    <mergeCell ref="A1960:A1962"/>
    <mergeCell ref="B1960:B1962"/>
    <mergeCell ref="D1960:D1962"/>
    <mergeCell ref="E1960:E1962"/>
    <mergeCell ref="F1960:F1962"/>
    <mergeCell ref="G1960:G1962"/>
    <mergeCell ref="H1960:H1962"/>
    <mergeCell ref="I1960:I1962"/>
    <mergeCell ref="J1960:J1962"/>
    <mergeCell ref="J1957:J1959"/>
    <mergeCell ref="K1957:K1959"/>
    <mergeCell ref="L1957:L1959"/>
    <mergeCell ref="M1957:M1959"/>
    <mergeCell ref="N1957:N1959"/>
    <mergeCell ref="O1957:O1959"/>
    <mergeCell ref="O1954:O1956"/>
    <mergeCell ref="Q1954:Q1956"/>
    <mergeCell ref="A1957:A1959"/>
    <mergeCell ref="B1957:B1959"/>
    <mergeCell ref="D1957:D1959"/>
    <mergeCell ref="E1957:E1959"/>
    <mergeCell ref="F1957:F1959"/>
    <mergeCell ref="G1957:G1959"/>
    <mergeCell ref="H1957:H1959"/>
    <mergeCell ref="I1957:I1959"/>
    <mergeCell ref="I1954:I1956"/>
    <mergeCell ref="J1954:J1956"/>
    <mergeCell ref="K1954:K1956"/>
    <mergeCell ref="L1954:L1956"/>
    <mergeCell ref="M1954:M1956"/>
    <mergeCell ref="N1954:N1956"/>
    <mergeCell ref="N1951:N1953"/>
    <mergeCell ref="O1951:O1953"/>
    <mergeCell ref="Q1951:Q1953"/>
    <mergeCell ref="A1954:A1956"/>
    <mergeCell ref="B1954:B1956"/>
    <mergeCell ref="D1954:D1956"/>
    <mergeCell ref="E1954:E1956"/>
    <mergeCell ref="F1954:F1956"/>
    <mergeCell ref="G1954:G1956"/>
    <mergeCell ref="H1954:H1956"/>
    <mergeCell ref="H1951:H1953"/>
    <mergeCell ref="I1951:I1953"/>
    <mergeCell ref="J1951:J1953"/>
    <mergeCell ref="K1951:K1953"/>
    <mergeCell ref="L1951:L1953"/>
    <mergeCell ref="M1951:M1953"/>
    <mergeCell ref="A1951:A1953"/>
    <mergeCell ref="B1951:B1953"/>
    <mergeCell ref="D1951:D1953"/>
    <mergeCell ref="E1951:E1953"/>
    <mergeCell ref="F1951:F1953"/>
    <mergeCell ref="G1951:G1953"/>
    <mergeCell ref="K1948:K1950"/>
    <mergeCell ref="L1948:L1950"/>
    <mergeCell ref="M1948:M1950"/>
    <mergeCell ref="N1948:N1950"/>
    <mergeCell ref="O1948:O1950"/>
    <mergeCell ref="Q1948:Q1950"/>
    <mergeCell ref="Q1945:Q1947"/>
    <mergeCell ref="A1948:A1950"/>
    <mergeCell ref="B1948:B1950"/>
    <mergeCell ref="D1948:D1950"/>
    <mergeCell ref="E1948:E1950"/>
    <mergeCell ref="F1948:F1950"/>
    <mergeCell ref="G1948:G1950"/>
    <mergeCell ref="H1948:H1950"/>
    <mergeCell ref="I1948:I1950"/>
    <mergeCell ref="J1948:J1950"/>
    <mergeCell ref="J1945:J1947"/>
    <mergeCell ref="K1945:K1947"/>
    <mergeCell ref="L1945:L1947"/>
    <mergeCell ref="M1945:M1947"/>
    <mergeCell ref="N1945:N1947"/>
    <mergeCell ref="O1945:O1947"/>
    <mergeCell ref="O1942:O1944"/>
    <mergeCell ref="Q1942:Q1944"/>
    <mergeCell ref="A1945:A1947"/>
    <mergeCell ref="B1945:B1947"/>
    <mergeCell ref="D1945:D1947"/>
    <mergeCell ref="E1945:E1947"/>
    <mergeCell ref="F1945:F1947"/>
    <mergeCell ref="G1945:G1947"/>
    <mergeCell ref="H1945:H1947"/>
    <mergeCell ref="I1945:I1947"/>
    <mergeCell ref="I1942:I1944"/>
    <mergeCell ref="J1942:J1944"/>
    <mergeCell ref="K1942:K1944"/>
    <mergeCell ref="L1942:L1944"/>
    <mergeCell ref="M1942:M1944"/>
    <mergeCell ref="N1942:N1944"/>
    <mergeCell ref="N1939:N1941"/>
    <mergeCell ref="O1939:O1941"/>
    <mergeCell ref="Q1939:Q1941"/>
    <mergeCell ref="A1942:A1944"/>
    <mergeCell ref="B1942:B1944"/>
    <mergeCell ref="D1942:D1944"/>
    <mergeCell ref="E1942:E1944"/>
    <mergeCell ref="F1942:F1944"/>
    <mergeCell ref="G1942:G1944"/>
    <mergeCell ref="H1942:H1944"/>
    <mergeCell ref="H1939:H1941"/>
    <mergeCell ref="I1939:I1941"/>
    <mergeCell ref="J1939:J1941"/>
    <mergeCell ref="K1939:K1941"/>
    <mergeCell ref="L1939:L1941"/>
    <mergeCell ref="M1939:M1941"/>
    <mergeCell ref="A1939:A1941"/>
    <mergeCell ref="B1939:B1941"/>
    <mergeCell ref="D1939:D1941"/>
    <mergeCell ref="E1939:E1941"/>
    <mergeCell ref="F1939:F1941"/>
    <mergeCell ref="G1939:G1941"/>
    <mergeCell ref="K1936:K1938"/>
    <mergeCell ref="L1936:L1938"/>
    <mergeCell ref="M1936:M1938"/>
    <mergeCell ref="N1936:N1938"/>
    <mergeCell ref="O1936:O1938"/>
    <mergeCell ref="Q1936:Q1938"/>
    <mergeCell ref="Q1933:Q1935"/>
    <mergeCell ref="A1936:A1938"/>
    <mergeCell ref="B1936:B1938"/>
    <mergeCell ref="D1936:D1938"/>
    <mergeCell ref="E1936:E1938"/>
    <mergeCell ref="F1936:F1938"/>
    <mergeCell ref="G1936:G1938"/>
    <mergeCell ref="H1936:H1938"/>
    <mergeCell ref="I1936:I1938"/>
    <mergeCell ref="J1936:J1938"/>
    <mergeCell ref="J1933:J1935"/>
    <mergeCell ref="K1933:K1935"/>
    <mergeCell ref="L1933:L1935"/>
    <mergeCell ref="M1933:M1935"/>
    <mergeCell ref="N1933:N1935"/>
    <mergeCell ref="O1933:O1935"/>
    <mergeCell ref="O1930:O1932"/>
    <mergeCell ref="Q1930:Q1932"/>
    <mergeCell ref="A1933:A1935"/>
    <mergeCell ref="B1933:B1935"/>
    <mergeCell ref="D1933:D1935"/>
    <mergeCell ref="E1933:E1935"/>
    <mergeCell ref="F1933:F1935"/>
    <mergeCell ref="G1933:G1935"/>
    <mergeCell ref="H1933:H1935"/>
    <mergeCell ref="I1933:I1935"/>
    <mergeCell ref="I1930:I1932"/>
    <mergeCell ref="J1930:J1932"/>
    <mergeCell ref="K1930:K1932"/>
    <mergeCell ref="L1930:L1932"/>
    <mergeCell ref="M1930:M1932"/>
    <mergeCell ref="N1930:N1932"/>
    <mergeCell ref="N1927:N1929"/>
    <mergeCell ref="O1927:O1929"/>
    <mergeCell ref="Q1927:Q1929"/>
    <mergeCell ref="A1930:A1932"/>
    <mergeCell ref="B1930:B1932"/>
    <mergeCell ref="D1930:D1932"/>
    <mergeCell ref="E1930:E1932"/>
    <mergeCell ref="F1930:F1932"/>
    <mergeCell ref="G1930:G1932"/>
    <mergeCell ref="H1930:H1932"/>
    <mergeCell ref="H1927:H1929"/>
    <mergeCell ref="I1927:I1929"/>
    <mergeCell ref="J1927:J1929"/>
    <mergeCell ref="K1927:K1929"/>
    <mergeCell ref="L1927:L1929"/>
    <mergeCell ref="M1927:M1929"/>
    <mergeCell ref="A1927:A1929"/>
    <mergeCell ref="B1927:B1929"/>
    <mergeCell ref="D1927:D1929"/>
    <mergeCell ref="E1927:E1929"/>
    <mergeCell ref="F1927:F1929"/>
    <mergeCell ref="G1927:G1929"/>
    <mergeCell ref="K1924:K1926"/>
    <mergeCell ref="L1924:L1926"/>
    <mergeCell ref="M1924:M1926"/>
    <mergeCell ref="N1924:N1926"/>
    <mergeCell ref="O1924:O1926"/>
    <mergeCell ref="Q1924:Q1926"/>
    <mergeCell ref="Q1921:Q1923"/>
    <mergeCell ref="A1924:A1926"/>
    <mergeCell ref="B1924:B1926"/>
    <mergeCell ref="D1924:D1926"/>
    <mergeCell ref="E1924:E1926"/>
    <mergeCell ref="F1924:F1926"/>
    <mergeCell ref="G1924:G1926"/>
    <mergeCell ref="H1924:H1926"/>
    <mergeCell ref="I1924:I1926"/>
    <mergeCell ref="J1924:J1926"/>
    <mergeCell ref="J1921:J1922"/>
    <mergeCell ref="K1921:K1922"/>
    <mergeCell ref="L1921:L1923"/>
    <mergeCell ref="M1921:M1923"/>
    <mergeCell ref="N1921:N1923"/>
    <mergeCell ref="O1921:O1923"/>
    <mergeCell ref="N1918:N1920"/>
    <mergeCell ref="O1918:O1920"/>
    <mergeCell ref="A1921:A1923"/>
    <mergeCell ref="B1921:B1922"/>
    <mergeCell ref="D1921:D1923"/>
    <mergeCell ref="E1921:E1922"/>
    <mergeCell ref="F1921:F1923"/>
    <mergeCell ref="G1921:G1923"/>
    <mergeCell ref="H1921:H1923"/>
    <mergeCell ref="I1921:I1922"/>
    <mergeCell ref="H1918:H1920"/>
    <mergeCell ref="I1918:I1920"/>
    <mergeCell ref="J1918:J1920"/>
    <mergeCell ref="K1918:K1920"/>
    <mergeCell ref="L1918:L1920"/>
    <mergeCell ref="M1918:M1920"/>
    <mergeCell ref="A1918:A1920"/>
    <mergeCell ref="B1918:B1920"/>
    <mergeCell ref="D1918:D1920"/>
    <mergeCell ref="E1918:E1920"/>
    <mergeCell ref="F1918:F1920"/>
    <mergeCell ref="G1918:G1920"/>
    <mergeCell ref="K1915:K1917"/>
    <mergeCell ref="L1915:L1917"/>
    <mergeCell ref="M1915:M1917"/>
    <mergeCell ref="N1915:N1917"/>
    <mergeCell ref="O1915:O1917"/>
    <mergeCell ref="Q1915:Q1917"/>
    <mergeCell ref="Q1912:Q1914"/>
    <mergeCell ref="A1915:A1917"/>
    <mergeCell ref="B1915:B1917"/>
    <mergeCell ref="D1915:D1917"/>
    <mergeCell ref="E1915:E1917"/>
    <mergeCell ref="F1915:F1917"/>
    <mergeCell ref="G1915:G1917"/>
    <mergeCell ref="H1915:H1917"/>
    <mergeCell ref="I1915:I1917"/>
    <mergeCell ref="J1915:J1917"/>
    <mergeCell ref="J1912:J1914"/>
    <mergeCell ref="K1912:K1914"/>
    <mergeCell ref="L1912:L1914"/>
    <mergeCell ref="M1912:M1914"/>
    <mergeCell ref="N1912:N1914"/>
    <mergeCell ref="O1912:O1914"/>
    <mergeCell ref="O1909:O1911"/>
    <mergeCell ref="Q1909:Q1911"/>
    <mergeCell ref="A1912:A1914"/>
    <mergeCell ref="B1912:B1914"/>
    <mergeCell ref="D1912:D1914"/>
    <mergeCell ref="E1912:E1914"/>
    <mergeCell ref="F1912:F1914"/>
    <mergeCell ref="G1912:G1914"/>
    <mergeCell ref="H1912:H1914"/>
    <mergeCell ref="I1912:I1914"/>
    <mergeCell ref="I1909:I1911"/>
    <mergeCell ref="J1909:J1911"/>
    <mergeCell ref="K1909:K1911"/>
    <mergeCell ref="L1909:L1911"/>
    <mergeCell ref="M1909:M1911"/>
    <mergeCell ref="N1909:N1911"/>
    <mergeCell ref="N1906:N1908"/>
    <mergeCell ref="O1906:O1908"/>
    <mergeCell ref="Q1906:Q1908"/>
    <mergeCell ref="A1909:A1911"/>
    <mergeCell ref="B1909:B1911"/>
    <mergeCell ref="D1909:D1911"/>
    <mergeCell ref="E1909:E1911"/>
    <mergeCell ref="F1909:F1911"/>
    <mergeCell ref="G1909:G1911"/>
    <mergeCell ref="H1909:H1911"/>
    <mergeCell ref="H1906:H1908"/>
    <mergeCell ref="I1906:I1908"/>
    <mergeCell ref="J1906:J1908"/>
    <mergeCell ref="K1906:K1908"/>
    <mergeCell ref="L1906:L1908"/>
    <mergeCell ref="M1906:M1908"/>
    <mergeCell ref="A1906:A1908"/>
    <mergeCell ref="B1906:B1908"/>
    <mergeCell ref="D1906:D1908"/>
    <mergeCell ref="E1906:E1908"/>
    <mergeCell ref="F1906:F1908"/>
    <mergeCell ref="G1906:G1908"/>
    <mergeCell ref="K1903:K1905"/>
    <mergeCell ref="L1903:L1905"/>
    <mergeCell ref="M1903:M1905"/>
    <mergeCell ref="N1903:N1905"/>
    <mergeCell ref="O1903:O1905"/>
    <mergeCell ref="Q1903:Q1905"/>
    <mergeCell ref="Q1900:Q1902"/>
    <mergeCell ref="A1903:A1905"/>
    <mergeCell ref="B1903:B1905"/>
    <mergeCell ref="D1903:D1905"/>
    <mergeCell ref="E1903:E1905"/>
    <mergeCell ref="F1903:F1905"/>
    <mergeCell ref="G1903:G1905"/>
    <mergeCell ref="H1903:H1905"/>
    <mergeCell ref="I1903:I1905"/>
    <mergeCell ref="J1903:J1905"/>
    <mergeCell ref="J1900:J1902"/>
    <mergeCell ref="K1900:K1902"/>
    <mergeCell ref="L1900:L1902"/>
    <mergeCell ref="M1900:M1902"/>
    <mergeCell ref="N1900:N1902"/>
    <mergeCell ref="O1900:O1902"/>
    <mergeCell ref="O1897:O1899"/>
    <mergeCell ref="Q1897:Q1899"/>
    <mergeCell ref="A1900:A1902"/>
    <mergeCell ref="B1900:B1902"/>
    <mergeCell ref="D1900:D1902"/>
    <mergeCell ref="E1900:E1902"/>
    <mergeCell ref="F1900:F1902"/>
    <mergeCell ref="G1900:G1902"/>
    <mergeCell ref="H1900:H1902"/>
    <mergeCell ref="I1900:I1902"/>
    <mergeCell ref="I1897:I1899"/>
    <mergeCell ref="J1897:J1899"/>
    <mergeCell ref="K1897:K1899"/>
    <mergeCell ref="L1897:L1899"/>
    <mergeCell ref="M1897:M1899"/>
    <mergeCell ref="N1897:N1899"/>
    <mergeCell ref="N1894:N1896"/>
    <mergeCell ref="O1894:O1896"/>
    <mergeCell ref="Q1894:Q1896"/>
    <mergeCell ref="A1897:A1899"/>
    <mergeCell ref="B1897:B1899"/>
    <mergeCell ref="D1897:D1899"/>
    <mergeCell ref="E1897:E1899"/>
    <mergeCell ref="F1897:F1899"/>
    <mergeCell ref="G1897:G1899"/>
    <mergeCell ref="H1897:H1899"/>
    <mergeCell ref="H1894:H1896"/>
    <mergeCell ref="I1894:I1896"/>
    <mergeCell ref="J1894:J1896"/>
    <mergeCell ref="K1894:K1896"/>
    <mergeCell ref="L1894:L1896"/>
    <mergeCell ref="M1894:M1896"/>
    <mergeCell ref="A1894:A1896"/>
    <mergeCell ref="B1894:B1896"/>
    <mergeCell ref="D1894:D1896"/>
    <mergeCell ref="E1894:E1896"/>
    <mergeCell ref="F1894:F1896"/>
    <mergeCell ref="G1894:G1896"/>
    <mergeCell ref="K1891:K1893"/>
    <mergeCell ref="L1891:L1893"/>
    <mergeCell ref="M1891:M1893"/>
    <mergeCell ref="N1891:N1893"/>
    <mergeCell ref="O1891:O1893"/>
    <mergeCell ref="Q1891:Q1893"/>
    <mergeCell ref="Q1888:Q1890"/>
    <mergeCell ref="A1891:A1893"/>
    <mergeCell ref="B1891:B1893"/>
    <mergeCell ref="D1891:D1893"/>
    <mergeCell ref="E1891:E1893"/>
    <mergeCell ref="F1891:F1893"/>
    <mergeCell ref="G1891:G1893"/>
    <mergeCell ref="H1891:H1893"/>
    <mergeCell ref="I1891:I1893"/>
    <mergeCell ref="J1891:J1893"/>
    <mergeCell ref="J1888:J1890"/>
    <mergeCell ref="K1888:K1890"/>
    <mergeCell ref="L1888:L1890"/>
    <mergeCell ref="M1888:M1890"/>
    <mergeCell ref="N1888:N1890"/>
    <mergeCell ref="O1888:O1890"/>
    <mergeCell ref="O1885:O1887"/>
    <mergeCell ref="Q1885:Q1887"/>
    <mergeCell ref="A1888:A1890"/>
    <mergeCell ref="B1888:B1890"/>
    <mergeCell ref="D1888:D1890"/>
    <mergeCell ref="E1888:E1890"/>
    <mergeCell ref="F1888:F1890"/>
    <mergeCell ref="G1888:G1890"/>
    <mergeCell ref="H1888:H1890"/>
    <mergeCell ref="I1888:I1890"/>
    <mergeCell ref="I1885:I1887"/>
    <mergeCell ref="J1885:J1887"/>
    <mergeCell ref="K1885:K1887"/>
    <mergeCell ref="L1885:L1887"/>
    <mergeCell ref="M1885:M1887"/>
    <mergeCell ref="N1885:N1887"/>
    <mergeCell ref="N1882:N1884"/>
    <mergeCell ref="O1882:O1884"/>
    <mergeCell ref="Q1882:Q1884"/>
    <mergeCell ref="A1885:A1887"/>
    <mergeCell ref="B1885:B1887"/>
    <mergeCell ref="D1885:D1887"/>
    <mergeCell ref="E1885:E1887"/>
    <mergeCell ref="F1885:F1887"/>
    <mergeCell ref="G1885:G1887"/>
    <mergeCell ref="H1885:H1887"/>
    <mergeCell ref="H1882:H1884"/>
    <mergeCell ref="I1882:I1884"/>
    <mergeCell ref="J1882:J1884"/>
    <mergeCell ref="K1882:K1884"/>
    <mergeCell ref="L1882:L1884"/>
    <mergeCell ref="M1882:M1884"/>
    <mergeCell ref="A1882:A1884"/>
    <mergeCell ref="B1882:B1884"/>
    <mergeCell ref="D1882:D1884"/>
    <mergeCell ref="E1882:E1884"/>
    <mergeCell ref="F1882:F1884"/>
    <mergeCell ref="G1882:G1884"/>
    <mergeCell ref="K1879:K1881"/>
    <mergeCell ref="L1879:L1881"/>
    <mergeCell ref="M1879:M1881"/>
    <mergeCell ref="N1879:N1881"/>
    <mergeCell ref="O1879:O1881"/>
    <mergeCell ref="Q1879:Q1881"/>
    <mergeCell ref="Q1876:Q1878"/>
    <mergeCell ref="A1879:A1881"/>
    <mergeCell ref="B1879:B1881"/>
    <mergeCell ref="D1879:D1881"/>
    <mergeCell ref="E1879:E1881"/>
    <mergeCell ref="F1879:F1881"/>
    <mergeCell ref="G1879:G1881"/>
    <mergeCell ref="H1879:H1881"/>
    <mergeCell ref="I1879:I1881"/>
    <mergeCell ref="J1879:J1881"/>
    <mergeCell ref="J1876:J1878"/>
    <mergeCell ref="K1876:K1878"/>
    <mergeCell ref="L1876:L1878"/>
    <mergeCell ref="M1876:M1878"/>
    <mergeCell ref="N1876:N1878"/>
    <mergeCell ref="O1876:O1878"/>
    <mergeCell ref="O1873:O1875"/>
    <mergeCell ref="Q1873:Q1875"/>
    <mergeCell ref="A1876:A1878"/>
    <mergeCell ref="B1876:B1878"/>
    <mergeCell ref="D1876:D1878"/>
    <mergeCell ref="E1876:E1878"/>
    <mergeCell ref="F1876:F1878"/>
    <mergeCell ref="G1876:G1878"/>
    <mergeCell ref="H1876:H1878"/>
    <mergeCell ref="I1876:I1878"/>
    <mergeCell ref="I1873:I1875"/>
    <mergeCell ref="J1873:J1875"/>
    <mergeCell ref="K1873:K1875"/>
    <mergeCell ref="L1873:L1875"/>
    <mergeCell ref="M1873:M1875"/>
    <mergeCell ref="N1873:N1875"/>
    <mergeCell ref="N1870:N1872"/>
    <mergeCell ref="O1870:O1872"/>
    <mergeCell ref="Q1870:Q1872"/>
    <mergeCell ref="A1873:A1875"/>
    <mergeCell ref="B1873:B1875"/>
    <mergeCell ref="D1873:D1875"/>
    <mergeCell ref="E1873:E1875"/>
    <mergeCell ref="F1873:F1875"/>
    <mergeCell ref="G1873:G1875"/>
    <mergeCell ref="H1873:H1875"/>
    <mergeCell ref="H1870:H1872"/>
    <mergeCell ref="I1870:I1872"/>
    <mergeCell ref="J1870:J1872"/>
    <mergeCell ref="K1870:K1872"/>
    <mergeCell ref="L1870:L1872"/>
    <mergeCell ref="M1870:M1872"/>
    <mergeCell ref="A1870:A1872"/>
    <mergeCell ref="B1870:B1872"/>
    <mergeCell ref="D1870:D1872"/>
    <mergeCell ref="E1870:E1872"/>
    <mergeCell ref="F1870:F1872"/>
    <mergeCell ref="G1870:G1872"/>
    <mergeCell ref="K1867:K1869"/>
    <mergeCell ref="L1867:L1869"/>
    <mergeCell ref="M1867:M1869"/>
    <mergeCell ref="N1867:N1869"/>
    <mergeCell ref="O1867:O1869"/>
    <mergeCell ref="Q1867:Q1869"/>
    <mergeCell ref="Q1864:Q1866"/>
    <mergeCell ref="A1867:A1869"/>
    <mergeCell ref="B1867:B1869"/>
    <mergeCell ref="D1867:D1869"/>
    <mergeCell ref="E1867:E1869"/>
    <mergeCell ref="F1867:F1869"/>
    <mergeCell ref="G1867:G1869"/>
    <mergeCell ref="H1867:H1869"/>
    <mergeCell ref="I1867:I1869"/>
    <mergeCell ref="J1867:J1869"/>
    <mergeCell ref="J1864:J1866"/>
    <mergeCell ref="K1864:K1866"/>
    <mergeCell ref="L1864:L1866"/>
    <mergeCell ref="M1864:M1866"/>
    <mergeCell ref="N1864:N1866"/>
    <mergeCell ref="O1864:O1866"/>
    <mergeCell ref="O1861:O1863"/>
    <mergeCell ref="Q1861:Q1863"/>
    <mergeCell ref="A1864:A1866"/>
    <mergeCell ref="B1864:B1866"/>
    <mergeCell ref="D1864:D1866"/>
    <mergeCell ref="E1864:E1866"/>
    <mergeCell ref="F1864:F1866"/>
    <mergeCell ref="G1864:G1866"/>
    <mergeCell ref="H1864:H1866"/>
    <mergeCell ref="I1864:I1866"/>
    <mergeCell ref="I1861:I1863"/>
    <mergeCell ref="J1861:J1863"/>
    <mergeCell ref="K1861:K1863"/>
    <mergeCell ref="L1861:L1863"/>
    <mergeCell ref="M1861:M1863"/>
    <mergeCell ref="N1861:N1863"/>
    <mergeCell ref="N1858:N1860"/>
    <mergeCell ref="O1858:O1860"/>
    <mergeCell ref="Q1858:Q1860"/>
    <mergeCell ref="A1861:A1863"/>
    <mergeCell ref="B1861:B1863"/>
    <mergeCell ref="D1861:D1863"/>
    <mergeCell ref="E1861:E1863"/>
    <mergeCell ref="F1861:F1863"/>
    <mergeCell ref="G1861:G1863"/>
    <mergeCell ref="H1861:H1863"/>
    <mergeCell ref="H1858:H1860"/>
    <mergeCell ref="I1858:I1860"/>
    <mergeCell ref="J1858:J1860"/>
    <mergeCell ref="K1858:K1860"/>
    <mergeCell ref="L1858:L1860"/>
    <mergeCell ref="M1858:M1860"/>
    <mergeCell ref="A1858:A1860"/>
    <mergeCell ref="B1858:B1860"/>
    <mergeCell ref="D1858:D1860"/>
    <mergeCell ref="E1858:E1860"/>
    <mergeCell ref="F1858:F1860"/>
    <mergeCell ref="G1858:G1860"/>
    <mergeCell ref="K1855:K1857"/>
    <mergeCell ref="L1855:L1857"/>
    <mergeCell ref="M1855:M1857"/>
    <mergeCell ref="N1855:N1857"/>
    <mergeCell ref="O1855:O1857"/>
    <mergeCell ref="Q1855:Q1857"/>
    <mergeCell ref="Q1852:Q1854"/>
    <mergeCell ref="A1855:A1857"/>
    <mergeCell ref="B1855:B1857"/>
    <mergeCell ref="D1855:D1857"/>
    <mergeCell ref="E1855:E1857"/>
    <mergeCell ref="F1855:F1857"/>
    <mergeCell ref="G1855:G1857"/>
    <mergeCell ref="H1855:H1857"/>
    <mergeCell ref="I1855:I1857"/>
    <mergeCell ref="J1855:J1857"/>
    <mergeCell ref="J1852:J1854"/>
    <mergeCell ref="K1852:K1854"/>
    <mergeCell ref="L1852:L1854"/>
    <mergeCell ref="M1852:M1854"/>
    <mergeCell ref="N1852:N1854"/>
    <mergeCell ref="O1852:O1854"/>
    <mergeCell ref="O1849:O1851"/>
    <mergeCell ref="Q1849:Q1851"/>
    <mergeCell ref="A1852:A1854"/>
    <mergeCell ref="B1852:B1854"/>
    <mergeCell ref="D1852:D1854"/>
    <mergeCell ref="E1852:E1854"/>
    <mergeCell ref="F1852:F1854"/>
    <mergeCell ref="G1852:G1854"/>
    <mergeCell ref="H1852:H1854"/>
    <mergeCell ref="I1852:I1854"/>
    <mergeCell ref="I1849:I1851"/>
    <mergeCell ref="J1849:J1851"/>
    <mergeCell ref="K1849:K1851"/>
    <mergeCell ref="L1849:L1851"/>
    <mergeCell ref="M1849:M1851"/>
    <mergeCell ref="N1849:N1851"/>
    <mergeCell ref="O1845:O1847"/>
    <mergeCell ref="Q1845:Q1847"/>
    <mergeCell ref="A1848:Q1848"/>
    <mergeCell ref="A1849:A1851"/>
    <mergeCell ref="B1849:B1851"/>
    <mergeCell ref="D1849:D1851"/>
    <mergeCell ref="E1849:E1851"/>
    <mergeCell ref="F1849:F1851"/>
    <mergeCell ref="G1849:G1851"/>
    <mergeCell ref="H1849:H1851"/>
    <mergeCell ref="I1845:I1847"/>
    <mergeCell ref="J1845:J1847"/>
    <mergeCell ref="K1845:K1847"/>
    <mergeCell ref="L1845:L1847"/>
    <mergeCell ref="M1845:M1847"/>
    <mergeCell ref="N1845:N1847"/>
    <mergeCell ref="N1842:N1844"/>
    <mergeCell ref="O1842:O1844"/>
    <mergeCell ref="Q1842:Q1844"/>
    <mergeCell ref="A1845:A1847"/>
    <mergeCell ref="B1845:B1847"/>
    <mergeCell ref="D1845:D1847"/>
    <mergeCell ref="E1845:E1847"/>
    <mergeCell ref="F1845:F1847"/>
    <mergeCell ref="G1845:G1847"/>
    <mergeCell ref="H1845:H1847"/>
    <mergeCell ref="H1842:H1844"/>
    <mergeCell ref="I1842:I1844"/>
    <mergeCell ref="J1842:J1844"/>
    <mergeCell ref="K1842:K1844"/>
    <mergeCell ref="L1842:L1844"/>
    <mergeCell ref="M1842:M1844"/>
    <mergeCell ref="A1842:A1844"/>
    <mergeCell ref="B1842:B1844"/>
    <mergeCell ref="D1842:D1844"/>
    <mergeCell ref="E1842:E1844"/>
    <mergeCell ref="F1842:F1844"/>
    <mergeCell ref="G1842:G1844"/>
    <mergeCell ref="K1839:K1841"/>
    <mergeCell ref="L1839:L1841"/>
    <mergeCell ref="M1839:M1841"/>
    <mergeCell ref="N1839:N1841"/>
    <mergeCell ref="O1839:O1841"/>
    <mergeCell ref="Q1839:Q1841"/>
    <mergeCell ref="Q1836:Q1838"/>
    <mergeCell ref="A1839:A1841"/>
    <mergeCell ref="B1839:B1841"/>
    <mergeCell ref="D1839:D1841"/>
    <mergeCell ref="E1839:E1841"/>
    <mergeCell ref="F1839:F1841"/>
    <mergeCell ref="G1839:G1841"/>
    <mergeCell ref="H1839:H1841"/>
    <mergeCell ref="I1839:I1841"/>
    <mergeCell ref="J1839:J1841"/>
    <mergeCell ref="J1836:J1838"/>
    <mergeCell ref="K1836:K1838"/>
    <mergeCell ref="L1836:L1838"/>
    <mergeCell ref="M1836:M1838"/>
    <mergeCell ref="N1836:N1838"/>
    <mergeCell ref="O1836:O1838"/>
    <mergeCell ref="O1833:O1835"/>
    <mergeCell ref="Q1833:Q1835"/>
    <mergeCell ref="A1836:A1838"/>
    <mergeCell ref="B1836:B1838"/>
    <mergeCell ref="D1836:D1838"/>
    <mergeCell ref="E1836:E1838"/>
    <mergeCell ref="F1836:F1838"/>
    <mergeCell ref="G1836:G1838"/>
    <mergeCell ref="H1836:H1838"/>
    <mergeCell ref="I1836:I1838"/>
    <mergeCell ref="I1833:I1835"/>
    <mergeCell ref="J1833:J1835"/>
    <mergeCell ref="K1833:K1835"/>
    <mergeCell ref="L1833:L1835"/>
    <mergeCell ref="M1833:M1835"/>
    <mergeCell ref="N1833:N1835"/>
    <mergeCell ref="N1830:N1832"/>
    <mergeCell ref="O1830:O1832"/>
    <mergeCell ref="Q1830:Q1832"/>
    <mergeCell ref="A1833:A1835"/>
    <mergeCell ref="B1833:B1835"/>
    <mergeCell ref="D1833:D1835"/>
    <mergeCell ref="E1833:E1835"/>
    <mergeCell ref="F1833:F1835"/>
    <mergeCell ref="G1833:G1835"/>
    <mergeCell ref="H1833:H1835"/>
    <mergeCell ref="H1830:H1832"/>
    <mergeCell ref="I1830:I1832"/>
    <mergeCell ref="J1830:J1832"/>
    <mergeCell ref="K1830:K1832"/>
    <mergeCell ref="L1830:L1832"/>
    <mergeCell ref="M1830:M1832"/>
    <mergeCell ref="A1830:A1832"/>
    <mergeCell ref="B1830:B1832"/>
    <mergeCell ref="D1830:D1832"/>
    <mergeCell ref="E1830:E1832"/>
    <mergeCell ref="F1830:F1832"/>
    <mergeCell ref="G1830:G1832"/>
    <mergeCell ref="K1827:K1829"/>
    <mergeCell ref="L1827:L1829"/>
    <mergeCell ref="M1827:M1829"/>
    <mergeCell ref="N1827:N1829"/>
    <mergeCell ref="O1827:O1829"/>
    <mergeCell ref="Q1827:Q1829"/>
    <mergeCell ref="Q1824:Q1826"/>
    <mergeCell ref="A1827:A1829"/>
    <mergeCell ref="B1827:B1829"/>
    <mergeCell ref="D1827:D1829"/>
    <mergeCell ref="E1827:E1829"/>
    <mergeCell ref="F1827:F1829"/>
    <mergeCell ref="G1827:G1829"/>
    <mergeCell ref="H1827:H1829"/>
    <mergeCell ref="I1827:I1829"/>
    <mergeCell ref="J1827:J1829"/>
    <mergeCell ref="J1824:J1826"/>
    <mergeCell ref="K1824:K1826"/>
    <mergeCell ref="L1824:L1826"/>
    <mergeCell ref="M1824:M1826"/>
    <mergeCell ref="N1824:N1826"/>
    <mergeCell ref="O1824:O1826"/>
    <mergeCell ref="O1821:O1823"/>
    <mergeCell ref="Q1821:Q1823"/>
    <mergeCell ref="A1824:A1826"/>
    <mergeCell ref="B1824:B1826"/>
    <mergeCell ref="D1824:D1826"/>
    <mergeCell ref="E1824:E1826"/>
    <mergeCell ref="F1824:F1826"/>
    <mergeCell ref="G1824:G1826"/>
    <mergeCell ref="H1824:H1826"/>
    <mergeCell ref="I1824:I1826"/>
    <mergeCell ref="I1821:I1823"/>
    <mergeCell ref="J1821:J1823"/>
    <mergeCell ref="K1821:K1823"/>
    <mergeCell ref="L1821:L1823"/>
    <mergeCell ref="M1821:M1823"/>
    <mergeCell ref="N1821:N1823"/>
    <mergeCell ref="N1818:N1820"/>
    <mergeCell ref="O1818:O1820"/>
    <mergeCell ref="Q1818:Q1820"/>
    <mergeCell ref="A1821:A1823"/>
    <mergeCell ref="B1821:B1823"/>
    <mergeCell ref="D1821:D1823"/>
    <mergeCell ref="E1821:E1823"/>
    <mergeCell ref="F1821:F1823"/>
    <mergeCell ref="G1821:G1823"/>
    <mergeCell ref="H1821:H1823"/>
    <mergeCell ref="H1818:H1820"/>
    <mergeCell ref="I1818:I1820"/>
    <mergeCell ref="J1818:J1820"/>
    <mergeCell ref="K1818:K1820"/>
    <mergeCell ref="L1818:L1820"/>
    <mergeCell ref="M1818:M1820"/>
    <mergeCell ref="A1818:A1820"/>
    <mergeCell ref="B1818:B1820"/>
    <mergeCell ref="D1818:D1820"/>
    <mergeCell ref="E1818:E1820"/>
    <mergeCell ref="F1818:F1820"/>
    <mergeCell ref="G1818:G1820"/>
    <mergeCell ref="K1815:K1817"/>
    <mergeCell ref="L1815:L1817"/>
    <mergeCell ref="M1815:M1817"/>
    <mergeCell ref="N1815:N1817"/>
    <mergeCell ref="O1815:O1817"/>
    <mergeCell ref="Q1815:Q1817"/>
    <mergeCell ref="Q1812:Q1814"/>
    <mergeCell ref="A1815:A1817"/>
    <mergeCell ref="B1815:B1817"/>
    <mergeCell ref="D1815:D1817"/>
    <mergeCell ref="E1815:E1817"/>
    <mergeCell ref="F1815:F1817"/>
    <mergeCell ref="G1815:G1817"/>
    <mergeCell ref="H1815:H1817"/>
    <mergeCell ref="I1815:I1817"/>
    <mergeCell ref="J1815:J1817"/>
    <mergeCell ref="J1812:J1814"/>
    <mergeCell ref="K1812:K1814"/>
    <mergeCell ref="L1812:L1814"/>
    <mergeCell ref="M1812:M1814"/>
    <mergeCell ref="N1812:N1814"/>
    <mergeCell ref="O1812:O1814"/>
    <mergeCell ref="O1809:O1811"/>
    <mergeCell ref="Q1809:Q1811"/>
    <mergeCell ref="A1812:A1814"/>
    <mergeCell ref="B1812:B1814"/>
    <mergeCell ref="D1812:D1814"/>
    <mergeCell ref="E1812:E1814"/>
    <mergeCell ref="F1812:F1814"/>
    <mergeCell ref="G1812:G1814"/>
    <mergeCell ref="H1812:H1814"/>
    <mergeCell ref="I1812:I1814"/>
    <mergeCell ref="I1809:I1811"/>
    <mergeCell ref="J1809:J1811"/>
    <mergeCell ref="K1809:K1811"/>
    <mergeCell ref="L1809:L1811"/>
    <mergeCell ref="M1809:M1811"/>
    <mergeCell ref="N1809:N1811"/>
    <mergeCell ref="N1806:N1808"/>
    <mergeCell ref="O1806:O1808"/>
    <mergeCell ref="Q1806:Q1808"/>
    <mergeCell ref="A1809:A1811"/>
    <mergeCell ref="B1809:B1811"/>
    <mergeCell ref="D1809:D1811"/>
    <mergeCell ref="E1809:E1811"/>
    <mergeCell ref="F1809:F1811"/>
    <mergeCell ref="G1809:G1811"/>
    <mergeCell ref="H1809:H1811"/>
    <mergeCell ref="H1806:H1808"/>
    <mergeCell ref="I1806:I1808"/>
    <mergeCell ref="J1806:J1808"/>
    <mergeCell ref="K1806:K1808"/>
    <mergeCell ref="L1806:L1808"/>
    <mergeCell ref="M1806:M1808"/>
    <mergeCell ref="A1806:A1808"/>
    <mergeCell ref="B1806:B1808"/>
    <mergeCell ref="D1806:D1808"/>
    <mergeCell ref="E1806:E1808"/>
    <mergeCell ref="F1806:F1808"/>
    <mergeCell ref="G1806:G1808"/>
    <mergeCell ref="K1803:K1805"/>
    <mergeCell ref="L1803:L1805"/>
    <mergeCell ref="M1803:M1805"/>
    <mergeCell ref="N1803:N1805"/>
    <mergeCell ref="O1803:O1805"/>
    <mergeCell ref="Q1803:Q1805"/>
    <mergeCell ref="Q1800:Q1802"/>
    <mergeCell ref="A1803:A1805"/>
    <mergeCell ref="B1803:B1805"/>
    <mergeCell ref="D1803:D1805"/>
    <mergeCell ref="E1803:E1805"/>
    <mergeCell ref="F1803:F1805"/>
    <mergeCell ref="G1803:G1805"/>
    <mergeCell ref="H1803:H1805"/>
    <mergeCell ref="I1803:I1805"/>
    <mergeCell ref="J1803:J1805"/>
    <mergeCell ref="J1800:J1802"/>
    <mergeCell ref="K1800:K1802"/>
    <mergeCell ref="L1800:L1802"/>
    <mergeCell ref="M1800:M1802"/>
    <mergeCell ref="N1800:N1802"/>
    <mergeCell ref="O1800:O1802"/>
    <mergeCell ref="O1797:O1799"/>
    <mergeCell ref="Q1797:Q1799"/>
    <mergeCell ref="A1800:A1802"/>
    <mergeCell ref="B1800:B1802"/>
    <mergeCell ref="D1800:D1802"/>
    <mergeCell ref="E1800:E1802"/>
    <mergeCell ref="F1800:F1802"/>
    <mergeCell ref="G1800:G1802"/>
    <mergeCell ref="H1800:H1802"/>
    <mergeCell ref="I1800:I1802"/>
    <mergeCell ref="I1797:I1799"/>
    <mergeCell ref="J1797:J1799"/>
    <mergeCell ref="K1797:K1799"/>
    <mergeCell ref="L1797:L1799"/>
    <mergeCell ref="M1797:M1799"/>
    <mergeCell ref="N1797:N1799"/>
    <mergeCell ref="N1794:N1796"/>
    <mergeCell ref="O1794:O1796"/>
    <mergeCell ref="Q1794:Q1796"/>
    <mergeCell ref="A1797:A1799"/>
    <mergeCell ref="B1797:B1799"/>
    <mergeCell ref="D1797:D1799"/>
    <mergeCell ref="E1797:E1799"/>
    <mergeCell ref="F1797:F1799"/>
    <mergeCell ref="G1797:G1799"/>
    <mergeCell ref="H1797:H1799"/>
    <mergeCell ref="H1794:H1796"/>
    <mergeCell ref="I1794:I1796"/>
    <mergeCell ref="J1794:J1796"/>
    <mergeCell ref="K1794:K1796"/>
    <mergeCell ref="L1794:L1796"/>
    <mergeCell ref="M1794:M1796"/>
    <mergeCell ref="A1794:A1796"/>
    <mergeCell ref="B1794:B1796"/>
    <mergeCell ref="D1794:D1796"/>
    <mergeCell ref="E1794:E1796"/>
    <mergeCell ref="F1794:F1796"/>
    <mergeCell ref="G1794:G1796"/>
    <mergeCell ref="K1791:K1793"/>
    <mergeCell ref="L1791:L1793"/>
    <mergeCell ref="M1791:M1793"/>
    <mergeCell ref="N1791:N1793"/>
    <mergeCell ref="O1791:O1793"/>
    <mergeCell ref="Q1791:Q1793"/>
    <mergeCell ref="Q1788:Q1790"/>
    <mergeCell ref="A1791:A1793"/>
    <mergeCell ref="B1791:B1793"/>
    <mergeCell ref="D1791:D1793"/>
    <mergeCell ref="E1791:E1793"/>
    <mergeCell ref="F1791:F1793"/>
    <mergeCell ref="G1791:G1793"/>
    <mergeCell ref="H1791:H1793"/>
    <mergeCell ref="I1791:I1793"/>
    <mergeCell ref="J1791:J1793"/>
    <mergeCell ref="J1788:J1790"/>
    <mergeCell ref="K1788:K1790"/>
    <mergeCell ref="L1788:L1790"/>
    <mergeCell ref="M1788:M1790"/>
    <mergeCell ref="N1788:N1790"/>
    <mergeCell ref="O1788:O1790"/>
    <mergeCell ref="O1785:O1787"/>
    <mergeCell ref="Q1785:Q1787"/>
    <mergeCell ref="A1788:A1790"/>
    <mergeCell ref="B1788:B1790"/>
    <mergeCell ref="D1788:D1790"/>
    <mergeCell ref="E1788:E1790"/>
    <mergeCell ref="F1788:F1790"/>
    <mergeCell ref="G1788:G1790"/>
    <mergeCell ref="H1788:H1790"/>
    <mergeCell ref="I1788:I1790"/>
    <mergeCell ref="I1785:I1787"/>
    <mergeCell ref="J1785:J1787"/>
    <mergeCell ref="K1785:K1787"/>
    <mergeCell ref="L1785:L1787"/>
    <mergeCell ref="M1785:M1787"/>
    <mergeCell ref="N1785:N1787"/>
    <mergeCell ref="N1782:N1784"/>
    <mergeCell ref="O1782:O1784"/>
    <mergeCell ref="Q1782:Q1784"/>
    <mergeCell ref="A1785:A1787"/>
    <mergeCell ref="B1785:B1787"/>
    <mergeCell ref="D1785:D1787"/>
    <mergeCell ref="E1785:E1787"/>
    <mergeCell ref="F1785:F1787"/>
    <mergeCell ref="G1785:G1787"/>
    <mergeCell ref="H1785:H1787"/>
    <mergeCell ref="H1782:H1784"/>
    <mergeCell ref="I1782:I1784"/>
    <mergeCell ref="J1782:J1784"/>
    <mergeCell ref="K1782:K1784"/>
    <mergeCell ref="L1782:L1784"/>
    <mergeCell ref="M1782:M1784"/>
    <mergeCell ref="A1782:A1784"/>
    <mergeCell ref="B1782:B1784"/>
    <mergeCell ref="D1782:D1784"/>
    <mergeCell ref="E1782:E1784"/>
    <mergeCell ref="F1782:F1784"/>
    <mergeCell ref="G1782:G1784"/>
    <mergeCell ref="K1779:K1781"/>
    <mergeCell ref="L1779:L1781"/>
    <mergeCell ref="M1779:M1781"/>
    <mergeCell ref="N1779:N1781"/>
    <mergeCell ref="O1779:O1781"/>
    <mergeCell ref="Q1779:Q1781"/>
    <mergeCell ref="Q1776:Q1778"/>
    <mergeCell ref="A1779:A1781"/>
    <mergeCell ref="B1779:B1781"/>
    <mergeCell ref="D1779:D1781"/>
    <mergeCell ref="E1779:E1781"/>
    <mergeCell ref="F1779:F1781"/>
    <mergeCell ref="G1779:G1781"/>
    <mergeCell ref="H1779:H1781"/>
    <mergeCell ref="I1779:I1781"/>
    <mergeCell ref="J1779:J1781"/>
    <mergeCell ref="J1776:J1778"/>
    <mergeCell ref="K1776:K1778"/>
    <mergeCell ref="L1776:L1778"/>
    <mergeCell ref="M1776:M1778"/>
    <mergeCell ref="N1776:N1778"/>
    <mergeCell ref="O1776:O1778"/>
    <mergeCell ref="O1773:O1775"/>
    <mergeCell ref="Q1773:Q1775"/>
    <mergeCell ref="A1776:A1778"/>
    <mergeCell ref="B1776:B1778"/>
    <mergeCell ref="D1776:D1778"/>
    <mergeCell ref="E1776:E1778"/>
    <mergeCell ref="F1776:F1778"/>
    <mergeCell ref="G1776:G1778"/>
    <mergeCell ref="H1776:H1778"/>
    <mergeCell ref="I1776:I1778"/>
    <mergeCell ref="I1773:I1775"/>
    <mergeCell ref="J1773:J1775"/>
    <mergeCell ref="K1773:K1775"/>
    <mergeCell ref="L1773:L1775"/>
    <mergeCell ref="M1773:M1775"/>
    <mergeCell ref="N1773:N1775"/>
    <mergeCell ref="N1770:N1772"/>
    <mergeCell ref="O1770:O1772"/>
    <mergeCell ref="Q1770:Q1772"/>
    <mergeCell ref="A1773:A1775"/>
    <mergeCell ref="B1773:B1775"/>
    <mergeCell ref="D1773:D1775"/>
    <mergeCell ref="E1773:E1775"/>
    <mergeCell ref="F1773:F1775"/>
    <mergeCell ref="G1773:G1775"/>
    <mergeCell ref="H1773:H1775"/>
    <mergeCell ref="H1770:H1772"/>
    <mergeCell ref="I1770:I1772"/>
    <mergeCell ref="J1770:J1772"/>
    <mergeCell ref="K1770:K1772"/>
    <mergeCell ref="L1770:L1772"/>
    <mergeCell ref="M1770:M1772"/>
    <mergeCell ref="A1770:A1772"/>
    <mergeCell ref="B1770:B1772"/>
    <mergeCell ref="D1770:D1772"/>
    <mergeCell ref="E1770:E1772"/>
    <mergeCell ref="F1770:F1772"/>
    <mergeCell ref="G1770:G1772"/>
    <mergeCell ref="K1767:K1769"/>
    <mergeCell ref="L1767:L1769"/>
    <mergeCell ref="M1767:M1769"/>
    <mergeCell ref="N1767:N1769"/>
    <mergeCell ref="O1767:O1769"/>
    <mergeCell ref="Q1767:Q1769"/>
    <mergeCell ref="Q1764:Q1766"/>
    <mergeCell ref="A1767:A1769"/>
    <mergeCell ref="B1767:B1769"/>
    <mergeCell ref="D1767:D1769"/>
    <mergeCell ref="E1767:E1769"/>
    <mergeCell ref="F1767:F1769"/>
    <mergeCell ref="G1767:G1769"/>
    <mergeCell ref="H1767:H1769"/>
    <mergeCell ref="I1767:I1769"/>
    <mergeCell ref="J1767:J1769"/>
    <mergeCell ref="J1764:J1766"/>
    <mergeCell ref="K1764:K1766"/>
    <mergeCell ref="L1764:L1766"/>
    <mergeCell ref="M1764:M1766"/>
    <mergeCell ref="N1764:N1766"/>
    <mergeCell ref="O1764:O1766"/>
    <mergeCell ref="O1761:O1763"/>
    <mergeCell ref="Q1761:Q1763"/>
    <mergeCell ref="A1764:A1766"/>
    <mergeCell ref="B1764:B1766"/>
    <mergeCell ref="D1764:D1766"/>
    <mergeCell ref="E1764:E1766"/>
    <mergeCell ref="F1764:F1766"/>
    <mergeCell ref="G1764:G1766"/>
    <mergeCell ref="H1764:H1766"/>
    <mergeCell ref="I1764:I1766"/>
    <mergeCell ref="I1761:I1763"/>
    <mergeCell ref="J1761:J1763"/>
    <mergeCell ref="K1761:K1763"/>
    <mergeCell ref="L1761:L1763"/>
    <mergeCell ref="M1761:M1763"/>
    <mergeCell ref="N1761:N1763"/>
    <mergeCell ref="N1758:N1760"/>
    <mergeCell ref="O1758:O1760"/>
    <mergeCell ref="Q1758:Q1760"/>
    <mergeCell ref="A1761:A1763"/>
    <mergeCell ref="B1761:B1763"/>
    <mergeCell ref="D1761:D1763"/>
    <mergeCell ref="E1761:E1763"/>
    <mergeCell ref="F1761:F1763"/>
    <mergeCell ref="G1761:G1763"/>
    <mergeCell ref="H1761:H1763"/>
    <mergeCell ref="H1758:H1760"/>
    <mergeCell ref="I1758:I1760"/>
    <mergeCell ref="J1758:J1760"/>
    <mergeCell ref="K1758:K1760"/>
    <mergeCell ref="L1758:L1760"/>
    <mergeCell ref="M1758:M1760"/>
    <mergeCell ref="A1758:A1760"/>
    <mergeCell ref="B1758:B1760"/>
    <mergeCell ref="D1758:D1760"/>
    <mergeCell ref="E1758:E1760"/>
    <mergeCell ref="F1758:F1760"/>
    <mergeCell ref="G1758:G1760"/>
    <mergeCell ref="K1755:K1757"/>
    <mergeCell ref="L1755:L1757"/>
    <mergeCell ref="M1755:M1757"/>
    <mergeCell ref="N1755:N1757"/>
    <mergeCell ref="O1755:O1757"/>
    <mergeCell ref="Q1755:Q1757"/>
    <mergeCell ref="Q1752:Q1754"/>
    <mergeCell ref="A1755:A1757"/>
    <mergeCell ref="B1755:B1757"/>
    <mergeCell ref="D1755:D1757"/>
    <mergeCell ref="E1755:E1757"/>
    <mergeCell ref="F1755:F1757"/>
    <mergeCell ref="G1755:G1757"/>
    <mergeCell ref="H1755:H1757"/>
    <mergeCell ref="I1755:I1757"/>
    <mergeCell ref="J1755:J1757"/>
    <mergeCell ref="J1752:J1754"/>
    <mergeCell ref="K1752:K1754"/>
    <mergeCell ref="L1752:L1754"/>
    <mergeCell ref="M1752:M1754"/>
    <mergeCell ref="N1752:N1754"/>
    <mergeCell ref="O1752:O1754"/>
    <mergeCell ref="O1749:O1751"/>
    <mergeCell ref="Q1749:Q1751"/>
    <mergeCell ref="A1752:A1754"/>
    <mergeCell ref="B1752:B1754"/>
    <mergeCell ref="D1752:D1754"/>
    <mergeCell ref="E1752:E1754"/>
    <mergeCell ref="F1752:F1754"/>
    <mergeCell ref="G1752:G1754"/>
    <mergeCell ref="H1752:H1754"/>
    <mergeCell ref="I1752:I1754"/>
    <mergeCell ref="I1749:I1751"/>
    <mergeCell ref="J1749:J1751"/>
    <mergeCell ref="K1749:K1751"/>
    <mergeCell ref="L1749:L1751"/>
    <mergeCell ref="M1749:M1751"/>
    <mergeCell ref="N1749:N1751"/>
    <mergeCell ref="N1746:N1748"/>
    <mergeCell ref="O1746:O1748"/>
    <mergeCell ref="Q1746:Q1748"/>
    <mergeCell ref="A1749:A1751"/>
    <mergeCell ref="B1749:B1751"/>
    <mergeCell ref="D1749:D1751"/>
    <mergeCell ref="E1749:E1751"/>
    <mergeCell ref="F1749:F1751"/>
    <mergeCell ref="G1749:G1751"/>
    <mergeCell ref="H1749:H1751"/>
    <mergeCell ref="H1746:H1748"/>
    <mergeCell ref="I1746:I1748"/>
    <mergeCell ref="J1746:J1748"/>
    <mergeCell ref="K1746:K1748"/>
    <mergeCell ref="L1746:L1748"/>
    <mergeCell ref="M1746:M1748"/>
    <mergeCell ref="A1746:A1748"/>
    <mergeCell ref="B1746:B1748"/>
    <mergeCell ref="D1746:D1748"/>
    <mergeCell ref="E1746:E1748"/>
    <mergeCell ref="F1746:F1748"/>
    <mergeCell ref="G1746:G1748"/>
    <mergeCell ref="K1743:K1745"/>
    <mergeCell ref="L1743:L1745"/>
    <mergeCell ref="M1743:M1745"/>
    <mergeCell ref="N1743:N1745"/>
    <mergeCell ref="O1743:O1745"/>
    <mergeCell ref="Q1743:Q1745"/>
    <mergeCell ref="Q1740:Q1742"/>
    <mergeCell ref="A1743:A1745"/>
    <mergeCell ref="B1743:B1745"/>
    <mergeCell ref="D1743:D1745"/>
    <mergeCell ref="E1743:E1745"/>
    <mergeCell ref="F1743:F1745"/>
    <mergeCell ref="G1743:G1745"/>
    <mergeCell ref="H1743:H1745"/>
    <mergeCell ref="I1743:I1745"/>
    <mergeCell ref="J1743:J1745"/>
    <mergeCell ref="J1740:J1742"/>
    <mergeCell ref="K1740:K1742"/>
    <mergeCell ref="L1740:L1742"/>
    <mergeCell ref="M1740:M1742"/>
    <mergeCell ref="N1740:N1742"/>
    <mergeCell ref="O1740:O1742"/>
    <mergeCell ref="O1737:O1739"/>
    <mergeCell ref="Q1737:Q1739"/>
    <mergeCell ref="A1740:A1742"/>
    <mergeCell ref="B1740:B1742"/>
    <mergeCell ref="D1740:D1742"/>
    <mergeCell ref="E1740:E1742"/>
    <mergeCell ref="F1740:F1742"/>
    <mergeCell ref="G1740:G1742"/>
    <mergeCell ref="H1740:H1742"/>
    <mergeCell ref="I1740:I1742"/>
    <mergeCell ref="I1737:I1739"/>
    <mergeCell ref="J1737:J1739"/>
    <mergeCell ref="K1737:K1739"/>
    <mergeCell ref="L1737:L1739"/>
    <mergeCell ref="M1737:M1739"/>
    <mergeCell ref="N1737:N1739"/>
    <mergeCell ref="N1734:N1736"/>
    <mergeCell ref="O1734:O1736"/>
    <mergeCell ref="Q1734:Q1736"/>
    <mergeCell ref="A1737:A1739"/>
    <mergeCell ref="B1737:B1739"/>
    <mergeCell ref="D1737:D1739"/>
    <mergeCell ref="E1737:E1739"/>
    <mergeCell ref="F1737:F1739"/>
    <mergeCell ref="G1737:G1739"/>
    <mergeCell ref="H1737:H1739"/>
    <mergeCell ref="H1734:H1736"/>
    <mergeCell ref="I1734:I1736"/>
    <mergeCell ref="J1734:J1736"/>
    <mergeCell ref="K1734:K1736"/>
    <mergeCell ref="L1734:L1736"/>
    <mergeCell ref="M1734:M1736"/>
    <mergeCell ref="A1734:A1736"/>
    <mergeCell ref="B1734:B1736"/>
    <mergeCell ref="D1734:D1736"/>
    <mergeCell ref="E1734:E1736"/>
    <mergeCell ref="F1734:F1736"/>
    <mergeCell ref="G1734:G1736"/>
    <mergeCell ref="K1731:K1733"/>
    <mergeCell ref="L1731:L1733"/>
    <mergeCell ref="M1731:M1733"/>
    <mergeCell ref="N1731:N1733"/>
    <mergeCell ref="O1731:O1733"/>
    <mergeCell ref="Q1731:Q1733"/>
    <mergeCell ref="Q1728:Q1730"/>
    <mergeCell ref="A1731:A1733"/>
    <mergeCell ref="B1731:B1733"/>
    <mergeCell ref="D1731:D1733"/>
    <mergeCell ref="E1731:E1733"/>
    <mergeCell ref="F1731:F1733"/>
    <mergeCell ref="G1731:G1733"/>
    <mergeCell ref="H1731:H1733"/>
    <mergeCell ref="I1731:I1733"/>
    <mergeCell ref="J1731:J1733"/>
    <mergeCell ref="J1728:J1730"/>
    <mergeCell ref="K1728:K1730"/>
    <mergeCell ref="L1728:L1730"/>
    <mergeCell ref="M1728:M1730"/>
    <mergeCell ref="N1728:N1730"/>
    <mergeCell ref="O1728:O1730"/>
    <mergeCell ref="O1725:O1727"/>
    <mergeCell ref="Q1725:Q1727"/>
    <mergeCell ref="A1728:A1730"/>
    <mergeCell ref="B1728:B1730"/>
    <mergeCell ref="D1728:D1730"/>
    <mergeCell ref="E1728:E1730"/>
    <mergeCell ref="F1728:F1730"/>
    <mergeCell ref="G1728:G1730"/>
    <mergeCell ref="H1728:H1730"/>
    <mergeCell ref="I1728:I1730"/>
    <mergeCell ref="I1725:I1727"/>
    <mergeCell ref="J1725:J1727"/>
    <mergeCell ref="K1725:K1727"/>
    <mergeCell ref="L1725:L1727"/>
    <mergeCell ref="M1725:M1727"/>
    <mergeCell ref="N1725:N1727"/>
    <mergeCell ref="N1722:N1724"/>
    <mergeCell ref="O1722:O1724"/>
    <mergeCell ref="Q1722:Q1724"/>
    <mergeCell ref="A1725:A1727"/>
    <mergeCell ref="B1725:B1727"/>
    <mergeCell ref="D1725:D1727"/>
    <mergeCell ref="E1725:E1727"/>
    <mergeCell ref="F1725:F1727"/>
    <mergeCell ref="G1725:G1727"/>
    <mergeCell ref="H1725:H1727"/>
    <mergeCell ref="H1722:H1724"/>
    <mergeCell ref="I1722:I1724"/>
    <mergeCell ref="J1722:J1724"/>
    <mergeCell ref="K1722:K1724"/>
    <mergeCell ref="L1722:L1724"/>
    <mergeCell ref="M1722:M1724"/>
    <mergeCell ref="A1722:A1724"/>
    <mergeCell ref="B1722:B1724"/>
    <mergeCell ref="D1722:D1724"/>
    <mergeCell ref="E1722:E1724"/>
    <mergeCell ref="F1722:F1724"/>
    <mergeCell ref="G1722:G1724"/>
    <mergeCell ref="K1719:K1721"/>
    <mergeCell ref="L1719:L1721"/>
    <mergeCell ref="M1719:M1721"/>
    <mergeCell ref="N1719:N1721"/>
    <mergeCell ref="O1719:O1721"/>
    <mergeCell ref="Q1719:Q1721"/>
    <mergeCell ref="Q1716:Q1718"/>
    <mergeCell ref="A1719:A1721"/>
    <mergeCell ref="B1719:B1721"/>
    <mergeCell ref="D1719:D1721"/>
    <mergeCell ref="E1719:E1721"/>
    <mergeCell ref="F1719:F1721"/>
    <mergeCell ref="G1719:G1721"/>
    <mergeCell ref="H1719:H1721"/>
    <mergeCell ref="I1719:I1721"/>
    <mergeCell ref="J1719:J1721"/>
    <mergeCell ref="J1716:J1718"/>
    <mergeCell ref="K1716:K1718"/>
    <mergeCell ref="L1716:L1718"/>
    <mergeCell ref="M1716:M1718"/>
    <mergeCell ref="N1716:N1718"/>
    <mergeCell ref="O1716:O1718"/>
    <mergeCell ref="O1713:O1715"/>
    <mergeCell ref="Q1713:Q1715"/>
    <mergeCell ref="A1716:A1718"/>
    <mergeCell ref="B1716:B1718"/>
    <mergeCell ref="D1716:D1718"/>
    <mergeCell ref="E1716:E1718"/>
    <mergeCell ref="F1716:F1718"/>
    <mergeCell ref="G1716:G1718"/>
    <mergeCell ref="H1716:H1718"/>
    <mergeCell ref="I1716:I1718"/>
    <mergeCell ref="I1713:I1715"/>
    <mergeCell ref="J1713:J1715"/>
    <mergeCell ref="K1713:K1715"/>
    <mergeCell ref="L1713:L1715"/>
    <mergeCell ref="M1713:M1715"/>
    <mergeCell ref="N1713:N1715"/>
    <mergeCell ref="N1710:N1712"/>
    <mergeCell ref="O1710:O1712"/>
    <mergeCell ref="Q1710:Q1712"/>
    <mergeCell ref="A1713:A1715"/>
    <mergeCell ref="B1713:B1715"/>
    <mergeCell ref="D1713:D1715"/>
    <mergeCell ref="E1713:E1715"/>
    <mergeCell ref="F1713:F1715"/>
    <mergeCell ref="G1713:G1715"/>
    <mergeCell ref="H1713:H1715"/>
    <mergeCell ref="H1710:H1712"/>
    <mergeCell ref="I1710:I1712"/>
    <mergeCell ref="J1710:J1712"/>
    <mergeCell ref="K1710:K1712"/>
    <mergeCell ref="L1710:L1712"/>
    <mergeCell ref="M1710:M1712"/>
    <mergeCell ref="A1710:A1712"/>
    <mergeCell ref="B1710:B1712"/>
    <mergeCell ref="D1710:D1712"/>
    <mergeCell ref="E1710:E1712"/>
    <mergeCell ref="F1710:F1712"/>
    <mergeCell ref="G1710:G1712"/>
    <mergeCell ref="K1707:K1709"/>
    <mergeCell ref="L1707:L1709"/>
    <mergeCell ref="M1707:M1709"/>
    <mergeCell ref="N1707:N1709"/>
    <mergeCell ref="O1707:O1709"/>
    <mergeCell ref="Q1707:Q1709"/>
    <mergeCell ref="Q1704:Q1706"/>
    <mergeCell ref="A1707:A1709"/>
    <mergeCell ref="B1707:B1709"/>
    <mergeCell ref="D1707:D1709"/>
    <mergeCell ref="E1707:E1709"/>
    <mergeCell ref="F1707:F1709"/>
    <mergeCell ref="G1707:G1709"/>
    <mergeCell ref="H1707:H1709"/>
    <mergeCell ref="I1707:I1709"/>
    <mergeCell ref="J1707:J1709"/>
    <mergeCell ref="J1704:J1706"/>
    <mergeCell ref="K1704:K1706"/>
    <mergeCell ref="L1704:L1706"/>
    <mergeCell ref="M1704:M1706"/>
    <mergeCell ref="N1704:N1706"/>
    <mergeCell ref="O1704:O1706"/>
    <mergeCell ref="O1701:O1703"/>
    <mergeCell ref="Q1701:Q1703"/>
    <mergeCell ref="A1704:A1706"/>
    <mergeCell ref="B1704:B1706"/>
    <mergeCell ref="D1704:D1706"/>
    <mergeCell ref="E1704:E1706"/>
    <mergeCell ref="F1704:F1706"/>
    <mergeCell ref="G1704:G1706"/>
    <mergeCell ref="H1704:H1706"/>
    <mergeCell ref="I1704:I1706"/>
    <mergeCell ref="I1701:I1703"/>
    <mergeCell ref="J1701:J1703"/>
    <mergeCell ref="K1701:K1703"/>
    <mergeCell ref="L1701:L1703"/>
    <mergeCell ref="M1701:M1703"/>
    <mergeCell ref="N1701:N1703"/>
    <mergeCell ref="N1698:N1700"/>
    <mergeCell ref="O1698:O1700"/>
    <mergeCell ref="Q1698:Q1700"/>
    <mergeCell ref="A1701:A1703"/>
    <mergeCell ref="B1701:B1703"/>
    <mergeCell ref="D1701:D1703"/>
    <mergeCell ref="E1701:E1703"/>
    <mergeCell ref="F1701:F1703"/>
    <mergeCell ref="G1701:G1703"/>
    <mergeCell ref="H1701:H1703"/>
    <mergeCell ref="H1698:H1700"/>
    <mergeCell ref="I1698:I1700"/>
    <mergeCell ref="J1698:J1700"/>
    <mergeCell ref="K1698:K1700"/>
    <mergeCell ref="L1698:L1700"/>
    <mergeCell ref="M1698:M1700"/>
    <mergeCell ref="A1698:A1700"/>
    <mergeCell ref="B1698:B1700"/>
    <mergeCell ref="D1698:D1700"/>
    <mergeCell ref="E1698:E1700"/>
    <mergeCell ref="F1698:F1700"/>
    <mergeCell ref="G1698:G1700"/>
    <mergeCell ref="K1695:K1697"/>
    <mergeCell ref="L1695:L1697"/>
    <mergeCell ref="M1695:M1697"/>
    <mergeCell ref="N1695:N1697"/>
    <mergeCell ref="O1695:O1697"/>
    <mergeCell ref="Q1695:Q1697"/>
    <mergeCell ref="Q1692:Q1694"/>
    <mergeCell ref="A1695:A1697"/>
    <mergeCell ref="B1695:B1697"/>
    <mergeCell ref="D1695:D1697"/>
    <mergeCell ref="E1695:E1697"/>
    <mergeCell ref="F1695:F1697"/>
    <mergeCell ref="G1695:G1697"/>
    <mergeCell ref="H1695:H1697"/>
    <mergeCell ref="I1695:I1697"/>
    <mergeCell ref="J1695:J1697"/>
    <mergeCell ref="J1692:J1694"/>
    <mergeCell ref="K1692:K1694"/>
    <mergeCell ref="L1692:L1694"/>
    <mergeCell ref="M1692:M1694"/>
    <mergeCell ref="N1692:N1694"/>
    <mergeCell ref="O1692:O1694"/>
    <mergeCell ref="O1689:O1691"/>
    <mergeCell ref="Q1689:Q1691"/>
    <mergeCell ref="A1692:A1694"/>
    <mergeCell ref="B1692:B1694"/>
    <mergeCell ref="D1692:D1694"/>
    <mergeCell ref="E1692:E1694"/>
    <mergeCell ref="F1692:F1694"/>
    <mergeCell ref="G1692:G1694"/>
    <mergeCell ref="H1692:H1694"/>
    <mergeCell ref="I1692:I1694"/>
    <mergeCell ref="I1689:I1691"/>
    <mergeCell ref="J1689:J1691"/>
    <mergeCell ref="K1689:K1691"/>
    <mergeCell ref="L1689:L1691"/>
    <mergeCell ref="M1689:M1691"/>
    <mergeCell ref="N1689:N1691"/>
    <mergeCell ref="N1686:N1688"/>
    <mergeCell ref="O1686:O1688"/>
    <mergeCell ref="Q1686:Q1688"/>
    <mergeCell ref="A1689:A1691"/>
    <mergeCell ref="B1689:B1691"/>
    <mergeCell ref="D1689:D1691"/>
    <mergeCell ref="E1689:E1691"/>
    <mergeCell ref="F1689:F1691"/>
    <mergeCell ref="G1689:G1691"/>
    <mergeCell ref="H1689:H1691"/>
    <mergeCell ref="H1686:H1688"/>
    <mergeCell ref="I1686:I1688"/>
    <mergeCell ref="J1686:J1688"/>
    <mergeCell ref="K1686:K1688"/>
    <mergeCell ref="L1686:L1688"/>
    <mergeCell ref="M1686:M1688"/>
    <mergeCell ref="A1686:A1688"/>
    <mergeCell ref="B1686:B1688"/>
    <mergeCell ref="D1686:D1688"/>
    <mergeCell ref="E1686:E1688"/>
    <mergeCell ref="F1686:F1688"/>
    <mergeCell ref="G1686:G1688"/>
    <mergeCell ref="K1683:K1685"/>
    <mergeCell ref="L1683:L1685"/>
    <mergeCell ref="M1683:M1685"/>
    <mergeCell ref="N1683:N1685"/>
    <mergeCell ref="O1683:O1685"/>
    <mergeCell ref="Q1683:Q1685"/>
    <mergeCell ref="Q1680:Q1682"/>
    <mergeCell ref="A1683:A1685"/>
    <mergeCell ref="B1683:B1685"/>
    <mergeCell ref="D1683:D1685"/>
    <mergeCell ref="E1683:E1685"/>
    <mergeCell ref="F1683:F1685"/>
    <mergeCell ref="G1683:G1685"/>
    <mergeCell ref="H1683:H1685"/>
    <mergeCell ref="I1683:I1685"/>
    <mergeCell ref="J1683:J1685"/>
    <mergeCell ref="J1680:J1682"/>
    <mergeCell ref="K1680:K1682"/>
    <mergeCell ref="L1680:L1682"/>
    <mergeCell ref="M1680:M1682"/>
    <mergeCell ref="N1680:N1682"/>
    <mergeCell ref="O1680:O1682"/>
    <mergeCell ref="O1677:O1679"/>
    <mergeCell ref="Q1677:Q1679"/>
    <mergeCell ref="A1680:A1682"/>
    <mergeCell ref="B1680:B1682"/>
    <mergeCell ref="D1680:D1682"/>
    <mergeCell ref="E1680:E1682"/>
    <mergeCell ref="F1680:F1682"/>
    <mergeCell ref="G1680:G1682"/>
    <mergeCell ref="H1680:H1682"/>
    <mergeCell ref="I1680:I1682"/>
    <mergeCell ref="I1677:I1679"/>
    <mergeCell ref="J1677:J1679"/>
    <mergeCell ref="K1677:K1679"/>
    <mergeCell ref="L1677:L1679"/>
    <mergeCell ref="M1677:M1679"/>
    <mergeCell ref="N1677:N1679"/>
    <mergeCell ref="N1674:N1676"/>
    <mergeCell ref="O1674:O1676"/>
    <mergeCell ref="Q1674:Q1676"/>
    <mergeCell ref="A1677:A1679"/>
    <mergeCell ref="B1677:B1679"/>
    <mergeCell ref="D1677:D1679"/>
    <mergeCell ref="E1677:E1679"/>
    <mergeCell ref="F1677:F1679"/>
    <mergeCell ref="G1677:G1679"/>
    <mergeCell ref="H1677:H1679"/>
    <mergeCell ref="H1674:H1676"/>
    <mergeCell ref="I1674:I1676"/>
    <mergeCell ref="J1674:J1676"/>
    <mergeCell ref="K1674:K1676"/>
    <mergeCell ref="L1674:L1676"/>
    <mergeCell ref="M1674:M1676"/>
    <mergeCell ref="A1674:A1676"/>
    <mergeCell ref="B1674:B1676"/>
    <mergeCell ref="D1674:D1676"/>
    <mergeCell ref="E1674:E1676"/>
    <mergeCell ref="F1674:F1676"/>
    <mergeCell ref="G1674:G1676"/>
    <mergeCell ref="K1671:K1673"/>
    <mergeCell ref="L1671:L1673"/>
    <mergeCell ref="M1671:M1673"/>
    <mergeCell ref="N1671:N1673"/>
    <mergeCell ref="O1671:O1673"/>
    <mergeCell ref="Q1671:Q1673"/>
    <mergeCell ref="Q1668:Q1670"/>
    <mergeCell ref="A1671:A1673"/>
    <mergeCell ref="B1671:B1673"/>
    <mergeCell ref="D1671:D1673"/>
    <mergeCell ref="E1671:E1673"/>
    <mergeCell ref="F1671:F1673"/>
    <mergeCell ref="G1671:G1673"/>
    <mergeCell ref="H1671:H1673"/>
    <mergeCell ref="I1671:I1673"/>
    <mergeCell ref="J1671:J1673"/>
    <mergeCell ref="J1668:J1670"/>
    <mergeCell ref="K1668:K1670"/>
    <mergeCell ref="L1668:L1670"/>
    <mergeCell ref="M1668:M1670"/>
    <mergeCell ref="N1668:N1670"/>
    <mergeCell ref="O1668:O1670"/>
    <mergeCell ref="O1665:O1667"/>
    <mergeCell ref="Q1665:Q1667"/>
    <mergeCell ref="A1668:A1670"/>
    <mergeCell ref="B1668:B1670"/>
    <mergeCell ref="D1668:D1670"/>
    <mergeCell ref="E1668:E1670"/>
    <mergeCell ref="F1668:F1670"/>
    <mergeCell ref="G1668:G1670"/>
    <mergeCell ref="H1668:H1670"/>
    <mergeCell ref="I1668:I1670"/>
    <mergeCell ref="I1665:I1667"/>
    <mergeCell ref="J1665:J1667"/>
    <mergeCell ref="K1665:K1667"/>
    <mergeCell ref="L1665:L1667"/>
    <mergeCell ref="M1665:M1667"/>
    <mergeCell ref="N1665:N1667"/>
    <mergeCell ref="N1662:N1664"/>
    <mergeCell ref="O1662:O1664"/>
    <mergeCell ref="Q1662:Q1664"/>
    <mergeCell ref="A1665:A1667"/>
    <mergeCell ref="B1665:B1667"/>
    <mergeCell ref="D1665:D1667"/>
    <mergeCell ref="E1665:E1667"/>
    <mergeCell ref="F1665:F1667"/>
    <mergeCell ref="G1665:G1667"/>
    <mergeCell ref="H1665:H1667"/>
    <mergeCell ref="H1662:H1664"/>
    <mergeCell ref="I1662:I1664"/>
    <mergeCell ref="J1662:J1664"/>
    <mergeCell ref="K1662:K1664"/>
    <mergeCell ref="L1662:L1664"/>
    <mergeCell ref="M1662:M1664"/>
    <mergeCell ref="A1662:A1664"/>
    <mergeCell ref="B1662:B1664"/>
    <mergeCell ref="D1662:D1664"/>
    <mergeCell ref="E1662:E1664"/>
    <mergeCell ref="F1662:F1664"/>
    <mergeCell ref="G1662:G1664"/>
    <mergeCell ref="K1659:K1661"/>
    <mergeCell ref="L1659:L1661"/>
    <mergeCell ref="M1659:M1661"/>
    <mergeCell ref="N1659:N1661"/>
    <mergeCell ref="O1659:O1661"/>
    <mergeCell ref="Q1659:Q1661"/>
    <mergeCell ref="Q1656:Q1658"/>
    <mergeCell ref="A1659:A1661"/>
    <mergeCell ref="B1659:B1661"/>
    <mergeCell ref="D1659:D1661"/>
    <mergeCell ref="E1659:E1661"/>
    <mergeCell ref="F1659:F1661"/>
    <mergeCell ref="G1659:G1661"/>
    <mergeCell ref="H1659:H1661"/>
    <mergeCell ref="I1659:I1661"/>
    <mergeCell ref="J1659:J1661"/>
    <mergeCell ref="J1656:J1658"/>
    <mergeCell ref="K1656:K1658"/>
    <mergeCell ref="L1656:L1658"/>
    <mergeCell ref="M1656:M1658"/>
    <mergeCell ref="N1656:N1658"/>
    <mergeCell ref="O1656:O1658"/>
    <mergeCell ref="O1653:O1655"/>
    <mergeCell ref="Q1653:Q1655"/>
    <mergeCell ref="A1656:A1658"/>
    <mergeCell ref="B1656:B1658"/>
    <mergeCell ref="D1656:D1658"/>
    <mergeCell ref="E1656:E1658"/>
    <mergeCell ref="F1656:F1658"/>
    <mergeCell ref="G1656:G1658"/>
    <mergeCell ref="H1656:H1658"/>
    <mergeCell ref="I1656:I1658"/>
    <mergeCell ref="I1653:I1655"/>
    <mergeCell ref="J1653:J1655"/>
    <mergeCell ref="K1653:K1655"/>
    <mergeCell ref="L1653:L1655"/>
    <mergeCell ref="M1653:M1655"/>
    <mergeCell ref="N1653:N1655"/>
    <mergeCell ref="N1650:N1652"/>
    <mergeCell ref="O1650:O1652"/>
    <mergeCell ref="Q1650:Q1652"/>
    <mergeCell ref="A1653:A1655"/>
    <mergeCell ref="B1653:B1655"/>
    <mergeCell ref="D1653:D1655"/>
    <mergeCell ref="E1653:E1655"/>
    <mergeCell ref="F1653:F1655"/>
    <mergeCell ref="G1653:G1655"/>
    <mergeCell ref="H1653:H1655"/>
    <mergeCell ref="H1650:H1652"/>
    <mergeCell ref="I1650:I1652"/>
    <mergeCell ref="J1650:J1652"/>
    <mergeCell ref="K1650:K1652"/>
    <mergeCell ref="L1650:L1652"/>
    <mergeCell ref="M1650:M1652"/>
    <mergeCell ref="A1650:A1652"/>
    <mergeCell ref="B1650:B1652"/>
    <mergeCell ref="D1650:D1652"/>
    <mergeCell ref="E1650:E1652"/>
    <mergeCell ref="F1650:F1652"/>
    <mergeCell ref="G1650:G1652"/>
    <mergeCell ref="K1647:K1649"/>
    <mergeCell ref="L1647:L1649"/>
    <mergeCell ref="M1647:M1649"/>
    <mergeCell ref="N1647:N1649"/>
    <mergeCell ref="O1647:O1649"/>
    <mergeCell ref="Q1647:Q1649"/>
    <mergeCell ref="Q1644:Q1646"/>
    <mergeCell ref="A1647:A1649"/>
    <mergeCell ref="B1647:B1649"/>
    <mergeCell ref="D1647:D1649"/>
    <mergeCell ref="E1647:E1649"/>
    <mergeCell ref="F1647:F1649"/>
    <mergeCell ref="G1647:G1649"/>
    <mergeCell ref="H1647:H1649"/>
    <mergeCell ref="I1647:I1649"/>
    <mergeCell ref="J1647:J1649"/>
    <mergeCell ref="J1644:J1646"/>
    <mergeCell ref="K1644:K1646"/>
    <mergeCell ref="L1644:L1646"/>
    <mergeCell ref="M1644:M1646"/>
    <mergeCell ref="N1644:N1646"/>
    <mergeCell ref="O1644:O1646"/>
    <mergeCell ref="O1641:O1643"/>
    <mergeCell ref="Q1641:Q1643"/>
    <mergeCell ref="A1644:A1646"/>
    <mergeCell ref="B1644:B1646"/>
    <mergeCell ref="D1644:D1646"/>
    <mergeCell ref="E1644:E1646"/>
    <mergeCell ref="F1644:F1646"/>
    <mergeCell ref="G1644:G1646"/>
    <mergeCell ref="H1644:H1646"/>
    <mergeCell ref="I1644:I1646"/>
    <mergeCell ref="I1641:I1643"/>
    <mergeCell ref="J1641:J1643"/>
    <mergeCell ref="K1641:K1643"/>
    <mergeCell ref="L1641:L1643"/>
    <mergeCell ref="M1641:M1643"/>
    <mergeCell ref="N1641:N1643"/>
    <mergeCell ref="N1638:N1640"/>
    <mergeCell ref="O1638:O1640"/>
    <mergeCell ref="Q1638:Q1640"/>
    <mergeCell ref="A1641:A1643"/>
    <mergeCell ref="B1641:B1643"/>
    <mergeCell ref="D1641:D1643"/>
    <mergeCell ref="E1641:E1643"/>
    <mergeCell ref="F1641:F1643"/>
    <mergeCell ref="G1641:G1643"/>
    <mergeCell ref="H1641:H1643"/>
    <mergeCell ref="H1638:H1640"/>
    <mergeCell ref="I1638:I1640"/>
    <mergeCell ref="J1638:J1640"/>
    <mergeCell ref="K1638:K1640"/>
    <mergeCell ref="L1638:L1640"/>
    <mergeCell ref="M1638:M1640"/>
    <mergeCell ref="A1638:A1640"/>
    <mergeCell ref="B1638:B1640"/>
    <mergeCell ref="D1638:D1640"/>
    <mergeCell ref="E1638:E1640"/>
    <mergeCell ref="F1638:F1640"/>
    <mergeCell ref="G1638:G1640"/>
    <mergeCell ref="K1635:K1637"/>
    <mergeCell ref="L1635:L1637"/>
    <mergeCell ref="M1635:M1637"/>
    <mergeCell ref="N1635:N1637"/>
    <mergeCell ref="O1635:O1637"/>
    <mergeCell ref="Q1635:Q1637"/>
    <mergeCell ref="Q1632:Q1634"/>
    <mergeCell ref="A1635:A1637"/>
    <mergeCell ref="B1635:B1637"/>
    <mergeCell ref="D1635:D1637"/>
    <mergeCell ref="E1635:E1637"/>
    <mergeCell ref="F1635:F1637"/>
    <mergeCell ref="G1635:G1637"/>
    <mergeCell ref="H1635:H1637"/>
    <mergeCell ref="I1635:I1637"/>
    <mergeCell ref="J1635:J1637"/>
    <mergeCell ref="J1632:J1634"/>
    <mergeCell ref="K1632:K1634"/>
    <mergeCell ref="L1632:L1634"/>
    <mergeCell ref="M1632:M1634"/>
    <mergeCell ref="N1632:N1634"/>
    <mergeCell ref="O1632:O1634"/>
    <mergeCell ref="O1629:O1631"/>
    <mergeCell ref="Q1629:Q1631"/>
    <mergeCell ref="A1632:A1634"/>
    <mergeCell ref="B1632:B1634"/>
    <mergeCell ref="D1632:D1634"/>
    <mergeCell ref="E1632:E1634"/>
    <mergeCell ref="F1632:F1634"/>
    <mergeCell ref="G1632:G1634"/>
    <mergeCell ref="H1632:H1634"/>
    <mergeCell ref="I1632:I1634"/>
    <mergeCell ref="I1629:I1631"/>
    <mergeCell ref="J1629:J1631"/>
    <mergeCell ref="K1629:K1631"/>
    <mergeCell ref="L1629:L1631"/>
    <mergeCell ref="M1629:M1631"/>
    <mergeCell ref="N1629:N1631"/>
    <mergeCell ref="N1626:N1628"/>
    <mergeCell ref="O1626:O1628"/>
    <mergeCell ref="Q1626:Q1628"/>
    <mergeCell ref="A1629:A1631"/>
    <mergeCell ref="B1629:B1631"/>
    <mergeCell ref="D1629:D1631"/>
    <mergeCell ref="E1629:E1631"/>
    <mergeCell ref="F1629:F1631"/>
    <mergeCell ref="G1629:G1631"/>
    <mergeCell ref="H1629:H1631"/>
    <mergeCell ref="H1626:H1628"/>
    <mergeCell ref="I1626:I1628"/>
    <mergeCell ref="J1626:J1628"/>
    <mergeCell ref="K1626:K1628"/>
    <mergeCell ref="L1626:L1628"/>
    <mergeCell ref="M1626:M1628"/>
    <mergeCell ref="A1626:A1628"/>
    <mergeCell ref="B1626:B1628"/>
    <mergeCell ref="D1626:D1628"/>
    <mergeCell ref="E1626:E1628"/>
    <mergeCell ref="F1626:F1628"/>
    <mergeCell ref="G1626:G1628"/>
    <mergeCell ref="K1623:K1625"/>
    <mergeCell ref="L1623:L1625"/>
    <mergeCell ref="M1623:M1625"/>
    <mergeCell ref="N1623:N1625"/>
    <mergeCell ref="O1623:O1625"/>
    <mergeCell ref="Q1623:Q1625"/>
    <mergeCell ref="Q1620:Q1622"/>
    <mergeCell ref="A1623:A1625"/>
    <mergeCell ref="B1623:B1625"/>
    <mergeCell ref="D1623:D1625"/>
    <mergeCell ref="E1623:E1625"/>
    <mergeCell ref="F1623:F1625"/>
    <mergeCell ref="G1623:G1625"/>
    <mergeCell ref="H1623:H1625"/>
    <mergeCell ref="I1623:I1625"/>
    <mergeCell ref="J1623:J1625"/>
    <mergeCell ref="J1620:J1622"/>
    <mergeCell ref="K1620:K1622"/>
    <mergeCell ref="L1620:L1622"/>
    <mergeCell ref="M1620:M1622"/>
    <mergeCell ref="N1620:N1622"/>
    <mergeCell ref="O1620:O1622"/>
    <mergeCell ref="O1617:O1619"/>
    <mergeCell ref="Q1617:Q1619"/>
    <mergeCell ref="A1620:A1622"/>
    <mergeCell ref="B1620:B1622"/>
    <mergeCell ref="D1620:D1622"/>
    <mergeCell ref="E1620:E1622"/>
    <mergeCell ref="F1620:F1622"/>
    <mergeCell ref="G1620:G1622"/>
    <mergeCell ref="H1620:H1622"/>
    <mergeCell ref="I1620:I1622"/>
    <mergeCell ref="I1617:I1619"/>
    <mergeCell ref="J1617:J1619"/>
    <mergeCell ref="K1617:K1619"/>
    <mergeCell ref="L1617:L1619"/>
    <mergeCell ref="M1617:M1619"/>
    <mergeCell ref="N1617:N1619"/>
    <mergeCell ref="N1614:N1616"/>
    <mergeCell ref="O1614:O1616"/>
    <mergeCell ref="Q1614:Q1616"/>
    <mergeCell ref="A1617:A1619"/>
    <mergeCell ref="B1617:B1619"/>
    <mergeCell ref="D1617:D1619"/>
    <mergeCell ref="E1617:E1619"/>
    <mergeCell ref="F1617:F1619"/>
    <mergeCell ref="G1617:G1619"/>
    <mergeCell ref="H1617:H1619"/>
    <mergeCell ref="H1614:H1616"/>
    <mergeCell ref="I1614:I1616"/>
    <mergeCell ref="J1614:J1616"/>
    <mergeCell ref="K1614:K1616"/>
    <mergeCell ref="L1614:L1616"/>
    <mergeCell ref="M1614:M1616"/>
    <mergeCell ref="A1614:A1616"/>
    <mergeCell ref="B1614:B1616"/>
    <mergeCell ref="D1614:D1616"/>
    <mergeCell ref="E1614:E1616"/>
    <mergeCell ref="F1614:F1616"/>
    <mergeCell ref="G1614:G1616"/>
    <mergeCell ref="K1611:K1613"/>
    <mergeCell ref="L1611:L1613"/>
    <mergeCell ref="M1611:M1613"/>
    <mergeCell ref="N1611:N1613"/>
    <mergeCell ref="O1611:O1613"/>
    <mergeCell ref="Q1611:Q1613"/>
    <mergeCell ref="Q1608:Q1610"/>
    <mergeCell ref="A1611:A1613"/>
    <mergeCell ref="B1611:B1613"/>
    <mergeCell ref="D1611:D1613"/>
    <mergeCell ref="E1611:E1613"/>
    <mergeCell ref="F1611:F1613"/>
    <mergeCell ref="G1611:G1613"/>
    <mergeCell ref="H1611:H1613"/>
    <mergeCell ref="I1611:I1613"/>
    <mergeCell ref="J1611:J1613"/>
    <mergeCell ref="J1608:J1610"/>
    <mergeCell ref="K1608:K1610"/>
    <mergeCell ref="L1608:L1610"/>
    <mergeCell ref="M1608:M1610"/>
    <mergeCell ref="N1608:N1610"/>
    <mergeCell ref="O1608:O1610"/>
    <mergeCell ref="O1605:O1607"/>
    <mergeCell ref="Q1605:Q1607"/>
    <mergeCell ref="A1608:A1610"/>
    <mergeCell ref="B1608:B1610"/>
    <mergeCell ref="D1608:D1610"/>
    <mergeCell ref="E1608:E1610"/>
    <mergeCell ref="F1608:F1610"/>
    <mergeCell ref="G1608:G1610"/>
    <mergeCell ref="H1608:H1610"/>
    <mergeCell ref="I1608:I1610"/>
    <mergeCell ref="I1605:I1607"/>
    <mergeCell ref="J1605:J1607"/>
    <mergeCell ref="K1605:K1607"/>
    <mergeCell ref="L1605:L1607"/>
    <mergeCell ref="M1605:M1607"/>
    <mergeCell ref="N1605:N1607"/>
    <mergeCell ref="N1602:N1604"/>
    <mergeCell ref="O1602:O1604"/>
    <mergeCell ref="Q1602:Q1604"/>
    <mergeCell ref="A1605:A1607"/>
    <mergeCell ref="B1605:B1607"/>
    <mergeCell ref="D1605:D1607"/>
    <mergeCell ref="E1605:E1607"/>
    <mergeCell ref="F1605:F1607"/>
    <mergeCell ref="G1605:G1607"/>
    <mergeCell ref="H1605:H1607"/>
    <mergeCell ref="H1602:H1604"/>
    <mergeCell ref="I1602:I1604"/>
    <mergeCell ref="J1602:J1604"/>
    <mergeCell ref="K1602:K1604"/>
    <mergeCell ref="L1602:L1604"/>
    <mergeCell ref="M1602:M1604"/>
    <mergeCell ref="A1602:A1604"/>
    <mergeCell ref="B1602:B1604"/>
    <mergeCell ref="D1602:D1604"/>
    <mergeCell ref="E1602:E1604"/>
    <mergeCell ref="F1602:F1604"/>
    <mergeCell ref="G1602:G1604"/>
    <mergeCell ref="K1599:K1601"/>
    <mergeCell ref="L1599:L1601"/>
    <mergeCell ref="M1599:M1601"/>
    <mergeCell ref="N1599:N1601"/>
    <mergeCell ref="O1599:O1601"/>
    <mergeCell ref="Q1599:Q1601"/>
    <mergeCell ref="Q1596:Q1598"/>
    <mergeCell ref="A1599:A1601"/>
    <mergeCell ref="B1599:B1601"/>
    <mergeCell ref="D1599:D1601"/>
    <mergeCell ref="E1599:E1601"/>
    <mergeCell ref="F1599:F1601"/>
    <mergeCell ref="G1599:G1601"/>
    <mergeCell ref="H1599:H1601"/>
    <mergeCell ref="I1599:I1601"/>
    <mergeCell ref="J1599:J1601"/>
    <mergeCell ref="J1596:J1598"/>
    <mergeCell ref="K1596:K1598"/>
    <mergeCell ref="L1596:L1598"/>
    <mergeCell ref="M1596:M1598"/>
    <mergeCell ref="N1596:N1598"/>
    <mergeCell ref="O1596:O1598"/>
    <mergeCell ref="O1593:O1595"/>
    <mergeCell ref="Q1593:Q1595"/>
    <mergeCell ref="A1596:A1598"/>
    <mergeCell ref="B1596:B1598"/>
    <mergeCell ref="D1596:D1598"/>
    <mergeCell ref="E1596:E1598"/>
    <mergeCell ref="F1596:F1598"/>
    <mergeCell ref="G1596:G1598"/>
    <mergeCell ref="H1596:H1598"/>
    <mergeCell ref="I1596:I1598"/>
    <mergeCell ref="I1593:I1595"/>
    <mergeCell ref="J1593:J1595"/>
    <mergeCell ref="K1593:K1595"/>
    <mergeCell ref="L1593:L1595"/>
    <mergeCell ref="M1593:M1595"/>
    <mergeCell ref="N1593:N1595"/>
    <mergeCell ref="N1590:N1592"/>
    <mergeCell ref="O1590:O1592"/>
    <mergeCell ref="Q1590:Q1592"/>
    <mergeCell ref="A1593:A1595"/>
    <mergeCell ref="B1593:B1595"/>
    <mergeCell ref="D1593:D1595"/>
    <mergeCell ref="E1593:E1595"/>
    <mergeCell ref="F1593:F1595"/>
    <mergeCell ref="G1593:G1595"/>
    <mergeCell ref="H1593:H1595"/>
    <mergeCell ref="H1590:H1592"/>
    <mergeCell ref="I1590:I1592"/>
    <mergeCell ref="J1590:J1592"/>
    <mergeCell ref="K1590:K1592"/>
    <mergeCell ref="L1590:L1592"/>
    <mergeCell ref="M1590:M1592"/>
    <mergeCell ref="A1590:A1592"/>
    <mergeCell ref="B1590:B1592"/>
    <mergeCell ref="D1590:D1592"/>
    <mergeCell ref="E1590:E1592"/>
    <mergeCell ref="F1590:F1592"/>
    <mergeCell ref="G1590:G1592"/>
    <mergeCell ref="K1587:K1589"/>
    <mergeCell ref="L1587:L1589"/>
    <mergeCell ref="M1587:M1589"/>
    <mergeCell ref="N1587:N1589"/>
    <mergeCell ref="O1587:O1589"/>
    <mergeCell ref="Q1587:Q1589"/>
    <mergeCell ref="Q1584:Q1586"/>
    <mergeCell ref="A1587:A1589"/>
    <mergeCell ref="B1587:B1589"/>
    <mergeCell ref="D1587:D1589"/>
    <mergeCell ref="E1587:E1589"/>
    <mergeCell ref="F1587:F1589"/>
    <mergeCell ref="G1587:G1589"/>
    <mergeCell ref="H1587:H1589"/>
    <mergeCell ref="I1587:I1589"/>
    <mergeCell ref="J1587:J1589"/>
    <mergeCell ref="J1584:J1586"/>
    <mergeCell ref="K1584:K1586"/>
    <mergeCell ref="L1584:L1586"/>
    <mergeCell ref="M1584:M1586"/>
    <mergeCell ref="N1584:N1586"/>
    <mergeCell ref="O1584:O1586"/>
    <mergeCell ref="O1581:O1583"/>
    <mergeCell ref="Q1581:Q1583"/>
    <mergeCell ref="A1584:A1586"/>
    <mergeCell ref="B1584:B1586"/>
    <mergeCell ref="D1584:D1586"/>
    <mergeCell ref="E1584:E1586"/>
    <mergeCell ref="F1584:F1586"/>
    <mergeCell ref="G1584:G1586"/>
    <mergeCell ref="H1584:H1586"/>
    <mergeCell ref="I1584:I1586"/>
    <mergeCell ref="I1581:I1583"/>
    <mergeCell ref="J1581:J1583"/>
    <mergeCell ref="K1581:K1583"/>
    <mergeCell ref="L1581:L1583"/>
    <mergeCell ref="M1581:M1583"/>
    <mergeCell ref="N1581:N1583"/>
    <mergeCell ref="N1578:N1580"/>
    <mergeCell ref="O1578:O1580"/>
    <mergeCell ref="Q1578:Q1580"/>
    <mergeCell ref="A1581:A1583"/>
    <mergeCell ref="B1581:B1583"/>
    <mergeCell ref="D1581:D1583"/>
    <mergeCell ref="E1581:E1583"/>
    <mergeCell ref="F1581:F1583"/>
    <mergeCell ref="G1581:G1583"/>
    <mergeCell ref="H1581:H1583"/>
    <mergeCell ref="H1578:H1580"/>
    <mergeCell ref="I1578:I1580"/>
    <mergeCell ref="J1578:J1580"/>
    <mergeCell ref="K1578:K1580"/>
    <mergeCell ref="L1578:L1580"/>
    <mergeCell ref="M1578:M1580"/>
    <mergeCell ref="A1578:A1580"/>
    <mergeCell ref="B1578:B1580"/>
    <mergeCell ref="D1578:D1580"/>
    <mergeCell ref="E1578:E1580"/>
    <mergeCell ref="F1578:F1580"/>
    <mergeCell ref="G1578:G1580"/>
    <mergeCell ref="K1575:K1577"/>
    <mergeCell ref="L1575:L1577"/>
    <mergeCell ref="M1575:M1577"/>
    <mergeCell ref="N1575:N1577"/>
    <mergeCell ref="O1575:O1577"/>
    <mergeCell ref="Q1575:Q1577"/>
    <mergeCell ref="Q1572:Q1574"/>
    <mergeCell ref="A1575:A1577"/>
    <mergeCell ref="B1575:B1577"/>
    <mergeCell ref="D1575:D1577"/>
    <mergeCell ref="E1575:E1577"/>
    <mergeCell ref="F1575:F1577"/>
    <mergeCell ref="G1575:G1577"/>
    <mergeCell ref="H1575:H1577"/>
    <mergeCell ref="I1575:I1577"/>
    <mergeCell ref="J1575:J1577"/>
    <mergeCell ref="J1572:J1574"/>
    <mergeCell ref="K1572:K1574"/>
    <mergeCell ref="L1572:L1574"/>
    <mergeCell ref="M1572:M1574"/>
    <mergeCell ref="N1572:N1574"/>
    <mergeCell ref="O1572:O1574"/>
    <mergeCell ref="O1569:O1571"/>
    <mergeCell ref="Q1569:Q1571"/>
    <mergeCell ref="A1572:A1574"/>
    <mergeCell ref="B1572:B1574"/>
    <mergeCell ref="D1572:D1574"/>
    <mergeCell ref="E1572:E1574"/>
    <mergeCell ref="F1572:F1574"/>
    <mergeCell ref="G1572:G1574"/>
    <mergeCell ref="H1572:H1574"/>
    <mergeCell ref="I1572:I1574"/>
    <mergeCell ref="I1569:I1571"/>
    <mergeCell ref="J1569:J1571"/>
    <mergeCell ref="K1569:K1571"/>
    <mergeCell ref="L1569:L1571"/>
    <mergeCell ref="M1569:M1571"/>
    <mergeCell ref="N1569:N1571"/>
    <mergeCell ref="N1566:N1568"/>
    <mergeCell ref="O1566:O1568"/>
    <mergeCell ref="Q1566:Q1568"/>
    <mergeCell ref="A1569:A1571"/>
    <mergeCell ref="B1569:B1571"/>
    <mergeCell ref="D1569:D1571"/>
    <mergeCell ref="E1569:E1571"/>
    <mergeCell ref="F1569:F1571"/>
    <mergeCell ref="G1569:G1571"/>
    <mergeCell ref="H1569:H1571"/>
    <mergeCell ref="H1566:H1568"/>
    <mergeCell ref="I1566:I1568"/>
    <mergeCell ref="J1566:J1568"/>
    <mergeCell ref="K1566:K1568"/>
    <mergeCell ref="L1566:L1568"/>
    <mergeCell ref="M1566:M1568"/>
    <mergeCell ref="A1566:A1568"/>
    <mergeCell ref="B1566:B1568"/>
    <mergeCell ref="D1566:D1568"/>
    <mergeCell ref="E1566:E1568"/>
    <mergeCell ref="F1566:F1568"/>
    <mergeCell ref="G1566:G1568"/>
    <mergeCell ref="K1563:K1565"/>
    <mergeCell ref="L1563:L1565"/>
    <mergeCell ref="M1563:M1565"/>
    <mergeCell ref="N1563:N1565"/>
    <mergeCell ref="O1563:O1565"/>
    <mergeCell ref="Q1563:Q1565"/>
    <mergeCell ref="Q1560:Q1562"/>
    <mergeCell ref="A1563:A1565"/>
    <mergeCell ref="B1563:B1565"/>
    <mergeCell ref="D1563:D1565"/>
    <mergeCell ref="E1563:E1565"/>
    <mergeCell ref="F1563:F1565"/>
    <mergeCell ref="G1563:G1565"/>
    <mergeCell ref="H1563:H1565"/>
    <mergeCell ref="I1563:I1565"/>
    <mergeCell ref="J1563:J1565"/>
    <mergeCell ref="J1560:J1562"/>
    <mergeCell ref="K1560:K1562"/>
    <mergeCell ref="L1560:L1562"/>
    <mergeCell ref="M1560:M1562"/>
    <mergeCell ref="N1560:N1562"/>
    <mergeCell ref="O1560:O1562"/>
    <mergeCell ref="O1557:O1559"/>
    <mergeCell ref="Q1557:Q1559"/>
    <mergeCell ref="A1560:A1562"/>
    <mergeCell ref="B1560:B1562"/>
    <mergeCell ref="D1560:D1562"/>
    <mergeCell ref="E1560:E1562"/>
    <mergeCell ref="F1560:F1562"/>
    <mergeCell ref="G1560:G1562"/>
    <mergeCell ref="H1560:H1562"/>
    <mergeCell ref="I1560:I1562"/>
    <mergeCell ref="I1557:I1559"/>
    <mergeCell ref="J1557:J1559"/>
    <mergeCell ref="K1557:K1559"/>
    <mergeCell ref="L1557:L1559"/>
    <mergeCell ref="M1557:M1559"/>
    <mergeCell ref="N1557:N1559"/>
    <mergeCell ref="N1554:N1556"/>
    <mergeCell ref="O1554:O1556"/>
    <mergeCell ref="Q1554:Q1556"/>
    <mergeCell ref="A1557:A1559"/>
    <mergeCell ref="B1557:B1559"/>
    <mergeCell ref="D1557:D1559"/>
    <mergeCell ref="E1557:E1559"/>
    <mergeCell ref="F1557:F1559"/>
    <mergeCell ref="G1557:G1559"/>
    <mergeCell ref="H1557:H1559"/>
    <mergeCell ref="H1554:H1556"/>
    <mergeCell ref="I1554:I1556"/>
    <mergeCell ref="J1554:J1556"/>
    <mergeCell ref="K1554:K1556"/>
    <mergeCell ref="L1554:L1556"/>
    <mergeCell ref="M1554:M1556"/>
    <mergeCell ref="A1554:A1556"/>
    <mergeCell ref="B1554:B1556"/>
    <mergeCell ref="D1554:D1556"/>
    <mergeCell ref="E1554:E1556"/>
    <mergeCell ref="F1554:F1556"/>
    <mergeCell ref="G1554:G1556"/>
    <mergeCell ref="K1551:K1553"/>
    <mergeCell ref="L1551:L1553"/>
    <mergeCell ref="M1551:M1553"/>
    <mergeCell ref="N1551:N1553"/>
    <mergeCell ref="O1551:O1553"/>
    <mergeCell ref="Q1551:Q1553"/>
    <mergeCell ref="Q1548:Q1550"/>
    <mergeCell ref="A1551:A1553"/>
    <mergeCell ref="B1551:B1553"/>
    <mergeCell ref="D1551:D1553"/>
    <mergeCell ref="E1551:E1553"/>
    <mergeCell ref="F1551:F1553"/>
    <mergeCell ref="G1551:G1553"/>
    <mergeCell ref="H1551:H1553"/>
    <mergeCell ref="I1551:I1553"/>
    <mergeCell ref="J1551:J1553"/>
    <mergeCell ref="J1548:J1550"/>
    <mergeCell ref="K1548:K1550"/>
    <mergeCell ref="L1548:L1550"/>
    <mergeCell ref="M1548:M1550"/>
    <mergeCell ref="N1548:N1550"/>
    <mergeCell ref="O1548:O1550"/>
    <mergeCell ref="O1545:O1547"/>
    <mergeCell ref="Q1545:Q1547"/>
    <mergeCell ref="A1548:A1550"/>
    <mergeCell ref="B1548:B1550"/>
    <mergeCell ref="D1548:D1550"/>
    <mergeCell ref="E1548:E1550"/>
    <mergeCell ref="F1548:F1550"/>
    <mergeCell ref="G1548:G1550"/>
    <mergeCell ref="H1548:H1550"/>
    <mergeCell ref="I1548:I1550"/>
    <mergeCell ref="I1545:I1547"/>
    <mergeCell ref="J1545:J1547"/>
    <mergeCell ref="K1545:K1547"/>
    <mergeCell ref="L1545:L1547"/>
    <mergeCell ref="M1545:M1547"/>
    <mergeCell ref="N1545:N1547"/>
    <mergeCell ref="N1542:N1544"/>
    <mergeCell ref="O1542:O1544"/>
    <mergeCell ref="Q1542:Q1544"/>
    <mergeCell ref="A1545:A1547"/>
    <mergeCell ref="B1545:B1547"/>
    <mergeCell ref="D1545:D1547"/>
    <mergeCell ref="E1545:E1547"/>
    <mergeCell ref="F1545:F1547"/>
    <mergeCell ref="G1545:G1547"/>
    <mergeCell ref="H1545:H1547"/>
    <mergeCell ref="H1542:H1544"/>
    <mergeCell ref="I1542:I1544"/>
    <mergeCell ref="J1542:J1544"/>
    <mergeCell ref="K1542:K1544"/>
    <mergeCell ref="L1542:L1544"/>
    <mergeCell ref="M1542:M1544"/>
    <mergeCell ref="A1542:A1544"/>
    <mergeCell ref="B1542:B1544"/>
    <mergeCell ref="D1542:D1544"/>
    <mergeCell ref="E1542:E1544"/>
    <mergeCell ref="F1542:F1544"/>
    <mergeCell ref="G1542:G1544"/>
    <mergeCell ref="K1539:K1541"/>
    <mergeCell ref="L1539:L1541"/>
    <mergeCell ref="M1539:M1541"/>
    <mergeCell ref="N1539:N1541"/>
    <mergeCell ref="O1539:O1541"/>
    <mergeCell ref="Q1539:Q1541"/>
    <mergeCell ref="Q1536:Q1538"/>
    <mergeCell ref="A1539:A1541"/>
    <mergeCell ref="B1539:B1541"/>
    <mergeCell ref="D1539:D1541"/>
    <mergeCell ref="E1539:E1541"/>
    <mergeCell ref="F1539:F1541"/>
    <mergeCell ref="G1539:G1541"/>
    <mergeCell ref="H1539:H1541"/>
    <mergeCell ref="I1539:I1541"/>
    <mergeCell ref="J1539:J1541"/>
    <mergeCell ref="J1536:J1538"/>
    <mergeCell ref="K1536:K1538"/>
    <mergeCell ref="L1536:L1538"/>
    <mergeCell ref="M1536:M1538"/>
    <mergeCell ref="N1536:N1538"/>
    <mergeCell ref="O1536:O1538"/>
    <mergeCell ref="O1533:O1535"/>
    <mergeCell ref="Q1533:Q1535"/>
    <mergeCell ref="A1536:A1538"/>
    <mergeCell ref="B1536:B1538"/>
    <mergeCell ref="D1536:D1538"/>
    <mergeCell ref="E1536:E1538"/>
    <mergeCell ref="F1536:F1538"/>
    <mergeCell ref="G1536:G1538"/>
    <mergeCell ref="H1536:H1538"/>
    <mergeCell ref="I1536:I1538"/>
    <mergeCell ref="I1533:I1535"/>
    <mergeCell ref="J1533:J1535"/>
    <mergeCell ref="K1533:K1535"/>
    <mergeCell ref="L1533:L1535"/>
    <mergeCell ref="M1533:M1535"/>
    <mergeCell ref="N1533:N1535"/>
    <mergeCell ref="N1530:N1532"/>
    <mergeCell ref="O1530:O1532"/>
    <mergeCell ref="Q1530:Q1532"/>
    <mergeCell ref="A1533:A1535"/>
    <mergeCell ref="B1533:B1535"/>
    <mergeCell ref="D1533:D1535"/>
    <mergeCell ref="E1533:E1535"/>
    <mergeCell ref="F1533:F1535"/>
    <mergeCell ref="G1533:G1535"/>
    <mergeCell ref="H1533:H1535"/>
    <mergeCell ref="H1530:H1532"/>
    <mergeCell ref="I1530:I1532"/>
    <mergeCell ref="J1530:J1532"/>
    <mergeCell ref="K1530:K1532"/>
    <mergeCell ref="L1530:L1532"/>
    <mergeCell ref="M1530:M1532"/>
    <mergeCell ref="A1530:A1532"/>
    <mergeCell ref="B1530:B1532"/>
    <mergeCell ref="D1530:D1532"/>
    <mergeCell ref="E1530:E1532"/>
    <mergeCell ref="F1530:F1532"/>
    <mergeCell ref="G1530:G1532"/>
    <mergeCell ref="K1527:K1529"/>
    <mergeCell ref="L1527:L1529"/>
    <mergeCell ref="M1527:M1529"/>
    <mergeCell ref="N1527:N1529"/>
    <mergeCell ref="O1527:O1529"/>
    <mergeCell ref="Q1527:Q1529"/>
    <mergeCell ref="Q1524:Q1526"/>
    <mergeCell ref="A1527:A1529"/>
    <mergeCell ref="B1527:B1529"/>
    <mergeCell ref="D1527:D1529"/>
    <mergeCell ref="E1527:E1529"/>
    <mergeCell ref="F1527:F1529"/>
    <mergeCell ref="G1527:G1529"/>
    <mergeCell ref="H1527:H1529"/>
    <mergeCell ref="I1527:I1529"/>
    <mergeCell ref="J1527:J1529"/>
    <mergeCell ref="J1524:J1526"/>
    <mergeCell ref="K1524:K1526"/>
    <mergeCell ref="L1524:L1526"/>
    <mergeCell ref="M1524:M1526"/>
    <mergeCell ref="N1524:N1526"/>
    <mergeCell ref="O1524:O1526"/>
    <mergeCell ref="O1521:O1523"/>
    <mergeCell ref="Q1521:Q1523"/>
    <mergeCell ref="A1524:A1526"/>
    <mergeCell ref="B1524:B1526"/>
    <mergeCell ref="D1524:D1526"/>
    <mergeCell ref="E1524:E1526"/>
    <mergeCell ref="F1524:F1526"/>
    <mergeCell ref="G1524:G1526"/>
    <mergeCell ref="H1524:H1526"/>
    <mergeCell ref="I1524:I1526"/>
    <mergeCell ref="I1521:I1523"/>
    <mergeCell ref="J1521:J1523"/>
    <mergeCell ref="K1521:K1523"/>
    <mergeCell ref="L1521:L1523"/>
    <mergeCell ref="M1521:M1523"/>
    <mergeCell ref="N1521:N1523"/>
    <mergeCell ref="N1518:N1520"/>
    <mergeCell ref="O1518:O1520"/>
    <mergeCell ref="Q1518:Q1520"/>
    <mergeCell ref="A1521:A1523"/>
    <mergeCell ref="B1521:B1523"/>
    <mergeCell ref="D1521:D1523"/>
    <mergeCell ref="E1521:E1523"/>
    <mergeCell ref="F1521:F1523"/>
    <mergeCell ref="G1521:G1523"/>
    <mergeCell ref="H1521:H1523"/>
    <mergeCell ref="H1518:H1520"/>
    <mergeCell ref="I1518:I1520"/>
    <mergeCell ref="J1518:J1520"/>
    <mergeCell ref="K1518:K1520"/>
    <mergeCell ref="L1518:L1520"/>
    <mergeCell ref="M1518:M1520"/>
    <mergeCell ref="A1518:A1520"/>
    <mergeCell ref="B1518:B1520"/>
    <mergeCell ref="D1518:D1520"/>
    <mergeCell ref="E1518:E1520"/>
    <mergeCell ref="F1518:F1520"/>
    <mergeCell ref="G1518:G1520"/>
    <mergeCell ref="K1515:K1517"/>
    <mergeCell ref="L1515:L1517"/>
    <mergeCell ref="M1515:M1517"/>
    <mergeCell ref="N1515:N1517"/>
    <mergeCell ref="O1515:O1517"/>
    <mergeCell ref="Q1515:Q1517"/>
    <mergeCell ref="Q1512:Q1514"/>
    <mergeCell ref="A1515:A1517"/>
    <mergeCell ref="B1515:B1517"/>
    <mergeCell ref="D1515:D1517"/>
    <mergeCell ref="E1515:E1517"/>
    <mergeCell ref="F1515:F1517"/>
    <mergeCell ref="G1515:G1517"/>
    <mergeCell ref="H1515:H1517"/>
    <mergeCell ref="I1515:I1517"/>
    <mergeCell ref="J1515:J1517"/>
    <mergeCell ref="J1512:J1514"/>
    <mergeCell ref="K1512:K1514"/>
    <mergeCell ref="L1512:L1514"/>
    <mergeCell ref="M1512:M1514"/>
    <mergeCell ref="N1512:N1514"/>
    <mergeCell ref="O1512:O1514"/>
    <mergeCell ref="O1509:O1511"/>
    <mergeCell ref="Q1509:Q1511"/>
    <mergeCell ref="A1512:A1514"/>
    <mergeCell ref="B1512:B1514"/>
    <mergeCell ref="D1512:D1514"/>
    <mergeCell ref="E1512:E1514"/>
    <mergeCell ref="F1512:F1514"/>
    <mergeCell ref="G1512:G1514"/>
    <mergeCell ref="H1512:H1514"/>
    <mergeCell ref="I1512:I1514"/>
    <mergeCell ref="I1509:I1511"/>
    <mergeCell ref="J1509:J1511"/>
    <mergeCell ref="K1509:K1511"/>
    <mergeCell ref="L1509:L1511"/>
    <mergeCell ref="M1509:M1511"/>
    <mergeCell ref="N1509:N1511"/>
    <mergeCell ref="N1506:N1508"/>
    <mergeCell ref="O1506:O1508"/>
    <mergeCell ref="Q1506:Q1508"/>
    <mergeCell ref="A1509:A1511"/>
    <mergeCell ref="B1509:B1511"/>
    <mergeCell ref="D1509:D1511"/>
    <mergeCell ref="E1509:E1511"/>
    <mergeCell ref="F1509:F1511"/>
    <mergeCell ref="G1509:G1511"/>
    <mergeCell ref="H1509:H1511"/>
    <mergeCell ref="H1506:H1508"/>
    <mergeCell ref="I1506:I1508"/>
    <mergeCell ref="J1506:J1508"/>
    <mergeCell ref="K1506:K1508"/>
    <mergeCell ref="L1506:L1508"/>
    <mergeCell ref="M1506:M1508"/>
    <mergeCell ref="A1506:A1508"/>
    <mergeCell ref="B1506:B1508"/>
    <mergeCell ref="D1506:D1508"/>
    <mergeCell ref="E1506:E1508"/>
    <mergeCell ref="F1506:F1508"/>
    <mergeCell ref="G1506:G1508"/>
    <mergeCell ref="K1503:K1505"/>
    <mergeCell ref="L1503:L1505"/>
    <mergeCell ref="M1503:M1505"/>
    <mergeCell ref="N1503:N1505"/>
    <mergeCell ref="O1503:O1505"/>
    <mergeCell ref="Q1503:Q1505"/>
    <mergeCell ref="Q1500:Q1502"/>
    <mergeCell ref="A1503:A1505"/>
    <mergeCell ref="B1503:B1505"/>
    <mergeCell ref="D1503:D1505"/>
    <mergeCell ref="E1503:E1505"/>
    <mergeCell ref="F1503:F1505"/>
    <mergeCell ref="G1503:G1505"/>
    <mergeCell ref="H1503:H1505"/>
    <mergeCell ref="I1503:I1505"/>
    <mergeCell ref="J1503:J1505"/>
    <mergeCell ref="J1500:J1502"/>
    <mergeCell ref="K1500:K1502"/>
    <mergeCell ref="L1500:L1502"/>
    <mergeCell ref="M1500:M1502"/>
    <mergeCell ref="N1500:N1502"/>
    <mergeCell ref="O1500:O1502"/>
    <mergeCell ref="O1497:O1499"/>
    <mergeCell ref="Q1497:Q1499"/>
    <mergeCell ref="A1500:A1502"/>
    <mergeCell ref="B1500:B1502"/>
    <mergeCell ref="D1500:D1502"/>
    <mergeCell ref="E1500:E1502"/>
    <mergeCell ref="F1500:F1502"/>
    <mergeCell ref="G1500:G1502"/>
    <mergeCell ref="H1500:H1502"/>
    <mergeCell ref="I1500:I1502"/>
    <mergeCell ref="I1497:I1499"/>
    <mergeCell ref="J1497:J1499"/>
    <mergeCell ref="K1497:K1499"/>
    <mergeCell ref="L1497:L1499"/>
    <mergeCell ref="M1497:M1499"/>
    <mergeCell ref="N1497:N1499"/>
    <mergeCell ref="N1494:N1496"/>
    <mergeCell ref="O1494:O1496"/>
    <mergeCell ref="Q1494:Q1496"/>
    <mergeCell ref="A1497:A1499"/>
    <mergeCell ref="B1497:B1499"/>
    <mergeCell ref="D1497:D1499"/>
    <mergeCell ref="E1497:E1499"/>
    <mergeCell ref="F1497:F1499"/>
    <mergeCell ref="G1497:G1499"/>
    <mergeCell ref="H1497:H1499"/>
    <mergeCell ref="H1494:H1496"/>
    <mergeCell ref="I1494:I1496"/>
    <mergeCell ref="J1494:J1496"/>
    <mergeCell ref="K1494:K1496"/>
    <mergeCell ref="L1494:L1496"/>
    <mergeCell ref="M1494:M1496"/>
    <mergeCell ref="A1494:A1496"/>
    <mergeCell ref="B1494:B1496"/>
    <mergeCell ref="D1494:D1496"/>
    <mergeCell ref="E1494:E1496"/>
    <mergeCell ref="F1494:F1496"/>
    <mergeCell ref="G1494:G1496"/>
    <mergeCell ref="K1491:K1493"/>
    <mergeCell ref="L1491:L1493"/>
    <mergeCell ref="M1491:M1493"/>
    <mergeCell ref="N1491:N1493"/>
    <mergeCell ref="O1491:O1493"/>
    <mergeCell ref="Q1491:Q1493"/>
    <mergeCell ref="Q1488:Q1490"/>
    <mergeCell ref="A1491:A1493"/>
    <mergeCell ref="B1491:B1493"/>
    <mergeCell ref="D1491:D1493"/>
    <mergeCell ref="E1491:E1493"/>
    <mergeCell ref="F1491:F1493"/>
    <mergeCell ref="G1491:G1493"/>
    <mergeCell ref="H1491:H1493"/>
    <mergeCell ref="I1491:I1493"/>
    <mergeCell ref="J1491:J1493"/>
    <mergeCell ref="J1488:J1490"/>
    <mergeCell ref="K1488:K1490"/>
    <mergeCell ref="L1488:L1490"/>
    <mergeCell ref="M1488:M1490"/>
    <mergeCell ref="N1488:N1490"/>
    <mergeCell ref="O1488:O1490"/>
    <mergeCell ref="O1485:O1487"/>
    <mergeCell ref="Q1485:Q1487"/>
    <mergeCell ref="A1488:A1490"/>
    <mergeCell ref="B1488:B1490"/>
    <mergeCell ref="D1488:D1490"/>
    <mergeCell ref="E1488:E1490"/>
    <mergeCell ref="F1488:F1490"/>
    <mergeCell ref="G1488:G1490"/>
    <mergeCell ref="H1488:H1490"/>
    <mergeCell ref="I1488:I1490"/>
    <mergeCell ref="I1485:I1487"/>
    <mergeCell ref="J1485:J1487"/>
    <mergeCell ref="K1485:K1487"/>
    <mergeCell ref="L1485:L1487"/>
    <mergeCell ref="M1485:M1487"/>
    <mergeCell ref="N1485:N1487"/>
    <mergeCell ref="N1482:N1484"/>
    <mergeCell ref="O1482:O1484"/>
    <mergeCell ref="Q1482:Q1484"/>
    <mergeCell ref="A1485:A1487"/>
    <mergeCell ref="B1485:B1487"/>
    <mergeCell ref="D1485:D1487"/>
    <mergeCell ref="E1485:E1487"/>
    <mergeCell ref="F1485:F1487"/>
    <mergeCell ref="G1485:G1487"/>
    <mergeCell ref="H1485:H1487"/>
    <mergeCell ref="H1482:H1484"/>
    <mergeCell ref="I1482:I1484"/>
    <mergeCell ref="J1482:J1484"/>
    <mergeCell ref="K1482:K1484"/>
    <mergeCell ref="L1482:L1484"/>
    <mergeCell ref="M1482:M1484"/>
    <mergeCell ref="A1482:A1484"/>
    <mergeCell ref="B1482:B1484"/>
    <mergeCell ref="D1482:D1484"/>
    <mergeCell ref="E1482:E1484"/>
    <mergeCell ref="F1482:F1484"/>
    <mergeCell ref="G1482:G1484"/>
    <mergeCell ref="K1479:K1481"/>
    <mergeCell ref="L1479:L1481"/>
    <mergeCell ref="M1479:M1481"/>
    <mergeCell ref="N1479:N1481"/>
    <mergeCell ref="O1479:O1481"/>
    <mergeCell ref="Q1479:Q1481"/>
    <mergeCell ref="Q1476:Q1478"/>
    <mergeCell ref="A1479:A1481"/>
    <mergeCell ref="B1479:B1481"/>
    <mergeCell ref="D1479:D1481"/>
    <mergeCell ref="E1479:E1481"/>
    <mergeCell ref="F1479:F1481"/>
    <mergeCell ref="G1479:G1481"/>
    <mergeCell ref="H1479:H1481"/>
    <mergeCell ref="I1479:I1481"/>
    <mergeCell ref="J1479:J1481"/>
    <mergeCell ref="J1476:J1478"/>
    <mergeCell ref="K1476:K1478"/>
    <mergeCell ref="L1476:L1478"/>
    <mergeCell ref="M1476:M1478"/>
    <mergeCell ref="N1476:N1478"/>
    <mergeCell ref="O1476:O1478"/>
    <mergeCell ref="O1473:O1475"/>
    <mergeCell ref="Q1473:Q1475"/>
    <mergeCell ref="A1476:A1478"/>
    <mergeCell ref="B1476:B1478"/>
    <mergeCell ref="D1476:D1478"/>
    <mergeCell ref="E1476:E1478"/>
    <mergeCell ref="F1476:F1478"/>
    <mergeCell ref="G1476:G1478"/>
    <mergeCell ref="H1476:H1478"/>
    <mergeCell ref="I1476:I1478"/>
    <mergeCell ref="I1473:I1475"/>
    <mergeCell ref="J1473:J1475"/>
    <mergeCell ref="K1473:K1475"/>
    <mergeCell ref="L1473:L1475"/>
    <mergeCell ref="M1473:M1475"/>
    <mergeCell ref="N1473:N1475"/>
    <mergeCell ref="N1470:N1472"/>
    <mergeCell ref="O1470:O1472"/>
    <mergeCell ref="Q1470:Q1472"/>
    <mergeCell ref="A1473:A1475"/>
    <mergeCell ref="B1473:B1475"/>
    <mergeCell ref="D1473:D1475"/>
    <mergeCell ref="E1473:E1475"/>
    <mergeCell ref="F1473:F1475"/>
    <mergeCell ref="G1473:G1475"/>
    <mergeCell ref="H1473:H1475"/>
    <mergeCell ref="H1470:H1472"/>
    <mergeCell ref="I1470:I1472"/>
    <mergeCell ref="J1470:J1472"/>
    <mergeCell ref="K1470:K1472"/>
    <mergeCell ref="L1470:L1472"/>
    <mergeCell ref="M1470:M1472"/>
    <mergeCell ref="A1470:A1472"/>
    <mergeCell ref="B1470:B1472"/>
    <mergeCell ref="D1470:D1472"/>
    <mergeCell ref="E1470:E1472"/>
    <mergeCell ref="F1470:F1472"/>
    <mergeCell ref="G1470:G1472"/>
    <mergeCell ref="K1467:K1469"/>
    <mergeCell ref="L1467:L1469"/>
    <mergeCell ref="M1467:M1469"/>
    <mergeCell ref="N1467:N1469"/>
    <mergeCell ref="O1467:O1469"/>
    <mergeCell ref="Q1467:Q1469"/>
    <mergeCell ref="Q1464:Q1466"/>
    <mergeCell ref="A1467:A1469"/>
    <mergeCell ref="B1467:B1469"/>
    <mergeCell ref="D1467:D1469"/>
    <mergeCell ref="E1467:E1469"/>
    <mergeCell ref="F1467:F1469"/>
    <mergeCell ref="G1467:G1469"/>
    <mergeCell ref="H1467:H1469"/>
    <mergeCell ref="I1467:I1469"/>
    <mergeCell ref="J1467:J1469"/>
    <mergeCell ref="J1464:J1466"/>
    <mergeCell ref="K1464:K1466"/>
    <mergeCell ref="L1464:L1466"/>
    <mergeCell ref="M1464:M1466"/>
    <mergeCell ref="N1464:N1466"/>
    <mergeCell ref="O1464:O1466"/>
    <mergeCell ref="O1461:O1463"/>
    <mergeCell ref="Q1461:Q1463"/>
    <mergeCell ref="A1464:A1466"/>
    <mergeCell ref="B1464:B1466"/>
    <mergeCell ref="D1464:D1466"/>
    <mergeCell ref="E1464:E1466"/>
    <mergeCell ref="F1464:F1466"/>
    <mergeCell ref="G1464:G1466"/>
    <mergeCell ref="H1464:H1466"/>
    <mergeCell ref="I1464:I1466"/>
    <mergeCell ref="I1461:I1463"/>
    <mergeCell ref="J1461:J1463"/>
    <mergeCell ref="K1461:K1463"/>
    <mergeCell ref="L1461:L1463"/>
    <mergeCell ref="M1461:M1463"/>
    <mergeCell ref="N1461:N1463"/>
    <mergeCell ref="N1458:N1460"/>
    <mergeCell ref="O1458:O1460"/>
    <mergeCell ref="Q1458:Q1460"/>
    <mergeCell ref="A1461:A1463"/>
    <mergeCell ref="B1461:B1463"/>
    <mergeCell ref="D1461:D1463"/>
    <mergeCell ref="E1461:E1463"/>
    <mergeCell ref="F1461:F1463"/>
    <mergeCell ref="G1461:G1463"/>
    <mergeCell ref="H1461:H1463"/>
    <mergeCell ref="H1458:H1460"/>
    <mergeCell ref="I1458:I1460"/>
    <mergeCell ref="J1458:J1460"/>
    <mergeCell ref="K1458:K1460"/>
    <mergeCell ref="L1458:L1460"/>
    <mergeCell ref="M1458:M1460"/>
    <mergeCell ref="A1458:A1460"/>
    <mergeCell ref="B1458:B1460"/>
    <mergeCell ref="D1458:D1460"/>
    <mergeCell ref="E1458:E1460"/>
    <mergeCell ref="F1458:F1460"/>
    <mergeCell ref="G1458:G1460"/>
    <mergeCell ref="K1455:K1457"/>
    <mergeCell ref="L1455:L1457"/>
    <mergeCell ref="M1455:M1457"/>
    <mergeCell ref="N1455:N1457"/>
    <mergeCell ref="O1455:O1457"/>
    <mergeCell ref="Q1455:Q1457"/>
    <mergeCell ref="Q1452:Q1454"/>
    <mergeCell ref="A1455:A1457"/>
    <mergeCell ref="B1455:B1457"/>
    <mergeCell ref="D1455:D1457"/>
    <mergeCell ref="E1455:E1457"/>
    <mergeCell ref="F1455:F1457"/>
    <mergeCell ref="G1455:G1457"/>
    <mergeCell ref="H1455:H1457"/>
    <mergeCell ref="I1455:I1457"/>
    <mergeCell ref="J1455:J1457"/>
    <mergeCell ref="J1452:J1454"/>
    <mergeCell ref="K1452:K1454"/>
    <mergeCell ref="L1452:L1454"/>
    <mergeCell ref="M1452:M1454"/>
    <mergeCell ref="N1452:N1454"/>
    <mergeCell ref="O1452:O1454"/>
    <mergeCell ref="I1450:I1451"/>
    <mergeCell ref="A1452:A1454"/>
    <mergeCell ref="B1452:B1454"/>
    <mergeCell ref="D1452:D1454"/>
    <mergeCell ref="E1452:E1454"/>
    <mergeCell ref="F1452:F1454"/>
    <mergeCell ref="G1452:G1454"/>
    <mergeCell ref="H1452:H1454"/>
    <mergeCell ref="I1452:I1454"/>
    <mergeCell ref="O1441:O1451"/>
    <mergeCell ref="Q1441:Q1451"/>
    <mergeCell ref="B1446:B1447"/>
    <mergeCell ref="E1446:E1447"/>
    <mergeCell ref="I1446:I1447"/>
    <mergeCell ref="B1448:B1449"/>
    <mergeCell ref="E1448:E1449"/>
    <mergeCell ref="I1448:I1449"/>
    <mergeCell ref="B1450:B1451"/>
    <mergeCell ref="E1450:E1451"/>
    <mergeCell ref="Q1438:Q1440"/>
    <mergeCell ref="A1441:A1451"/>
    <mergeCell ref="D1441:D1451"/>
    <mergeCell ref="F1441:F1451"/>
    <mergeCell ref="G1441:G1451"/>
    <mergeCell ref="H1441:H1451"/>
    <mergeCell ref="K1441:K1451"/>
    <mergeCell ref="L1441:L1451"/>
    <mergeCell ref="M1441:M1451"/>
    <mergeCell ref="N1441:N1451"/>
    <mergeCell ref="J1438:J1440"/>
    <mergeCell ref="K1438:K1440"/>
    <mergeCell ref="L1438:L1440"/>
    <mergeCell ref="M1438:M1440"/>
    <mergeCell ref="N1438:N1440"/>
    <mergeCell ref="O1438:O1440"/>
    <mergeCell ref="O1435:O1437"/>
    <mergeCell ref="Q1435:Q1437"/>
    <mergeCell ref="A1438:A1440"/>
    <mergeCell ref="B1438:B1440"/>
    <mergeCell ref="D1438:D1440"/>
    <mergeCell ref="E1438:E1440"/>
    <mergeCell ref="F1438:F1440"/>
    <mergeCell ref="G1438:G1440"/>
    <mergeCell ref="H1438:H1440"/>
    <mergeCell ref="I1438:I1440"/>
    <mergeCell ref="I1435:I1437"/>
    <mergeCell ref="J1435:J1437"/>
    <mergeCell ref="K1435:K1437"/>
    <mergeCell ref="L1435:L1437"/>
    <mergeCell ref="M1435:M1437"/>
    <mergeCell ref="N1435:N1437"/>
    <mergeCell ref="N1432:N1434"/>
    <mergeCell ref="O1432:O1434"/>
    <mergeCell ref="Q1432:Q1434"/>
    <mergeCell ref="A1435:A1437"/>
    <mergeCell ref="B1435:B1437"/>
    <mergeCell ref="D1435:D1437"/>
    <mergeCell ref="E1435:E1437"/>
    <mergeCell ref="F1435:F1437"/>
    <mergeCell ref="G1435:G1437"/>
    <mergeCell ref="H1435:H1437"/>
    <mergeCell ref="H1432:H1434"/>
    <mergeCell ref="I1432:I1434"/>
    <mergeCell ref="J1432:J1434"/>
    <mergeCell ref="K1432:K1434"/>
    <mergeCell ref="L1432:L1434"/>
    <mergeCell ref="M1432:M1434"/>
    <mergeCell ref="A1432:A1434"/>
    <mergeCell ref="B1432:B1434"/>
    <mergeCell ref="D1432:D1434"/>
    <mergeCell ref="E1432:E1434"/>
    <mergeCell ref="F1432:F1434"/>
    <mergeCell ref="G1432:G1434"/>
    <mergeCell ref="C1444:C1451"/>
    <mergeCell ref="K1429:K1431"/>
    <mergeCell ref="L1429:L1431"/>
    <mergeCell ref="M1429:M1431"/>
    <mergeCell ref="N1429:N1431"/>
    <mergeCell ref="O1429:O1431"/>
    <mergeCell ref="Q1429:Q1431"/>
    <mergeCell ref="Q1426:Q1428"/>
    <mergeCell ref="A1429:A1431"/>
    <mergeCell ref="B1429:B1431"/>
    <mergeCell ref="D1429:D1431"/>
    <mergeCell ref="E1429:E1431"/>
    <mergeCell ref="F1429:F1431"/>
    <mergeCell ref="G1429:G1431"/>
    <mergeCell ref="H1429:H1431"/>
    <mergeCell ref="I1429:I1431"/>
    <mergeCell ref="J1429:J1431"/>
    <mergeCell ref="J1426:J1428"/>
    <mergeCell ref="K1426:K1428"/>
    <mergeCell ref="L1426:L1428"/>
    <mergeCell ref="M1426:M1428"/>
    <mergeCell ref="N1426:N1428"/>
    <mergeCell ref="O1426:O1428"/>
    <mergeCell ref="O1423:O1425"/>
    <mergeCell ref="Q1423:Q1425"/>
    <mergeCell ref="A1426:A1428"/>
    <mergeCell ref="B1426:B1428"/>
    <mergeCell ref="D1426:D1428"/>
    <mergeCell ref="E1426:E1428"/>
    <mergeCell ref="F1426:F1428"/>
    <mergeCell ref="G1426:G1428"/>
    <mergeCell ref="H1426:H1428"/>
    <mergeCell ref="I1426:I1428"/>
    <mergeCell ref="I1423:I1425"/>
    <mergeCell ref="J1423:J1425"/>
    <mergeCell ref="K1423:K1425"/>
    <mergeCell ref="L1423:L1425"/>
    <mergeCell ref="M1423:M1425"/>
    <mergeCell ref="N1423:N1425"/>
    <mergeCell ref="N1420:N1422"/>
    <mergeCell ref="O1420:O1422"/>
    <mergeCell ref="Q1420:Q1422"/>
    <mergeCell ref="A1423:A1425"/>
    <mergeCell ref="B1423:B1425"/>
    <mergeCell ref="D1423:D1425"/>
    <mergeCell ref="E1423:E1425"/>
    <mergeCell ref="F1423:F1425"/>
    <mergeCell ref="G1423:G1425"/>
    <mergeCell ref="H1423:H1425"/>
    <mergeCell ref="H1420:H1422"/>
    <mergeCell ref="I1420:I1422"/>
    <mergeCell ref="J1420:J1422"/>
    <mergeCell ref="K1420:K1422"/>
    <mergeCell ref="L1420:L1422"/>
    <mergeCell ref="M1420:M1422"/>
    <mergeCell ref="A1420:A1422"/>
    <mergeCell ref="B1420:B1422"/>
    <mergeCell ref="D1420:D1422"/>
    <mergeCell ref="E1420:E1422"/>
    <mergeCell ref="F1420:F1422"/>
    <mergeCell ref="G1420:G1422"/>
    <mergeCell ref="K1417:K1419"/>
    <mergeCell ref="L1417:L1419"/>
    <mergeCell ref="M1417:M1419"/>
    <mergeCell ref="N1417:N1419"/>
    <mergeCell ref="O1417:O1419"/>
    <mergeCell ref="Q1417:Q1419"/>
    <mergeCell ref="Q1414:Q1416"/>
    <mergeCell ref="A1417:A1419"/>
    <mergeCell ref="B1417:B1419"/>
    <mergeCell ref="D1417:D1419"/>
    <mergeCell ref="E1417:E1419"/>
    <mergeCell ref="F1417:F1419"/>
    <mergeCell ref="G1417:G1419"/>
    <mergeCell ref="H1417:H1419"/>
    <mergeCell ref="I1417:I1419"/>
    <mergeCell ref="J1417:J1419"/>
    <mergeCell ref="J1414:J1416"/>
    <mergeCell ref="K1414:K1416"/>
    <mergeCell ref="L1414:L1416"/>
    <mergeCell ref="M1414:M1416"/>
    <mergeCell ref="N1414:N1416"/>
    <mergeCell ref="O1414:O1416"/>
    <mergeCell ref="O1411:O1413"/>
    <mergeCell ref="Q1411:Q1413"/>
    <mergeCell ref="A1414:A1416"/>
    <mergeCell ref="B1414:B1416"/>
    <mergeCell ref="D1414:D1416"/>
    <mergeCell ref="E1414:E1416"/>
    <mergeCell ref="F1414:F1416"/>
    <mergeCell ref="G1414:G1416"/>
    <mergeCell ref="H1414:H1416"/>
    <mergeCell ref="I1414:I1416"/>
    <mergeCell ref="I1411:I1413"/>
    <mergeCell ref="J1411:J1413"/>
    <mergeCell ref="K1411:K1413"/>
    <mergeCell ref="L1411:L1413"/>
    <mergeCell ref="M1411:M1413"/>
    <mergeCell ref="N1411:N1413"/>
    <mergeCell ref="N1408:N1410"/>
    <mergeCell ref="O1408:O1410"/>
    <mergeCell ref="Q1408:Q1410"/>
    <mergeCell ref="A1411:A1413"/>
    <mergeCell ref="B1411:B1413"/>
    <mergeCell ref="D1411:D1413"/>
    <mergeCell ref="E1411:E1413"/>
    <mergeCell ref="F1411:F1413"/>
    <mergeCell ref="G1411:G1413"/>
    <mergeCell ref="H1411:H1413"/>
    <mergeCell ref="H1408:H1410"/>
    <mergeCell ref="I1408:I1410"/>
    <mergeCell ref="J1408:J1410"/>
    <mergeCell ref="K1408:K1410"/>
    <mergeCell ref="L1408:L1410"/>
    <mergeCell ref="M1408:M1410"/>
    <mergeCell ref="A1408:A1410"/>
    <mergeCell ref="B1408:B1410"/>
    <mergeCell ref="D1408:D1410"/>
    <mergeCell ref="E1408:E1410"/>
    <mergeCell ref="F1408:F1410"/>
    <mergeCell ref="G1408:G1410"/>
    <mergeCell ref="K1405:K1407"/>
    <mergeCell ref="L1405:L1407"/>
    <mergeCell ref="M1405:M1407"/>
    <mergeCell ref="N1405:N1407"/>
    <mergeCell ref="O1405:O1407"/>
    <mergeCell ref="Q1405:Q1407"/>
    <mergeCell ref="Q1402:Q1404"/>
    <mergeCell ref="A1405:A1407"/>
    <mergeCell ref="B1405:B1407"/>
    <mergeCell ref="D1405:D1407"/>
    <mergeCell ref="E1405:E1407"/>
    <mergeCell ref="F1405:F1407"/>
    <mergeCell ref="G1405:G1407"/>
    <mergeCell ref="H1405:H1407"/>
    <mergeCell ref="I1405:I1407"/>
    <mergeCell ref="J1405:J1407"/>
    <mergeCell ref="J1402:J1404"/>
    <mergeCell ref="K1402:K1404"/>
    <mergeCell ref="L1402:L1404"/>
    <mergeCell ref="M1402:M1404"/>
    <mergeCell ref="N1402:N1404"/>
    <mergeCell ref="O1402:O1404"/>
    <mergeCell ref="O1399:O1401"/>
    <mergeCell ref="Q1399:Q1401"/>
    <mergeCell ref="A1402:A1404"/>
    <mergeCell ref="B1402:B1404"/>
    <mergeCell ref="D1402:D1404"/>
    <mergeCell ref="E1402:E1404"/>
    <mergeCell ref="F1402:F1404"/>
    <mergeCell ref="G1402:G1404"/>
    <mergeCell ref="H1402:H1404"/>
    <mergeCell ref="I1402:I1404"/>
    <mergeCell ref="I1399:I1401"/>
    <mergeCell ref="J1399:J1401"/>
    <mergeCell ref="K1399:K1401"/>
    <mergeCell ref="L1399:L1401"/>
    <mergeCell ref="M1399:M1401"/>
    <mergeCell ref="N1399:N1401"/>
    <mergeCell ref="N1396:N1398"/>
    <mergeCell ref="O1396:O1398"/>
    <mergeCell ref="Q1396:Q1398"/>
    <mergeCell ref="A1399:A1401"/>
    <mergeCell ref="B1399:B1401"/>
    <mergeCell ref="D1399:D1401"/>
    <mergeCell ref="E1399:E1401"/>
    <mergeCell ref="F1399:F1401"/>
    <mergeCell ref="G1399:G1401"/>
    <mergeCell ref="H1399:H1401"/>
    <mergeCell ref="H1396:H1398"/>
    <mergeCell ref="I1396:I1398"/>
    <mergeCell ref="J1396:J1398"/>
    <mergeCell ref="K1396:K1398"/>
    <mergeCell ref="L1396:L1398"/>
    <mergeCell ref="M1396:M1398"/>
    <mergeCell ref="A1396:A1398"/>
    <mergeCell ref="B1396:B1398"/>
    <mergeCell ref="D1396:D1398"/>
    <mergeCell ref="E1396:E1398"/>
    <mergeCell ref="F1396:F1398"/>
    <mergeCell ref="G1396:G1398"/>
    <mergeCell ref="K1393:K1395"/>
    <mergeCell ref="L1393:L1395"/>
    <mergeCell ref="M1393:M1395"/>
    <mergeCell ref="N1393:N1395"/>
    <mergeCell ref="O1393:O1395"/>
    <mergeCell ref="Q1393:Q1395"/>
    <mergeCell ref="Q1390:Q1392"/>
    <mergeCell ref="A1393:A1395"/>
    <mergeCell ref="B1393:B1395"/>
    <mergeCell ref="D1393:D1395"/>
    <mergeCell ref="E1393:E1395"/>
    <mergeCell ref="F1393:F1395"/>
    <mergeCell ref="G1393:G1395"/>
    <mergeCell ref="H1393:H1395"/>
    <mergeCell ref="I1393:I1395"/>
    <mergeCell ref="J1393:J1395"/>
    <mergeCell ref="J1390:J1392"/>
    <mergeCell ref="K1390:K1392"/>
    <mergeCell ref="L1390:L1392"/>
    <mergeCell ref="M1390:M1392"/>
    <mergeCell ref="N1390:N1392"/>
    <mergeCell ref="O1390:O1392"/>
    <mergeCell ref="O1387:O1389"/>
    <mergeCell ref="Q1387:Q1389"/>
    <mergeCell ref="A1390:A1392"/>
    <mergeCell ref="B1390:B1392"/>
    <mergeCell ref="D1390:D1392"/>
    <mergeCell ref="E1390:E1392"/>
    <mergeCell ref="F1390:F1392"/>
    <mergeCell ref="G1390:G1392"/>
    <mergeCell ref="H1390:H1392"/>
    <mergeCell ref="I1390:I1392"/>
    <mergeCell ref="I1387:I1389"/>
    <mergeCell ref="J1387:J1389"/>
    <mergeCell ref="K1387:K1389"/>
    <mergeCell ref="L1387:L1389"/>
    <mergeCell ref="M1387:M1389"/>
    <mergeCell ref="N1387:N1389"/>
    <mergeCell ref="N1384:N1386"/>
    <mergeCell ref="O1384:O1386"/>
    <mergeCell ref="Q1384:Q1386"/>
    <mergeCell ref="A1387:A1389"/>
    <mergeCell ref="B1387:B1389"/>
    <mergeCell ref="D1387:D1389"/>
    <mergeCell ref="E1387:E1389"/>
    <mergeCell ref="F1387:F1389"/>
    <mergeCell ref="G1387:G1389"/>
    <mergeCell ref="H1387:H1389"/>
    <mergeCell ref="H1384:H1386"/>
    <mergeCell ref="I1384:I1386"/>
    <mergeCell ref="J1384:J1386"/>
    <mergeCell ref="K1384:K1386"/>
    <mergeCell ref="L1384:L1386"/>
    <mergeCell ref="M1384:M1386"/>
    <mergeCell ref="A1384:A1386"/>
    <mergeCell ref="B1384:B1386"/>
    <mergeCell ref="D1384:D1386"/>
    <mergeCell ref="E1384:E1386"/>
    <mergeCell ref="F1384:F1386"/>
    <mergeCell ref="G1384:G1386"/>
    <mergeCell ref="K1381:K1383"/>
    <mergeCell ref="L1381:L1383"/>
    <mergeCell ref="M1381:M1383"/>
    <mergeCell ref="N1381:N1383"/>
    <mergeCell ref="O1381:O1383"/>
    <mergeCell ref="Q1381:Q1383"/>
    <mergeCell ref="Q1378:Q1380"/>
    <mergeCell ref="A1381:A1383"/>
    <mergeCell ref="B1381:B1383"/>
    <mergeCell ref="D1381:D1383"/>
    <mergeCell ref="E1381:E1383"/>
    <mergeCell ref="F1381:F1383"/>
    <mergeCell ref="G1381:G1383"/>
    <mergeCell ref="H1381:H1383"/>
    <mergeCell ref="I1381:I1383"/>
    <mergeCell ref="J1381:J1383"/>
    <mergeCell ref="J1378:J1380"/>
    <mergeCell ref="K1378:K1380"/>
    <mergeCell ref="L1378:L1380"/>
    <mergeCell ref="M1378:M1380"/>
    <mergeCell ref="N1378:N1380"/>
    <mergeCell ref="O1378:O1380"/>
    <mergeCell ref="O1375:O1377"/>
    <mergeCell ref="Q1375:Q1377"/>
    <mergeCell ref="A1378:A1380"/>
    <mergeCell ref="B1378:B1380"/>
    <mergeCell ref="D1378:D1380"/>
    <mergeCell ref="E1378:E1380"/>
    <mergeCell ref="F1378:F1380"/>
    <mergeCell ref="G1378:G1380"/>
    <mergeCell ref="H1378:H1380"/>
    <mergeCell ref="I1378:I1380"/>
    <mergeCell ref="I1375:I1377"/>
    <mergeCell ref="J1375:J1377"/>
    <mergeCell ref="K1375:K1377"/>
    <mergeCell ref="L1375:L1377"/>
    <mergeCell ref="M1375:M1377"/>
    <mergeCell ref="N1375:N1377"/>
    <mergeCell ref="N1372:N1374"/>
    <mergeCell ref="O1372:O1374"/>
    <mergeCell ref="Q1372:Q1374"/>
    <mergeCell ref="A1375:A1377"/>
    <mergeCell ref="B1375:B1377"/>
    <mergeCell ref="D1375:D1377"/>
    <mergeCell ref="E1375:E1377"/>
    <mergeCell ref="F1375:F1377"/>
    <mergeCell ref="G1375:G1377"/>
    <mergeCell ref="H1375:H1377"/>
    <mergeCell ref="H1372:H1374"/>
    <mergeCell ref="I1372:I1374"/>
    <mergeCell ref="J1372:J1374"/>
    <mergeCell ref="K1372:K1374"/>
    <mergeCell ref="L1372:L1374"/>
    <mergeCell ref="M1372:M1374"/>
    <mergeCell ref="A1372:A1374"/>
    <mergeCell ref="B1372:B1374"/>
    <mergeCell ref="D1372:D1374"/>
    <mergeCell ref="E1372:E1374"/>
    <mergeCell ref="F1372:F1374"/>
    <mergeCell ref="G1372:G1374"/>
    <mergeCell ref="K1369:K1371"/>
    <mergeCell ref="L1369:L1371"/>
    <mergeCell ref="M1369:M1371"/>
    <mergeCell ref="N1369:N1371"/>
    <mergeCell ref="O1369:O1371"/>
    <mergeCell ref="Q1369:Q1371"/>
    <mergeCell ref="Q1366:Q1368"/>
    <mergeCell ref="A1369:A1371"/>
    <mergeCell ref="B1369:B1371"/>
    <mergeCell ref="D1369:D1371"/>
    <mergeCell ref="E1369:E1371"/>
    <mergeCell ref="F1369:F1371"/>
    <mergeCell ref="G1369:G1371"/>
    <mergeCell ref="H1369:H1371"/>
    <mergeCell ref="I1369:I1371"/>
    <mergeCell ref="J1369:J1371"/>
    <mergeCell ref="J1366:J1368"/>
    <mergeCell ref="K1366:K1368"/>
    <mergeCell ref="L1366:L1368"/>
    <mergeCell ref="M1366:M1368"/>
    <mergeCell ref="N1366:N1368"/>
    <mergeCell ref="O1366:O1368"/>
    <mergeCell ref="O1363:O1365"/>
    <mergeCell ref="Q1363:Q1365"/>
    <mergeCell ref="A1366:A1368"/>
    <mergeCell ref="B1366:B1368"/>
    <mergeCell ref="D1366:D1368"/>
    <mergeCell ref="E1366:E1368"/>
    <mergeCell ref="F1366:F1368"/>
    <mergeCell ref="G1366:G1368"/>
    <mergeCell ref="H1366:H1368"/>
    <mergeCell ref="I1366:I1368"/>
    <mergeCell ref="I1363:I1365"/>
    <mergeCell ref="J1363:J1365"/>
    <mergeCell ref="K1363:K1365"/>
    <mergeCell ref="L1363:L1365"/>
    <mergeCell ref="M1363:M1365"/>
    <mergeCell ref="N1363:N1365"/>
    <mergeCell ref="N1360:N1362"/>
    <mergeCell ref="O1360:O1362"/>
    <mergeCell ref="Q1360:Q1362"/>
    <mergeCell ref="A1363:A1365"/>
    <mergeCell ref="B1363:B1365"/>
    <mergeCell ref="D1363:D1365"/>
    <mergeCell ref="E1363:E1365"/>
    <mergeCell ref="F1363:F1365"/>
    <mergeCell ref="G1363:G1365"/>
    <mergeCell ref="H1363:H1365"/>
    <mergeCell ref="H1360:H1362"/>
    <mergeCell ref="I1360:I1362"/>
    <mergeCell ref="J1360:J1362"/>
    <mergeCell ref="K1360:K1362"/>
    <mergeCell ref="L1360:L1362"/>
    <mergeCell ref="M1360:M1362"/>
    <mergeCell ref="A1360:A1362"/>
    <mergeCell ref="B1360:B1362"/>
    <mergeCell ref="D1360:D1362"/>
    <mergeCell ref="E1360:E1362"/>
    <mergeCell ref="F1360:F1362"/>
    <mergeCell ref="G1360:G1362"/>
    <mergeCell ref="K1357:K1359"/>
    <mergeCell ref="L1357:L1359"/>
    <mergeCell ref="M1357:M1359"/>
    <mergeCell ref="N1357:N1359"/>
    <mergeCell ref="O1357:O1359"/>
    <mergeCell ref="Q1357:Q1359"/>
    <mergeCell ref="Q1354:Q1356"/>
    <mergeCell ref="A1357:A1359"/>
    <mergeCell ref="B1357:B1359"/>
    <mergeCell ref="D1357:D1359"/>
    <mergeCell ref="E1357:E1359"/>
    <mergeCell ref="F1357:F1359"/>
    <mergeCell ref="G1357:G1359"/>
    <mergeCell ref="H1357:H1359"/>
    <mergeCell ref="I1357:I1359"/>
    <mergeCell ref="J1357:J1359"/>
    <mergeCell ref="J1354:J1356"/>
    <mergeCell ref="K1354:K1356"/>
    <mergeCell ref="L1354:L1356"/>
    <mergeCell ref="M1354:M1356"/>
    <mergeCell ref="N1354:N1356"/>
    <mergeCell ref="O1354:O1356"/>
    <mergeCell ref="O1351:O1353"/>
    <mergeCell ref="Q1351:Q1353"/>
    <mergeCell ref="A1354:A1356"/>
    <mergeCell ref="B1354:B1356"/>
    <mergeCell ref="D1354:D1356"/>
    <mergeCell ref="E1354:E1356"/>
    <mergeCell ref="F1354:F1356"/>
    <mergeCell ref="G1354:G1356"/>
    <mergeCell ref="H1354:H1356"/>
    <mergeCell ref="I1354:I1356"/>
    <mergeCell ref="I1351:I1353"/>
    <mergeCell ref="J1351:J1353"/>
    <mergeCell ref="K1351:K1353"/>
    <mergeCell ref="L1351:L1353"/>
    <mergeCell ref="M1351:M1353"/>
    <mergeCell ref="N1351:N1353"/>
    <mergeCell ref="O1347:O1349"/>
    <mergeCell ref="Q1347:Q1349"/>
    <mergeCell ref="A1350:Q1350"/>
    <mergeCell ref="A1351:A1353"/>
    <mergeCell ref="B1351:B1353"/>
    <mergeCell ref="D1351:D1353"/>
    <mergeCell ref="E1351:E1353"/>
    <mergeCell ref="F1351:F1353"/>
    <mergeCell ref="G1351:G1353"/>
    <mergeCell ref="H1351:H1353"/>
    <mergeCell ref="I1347:I1349"/>
    <mergeCell ref="J1347:J1349"/>
    <mergeCell ref="K1347:K1349"/>
    <mergeCell ref="L1347:L1349"/>
    <mergeCell ref="M1347:M1349"/>
    <mergeCell ref="N1347:N1349"/>
    <mergeCell ref="N1344:N1346"/>
    <mergeCell ref="O1344:O1346"/>
    <mergeCell ref="Q1344:Q1346"/>
    <mergeCell ref="A1347:A1349"/>
    <mergeCell ref="B1347:B1349"/>
    <mergeCell ref="D1347:D1349"/>
    <mergeCell ref="E1347:E1349"/>
    <mergeCell ref="F1347:F1349"/>
    <mergeCell ref="G1347:G1349"/>
    <mergeCell ref="H1347:H1349"/>
    <mergeCell ref="H1344:H1346"/>
    <mergeCell ref="I1344:I1346"/>
    <mergeCell ref="J1344:J1346"/>
    <mergeCell ref="K1344:K1346"/>
    <mergeCell ref="L1344:L1346"/>
    <mergeCell ref="M1344:M1346"/>
    <mergeCell ref="A1344:A1346"/>
    <mergeCell ref="B1344:B1346"/>
    <mergeCell ref="D1344:D1346"/>
    <mergeCell ref="E1344:E1346"/>
    <mergeCell ref="F1344:F1346"/>
    <mergeCell ref="G1344:G1346"/>
    <mergeCell ref="K1341:K1343"/>
    <mergeCell ref="L1341:L1343"/>
    <mergeCell ref="M1341:M1343"/>
    <mergeCell ref="N1341:N1343"/>
    <mergeCell ref="O1341:O1343"/>
    <mergeCell ref="Q1341:Q1343"/>
    <mergeCell ref="Q1338:Q1340"/>
    <mergeCell ref="A1341:A1343"/>
    <mergeCell ref="B1341:B1343"/>
    <mergeCell ref="D1341:D1343"/>
    <mergeCell ref="E1341:E1343"/>
    <mergeCell ref="F1341:F1343"/>
    <mergeCell ref="G1341:G1343"/>
    <mergeCell ref="H1341:H1343"/>
    <mergeCell ref="I1341:I1343"/>
    <mergeCell ref="J1341:J1343"/>
    <mergeCell ref="J1338:J1340"/>
    <mergeCell ref="K1338:K1340"/>
    <mergeCell ref="L1338:L1340"/>
    <mergeCell ref="M1338:M1340"/>
    <mergeCell ref="N1338:N1340"/>
    <mergeCell ref="O1338:O1340"/>
    <mergeCell ref="O1335:O1337"/>
    <mergeCell ref="Q1335:Q1337"/>
    <mergeCell ref="A1338:A1340"/>
    <mergeCell ref="B1338:B1340"/>
    <mergeCell ref="D1338:D1340"/>
    <mergeCell ref="E1338:E1340"/>
    <mergeCell ref="F1338:F1340"/>
    <mergeCell ref="G1338:G1340"/>
    <mergeCell ref="H1338:H1340"/>
    <mergeCell ref="I1338:I1340"/>
    <mergeCell ref="I1335:I1337"/>
    <mergeCell ref="J1335:J1337"/>
    <mergeCell ref="K1335:K1337"/>
    <mergeCell ref="L1335:L1337"/>
    <mergeCell ref="M1335:M1337"/>
    <mergeCell ref="N1335:N1337"/>
    <mergeCell ref="N1332:N1334"/>
    <mergeCell ref="O1332:O1334"/>
    <mergeCell ref="Q1332:Q1334"/>
    <mergeCell ref="A1335:A1337"/>
    <mergeCell ref="B1335:B1337"/>
    <mergeCell ref="D1335:D1337"/>
    <mergeCell ref="E1335:E1337"/>
    <mergeCell ref="F1335:F1337"/>
    <mergeCell ref="G1335:G1337"/>
    <mergeCell ref="H1335:H1337"/>
    <mergeCell ref="H1332:H1334"/>
    <mergeCell ref="I1332:I1334"/>
    <mergeCell ref="J1332:J1334"/>
    <mergeCell ref="K1332:K1334"/>
    <mergeCell ref="L1332:L1334"/>
    <mergeCell ref="M1332:M1334"/>
    <mergeCell ref="A1332:A1334"/>
    <mergeCell ref="B1332:B1334"/>
    <mergeCell ref="D1332:D1334"/>
    <mergeCell ref="E1332:E1334"/>
    <mergeCell ref="F1332:F1334"/>
    <mergeCell ref="G1332:G1334"/>
    <mergeCell ref="K1329:K1331"/>
    <mergeCell ref="L1329:L1331"/>
    <mergeCell ref="M1329:M1331"/>
    <mergeCell ref="N1329:N1331"/>
    <mergeCell ref="O1329:O1331"/>
    <mergeCell ref="Q1329:Q1331"/>
    <mergeCell ref="Q1326:Q1328"/>
    <mergeCell ref="A1329:A1331"/>
    <mergeCell ref="B1329:B1331"/>
    <mergeCell ref="D1329:D1331"/>
    <mergeCell ref="E1329:E1331"/>
    <mergeCell ref="F1329:F1331"/>
    <mergeCell ref="G1329:G1331"/>
    <mergeCell ref="H1329:H1331"/>
    <mergeCell ref="I1329:I1331"/>
    <mergeCell ref="J1329:J1331"/>
    <mergeCell ref="J1326:J1328"/>
    <mergeCell ref="K1326:K1328"/>
    <mergeCell ref="L1326:L1328"/>
    <mergeCell ref="M1326:M1328"/>
    <mergeCell ref="N1326:N1328"/>
    <mergeCell ref="O1326:O1328"/>
    <mergeCell ref="O1323:O1325"/>
    <mergeCell ref="Q1323:Q1325"/>
    <mergeCell ref="A1326:A1328"/>
    <mergeCell ref="B1326:B1328"/>
    <mergeCell ref="D1326:D1328"/>
    <mergeCell ref="E1326:E1328"/>
    <mergeCell ref="F1326:F1328"/>
    <mergeCell ref="G1326:G1328"/>
    <mergeCell ref="H1326:H1328"/>
    <mergeCell ref="I1326:I1328"/>
    <mergeCell ref="I1323:I1325"/>
    <mergeCell ref="J1323:J1325"/>
    <mergeCell ref="K1323:K1325"/>
    <mergeCell ref="L1323:L1325"/>
    <mergeCell ref="M1323:M1325"/>
    <mergeCell ref="N1323:N1325"/>
    <mergeCell ref="N1320:N1322"/>
    <mergeCell ref="O1320:O1322"/>
    <mergeCell ref="Q1320:Q1322"/>
    <mergeCell ref="A1323:A1325"/>
    <mergeCell ref="B1323:B1325"/>
    <mergeCell ref="D1323:D1325"/>
    <mergeCell ref="E1323:E1325"/>
    <mergeCell ref="F1323:F1325"/>
    <mergeCell ref="G1323:G1325"/>
    <mergeCell ref="H1323:H1325"/>
    <mergeCell ref="H1320:H1322"/>
    <mergeCell ref="I1320:I1322"/>
    <mergeCell ref="J1320:J1322"/>
    <mergeCell ref="K1320:K1322"/>
    <mergeCell ref="L1320:L1322"/>
    <mergeCell ref="M1320:M1322"/>
    <mergeCell ref="A1320:A1322"/>
    <mergeCell ref="B1320:B1322"/>
    <mergeCell ref="D1320:D1322"/>
    <mergeCell ref="E1320:E1322"/>
    <mergeCell ref="F1320:F1322"/>
    <mergeCell ref="G1320:G1322"/>
    <mergeCell ref="K1317:K1319"/>
    <mergeCell ref="L1317:L1319"/>
    <mergeCell ref="M1317:M1319"/>
    <mergeCell ref="N1317:N1319"/>
    <mergeCell ref="O1317:O1319"/>
    <mergeCell ref="Q1317:Q1319"/>
    <mergeCell ref="Q1314:Q1316"/>
    <mergeCell ref="A1317:A1319"/>
    <mergeCell ref="B1317:B1319"/>
    <mergeCell ref="D1317:D1319"/>
    <mergeCell ref="E1317:E1319"/>
    <mergeCell ref="F1317:F1319"/>
    <mergeCell ref="G1317:G1319"/>
    <mergeCell ref="H1317:H1319"/>
    <mergeCell ref="I1317:I1319"/>
    <mergeCell ref="J1317:J1319"/>
    <mergeCell ref="J1314:J1316"/>
    <mergeCell ref="K1314:K1316"/>
    <mergeCell ref="L1314:L1316"/>
    <mergeCell ref="M1314:M1316"/>
    <mergeCell ref="N1314:N1316"/>
    <mergeCell ref="O1314:O1316"/>
    <mergeCell ref="O1311:O1313"/>
    <mergeCell ref="Q1311:Q1313"/>
    <mergeCell ref="A1314:A1316"/>
    <mergeCell ref="B1314:B1316"/>
    <mergeCell ref="D1314:D1316"/>
    <mergeCell ref="E1314:E1316"/>
    <mergeCell ref="F1314:F1316"/>
    <mergeCell ref="G1314:G1316"/>
    <mergeCell ref="H1314:H1316"/>
    <mergeCell ref="I1314:I1316"/>
    <mergeCell ref="I1311:I1313"/>
    <mergeCell ref="J1311:J1313"/>
    <mergeCell ref="K1311:K1313"/>
    <mergeCell ref="L1311:L1313"/>
    <mergeCell ref="M1311:M1313"/>
    <mergeCell ref="N1311:N1313"/>
    <mergeCell ref="N1308:N1310"/>
    <mergeCell ref="O1308:O1310"/>
    <mergeCell ref="Q1308:Q1310"/>
    <mergeCell ref="A1311:A1313"/>
    <mergeCell ref="B1311:B1313"/>
    <mergeCell ref="D1311:D1313"/>
    <mergeCell ref="E1311:E1313"/>
    <mergeCell ref="F1311:F1313"/>
    <mergeCell ref="G1311:G1313"/>
    <mergeCell ref="H1311:H1313"/>
    <mergeCell ref="H1308:H1310"/>
    <mergeCell ref="I1308:I1310"/>
    <mergeCell ref="J1308:J1310"/>
    <mergeCell ref="K1308:K1310"/>
    <mergeCell ref="L1308:L1310"/>
    <mergeCell ref="M1308:M1310"/>
    <mergeCell ref="A1308:A1310"/>
    <mergeCell ref="B1308:B1310"/>
    <mergeCell ref="D1308:D1310"/>
    <mergeCell ref="E1308:E1310"/>
    <mergeCell ref="F1308:F1310"/>
    <mergeCell ref="G1308:G1310"/>
    <mergeCell ref="K1305:K1307"/>
    <mergeCell ref="L1305:L1307"/>
    <mergeCell ref="M1305:M1307"/>
    <mergeCell ref="N1305:N1307"/>
    <mergeCell ref="O1305:O1307"/>
    <mergeCell ref="Q1305:Q1307"/>
    <mergeCell ref="Q1302:Q1304"/>
    <mergeCell ref="A1305:A1307"/>
    <mergeCell ref="B1305:B1307"/>
    <mergeCell ref="D1305:D1307"/>
    <mergeCell ref="E1305:E1307"/>
    <mergeCell ref="F1305:F1307"/>
    <mergeCell ref="G1305:G1307"/>
    <mergeCell ref="H1305:H1307"/>
    <mergeCell ref="I1305:I1307"/>
    <mergeCell ref="J1305:J1307"/>
    <mergeCell ref="J1302:J1304"/>
    <mergeCell ref="K1302:K1304"/>
    <mergeCell ref="L1302:L1304"/>
    <mergeCell ref="M1302:M1304"/>
    <mergeCell ref="N1302:N1304"/>
    <mergeCell ref="O1302:O1304"/>
    <mergeCell ref="O1299:O1301"/>
    <mergeCell ref="Q1299:Q1301"/>
    <mergeCell ref="A1302:A1304"/>
    <mergeCell ref="B1302:B1304"/>
    <mergeCell ref="D1302:D1304"/>
    <mergeCell ref="E1302:E1304"/>
    <mergeCell ref="F1302:F1304"/>
    <mergeCell ref="G1302:G1304"/>
    <mergeCell ref="H1302:H1304"/>
    <mergeCell ref="I1302:I1304"/>
    <mergeCell ref="I1299:I1301"/>
    <mergeCell ref="J1299:J1301"/>
    <mergeCell ref="K1299:K1301"/>
    <mergeCell ref="L1299:L1301"/>
    <mergeCell ref="M1299:M1301"/>
    <mergeCell ref="N1299:N1301"/>
    <mergeCell ref="N1296:N1298"/>
    <mergeCell ref="O1296:O1298"/>
    <mergeCell ref="Q1296:Q1298"/>
    <mergeCell ref="A1299:A1301"/>
    <mergeCell ref="B1299:B1301"/>
    <mergeCell ref="D1299:D1301"/>
    <mergeCell ref="E1299:E1301"/>
    <mergeCell ref="F1299:F1301"/>
    <mergeCell ref="G1299:G1301"/>
    <mergeCell ref="H1299:H1301"/>
    <mergeCell ref="H1296:H1298"/>
    <mergeCell ref="I1296:I1298"/>
    <mergeCell ref="J1296:J1298"/>
    <mergeCell ref="K1296:K1298"/>
    <mergeCell ref="L1296:L1298"/>
    <mergeCell ref="M1296:M1298"/>
    <mergeCell ref="A1296:A1298"/>
    <mergeCell ref="B1296:B1298"/>
    <mergeCell ref="D1296:D1298"/>
    <mergeCell ref="E1296:E1298"/>
    <mergeCell ref="F1296:F1298"/>
    <mergeCell ref="G1296:G1298"/>
    <mergeCell ref="K1293:K1295"/>
    <mergeCell ref="L1293:L1295"/>
    <mergeCell ref="M1293:M1295"/>
    <mergeCell ref="N1293:N1295"/>
    <mergeCell ref="O1293:O1295"/>
    <mergeCell ref="Q1293:Q1295"/>
    <mergeCell ref="Q1290:Q1292"/>
    <mergeCell ref="A1293:A1295"/>
    <mergeCell ref="B1293:B1295"/>
    <mergeCell ref="D1293:D1295"/>
    <mergeCell ref="E1293:E1295"/>
    <mergeCell ref="F1293:F1295"/>
    <mergeCell ref="G1293:G1295"/>
    <mergeCell ref="H1293:H1295"/>
    <mergeCell ref="I1293:I1295"/>
    <mergeCell ref="J1293:J1295"/>
    <mergeCell ref="J1290:J1292"/>
    <mergeCell ref="K1290:K1292"/>
    <mergeCell ref="L1290:L1292"/>
    <mergeCell ref="M1290:M1292"/>
    <mergeCell ref="N1290:N1292"/>
    <mergeCell ref="O1290:O1292"/>
    <mergeCell ref="O1287:O1289"/>
    <mergeCell ref="Q1287:Q1289"/>
    <mergeCell ref="A1290:A1292"/>
    <mergeCell ref="B1290:B1292"/>
    <mergeCell ref="D1290:D1292"/>
    <mergeCell ref="E1290:E1292"/>
    <mergeCell ref="F1290:F1292"/>
    <mergeCell ref="G1290:G1292"/>
    <mergeCell ref="H1290:H1292"/>
    <mergeCell ref="I1290:I1292"/>
    <mergeCell ref="I1287:I1289"/>
    <mergeCell ref="J1287:J1289"/>
    <mergeCell ref="K1287:K1289"/>
    <mergeCell ref="L1287:L1289"/>
    <mergeCell ref="M1287:M1289"/>
    <mergeCell ref="N1287:N1289"/>
    <mergeCell ref="N1284:N1286"/>
    <mergeCell ref="O1284:O1286"/>
    <mergeCell ref="Q1284:Q1286"/>
    <mergeCell ref="A1287:A1289"/>
    <mergeCell ref="B1287:B1289"/>
    <mergeCell ref="D1287:D1289"/>
    <mergeCell ref="E1287:E1289"/>
    <mergeCell ref="F1287:F1289"/>
    <mergeCell ref="G1287:G1289"/>
    <mergeCell ref="H1287:H1289"/>
    <mergeCell ref="H1284:H1286"/>
    <mergeCell ref="I1284:I1286"/>
    <mergeCell ref="J1284:J1286"/>
    <mergeCell ref="K1284:K1286"/>
    <mergeCell ref="L1284:L1286"/>
    <mergeCell ref="M1284:M1286"/>
    <mergeCell ref="A1284:A1286"/>
    <mergeCell ref="B1284:B1286"/>
    <mergeCell ref="D1284:D1286"/>
    <mergeCell ref="E1284:E1286"/>
    <mergeCell ref="F1284:F1286"/>
    <mergeCell ref="G1284:G1286"/>
    <mergeCell ref="L1281:L1283"/>
    <mergeCell ref="M1281:M1283"/>
    <mergeCell ref="N1281:N1283"/>
    <mergeCell ref="O1281:O1283"/>
    <mergeCell ref="Q1281:Q1283"/>
    <mergeCell ref="Q1278:Q1280"/>
    <mergeCell ref="A1281:A1283"/>
    <mergeCell ref="B1281:B1282"/>
    <mergeCell ref="D1281:D1283"/>
    <mergeCell ref="E1281:E1282"/>
    <mergeCell ref="F1281:F1283"/>
    <mergeCell ref="G1281:G1283"/>
    <mergeCell ref="H1281:H1283"/>
    <mergeCell ref="I1281:I1282"/>
    <mergeCell ref="J1281:J1282"/>
    <mergeCell ref="J1278:J1280"/>
    <mergeCell ref="K1278:K1280"/>
    <mergeCell ref="L1278:L1280"/>
    <mergeCell ref="M1278:M1280"/>
    <mergeCell ref="N1278:N1280"/>
    <mergeCell ref="O1278:O1280"/>
    <mergeCell ref="K1281:K1283"/>
    <mergeCell ref="O1275:O1277"/>
    <mergeCell ref="Q1275:Q1277"/>
    <mergeCell ref="A1278:A1280"/>
    <mergeCell ref="B1278:B1280"/>
    <mergeCell ref="D1278:D1280"/>
    <mergeCell ref="E1278:E1280"/>
    <mergeCell ref="F1278:F1280"/>
    <mergeCell ref="G1278:G1280"/>
    <mergeCell ref="H1278:H1280"/>
    <mergeCell ref="I1278:I1280"/>
    <mergeCell ref="I1275:I1277"/>
    <mergeCell ref="J1275:J1277"/>
    <mergeCell ref="K1275:K1277"/>
    <mergeCell ref="L1275:L1277"/>
    <mergeCell ref="M1275:M1277"/>
    <mergeCell ref="N1275:N1277"/>
    <mergeCell ref="N1272:N1274"/>
    <mergeCell ref="O1272:O1274"/>
    <mergeCell ref="Q1272:Q1274"/>
    <mergeCell ref="A1275:A1277"/>
    <mergeCell ref="B1275:B1277"/>
    <mergeCell ref="D1275:D1277"/>
    <mergeCell ref="E1275:E1277"/>
    <mergeCell ref="F1275:F1277"/>
    <mergeCell ref="G1275:G1277"/>
    <mergeCell ref="H1275:H1277"/>
    <mergeCell ref="H1272:H1274"/>
    <mergeCell ref="I1272:I1274"/>
    <mergeCell ref="J1272:J1274"/>
    <mergeCell ref="K1272:K1274"/>
    <mergeCell ref="L1272:L1274"/>
    <mergeCell ref="M1272:M1274"/>
    <mergeCell ref="A1272:A1274"/>
    <mergeCell ref="B1272:B1274"/>
    <mergeCell ref="D1272:D1274"/>
    <mergeCell ref="E1272:E1274"/>
    <mergeCell ref="F1272:F1274"/>
    <mergeCell ref="G1272:G1274"/>
    <mergeCell ref="K1269:K1271"/>
    <mergeCell ref="L1269:L1271"/>
    <mergeCell ref="M1269:M1271"/>
    <mergeCell ref="N1269:N1271"/>
    <mergeCell ref="O1269:O1271"/>
    <mergeCell ref="Q1269:Q1271"/>
    <mergeCell ref="Q1266:Q1268"/>
    <mergeCell ref="A1269:A1271"/>
    <mergeCell ref="B1269:B1271"/>
    <mergeCell ref="D1269:D1271"/>
    <mergeCell ref="E1269:E1271"/>
    <mergeCell ref="F1269:F1271"/>
    <mergeCell ref="G1269:G1271"/>
    <mergeCell ref="H1269:H1271"/>
    <mergeCell ref="I1269:I1271"/>
    <mergeCell ref="J1269:J1271"/>
    <mergeCell ref="J1266:J1267"/>
    <mergeCell ref="L1266:L1268"/>
    <mergeCell ref="M1266:M1268"/>
    <mergeCell ref="N1266:N1268"/>
    <mergeCell ref="O1266:O1268"/>
    <mergeCell ref="O1263:O1265"/>
    <mergeCell ref="Q1263:Q1265"/>
    <mergeCell ref="A1266:A1268"/>
    <mergeCell ref="B1266:B1267"/>
    <mergeCell ref="D1266:D1268"/>
    <mergeCell ref="E1266:E1267"/>
    <mergeCell ref="F1266:F1268"/>
    <mergeCell ref="G1266:G1268"/>
    <mergeCell ref="H1266:H1268"/>
    <mergeCell ref="I1266:I1267"/>
    <mergeCell ref="I1263:I1265"/>
    <mergeCell ref="J1263:J1265"/>
    <mergeCell ref="K1263:K1265"/>
    <mergeCell ref="L1263:L1265"/>
    <mergeCell ref="M1263:M1265"/>
    <mergeCell ref="N1263:N1265"/>
    <mergeCell ref="K1266:K1268"/>
    <mergeCell ref="N1260:N1262"/>
    <mergeCell ref="O1260:O1262"/>
    <mergeCell ref="Q1260:Q1262"/>
    <mergeCell ref="A1263:A1265"/>
    <mergeCell ref="B1263:B1265"/>
    <mergeCell ref="D1263:D1265"/>
    <mergeCell ref="E1263:E1265"/>
    <mergeCell ref="F1263:F1265"/>
    <mergeCell ref="G1263:G1265"/>
    <mergeCell ref="H1263:H1265"/>
    <mergeCell ref="H1260:H1262"/>
    <mergeCell ref="I1260:I1262"/>
    <mergeCell ref="J1260:J1262"/>
    <mergeCell ref="K1260:K1262"/>
    <mergeCell ref="L1260:L1262"/>
    <mergeCell ref="M1260:M1262"/>
    <mergeCell ref="A1260:A1262"/>
    <mergeCell ref="B1260:B1262"/>
    <mergeCell ref="D1260:D1262"/>
    <mergeCell ref="E1260:E1262"/>
    <mergeCell ref="F1260:F1262"/>
    <mergeCell ref="G1260:G1262"/>
    <mergeCell ref="K1257:K1259"/>
    <mergeCell ref="L1257:L1259"/>
    <mergeCell ref="M1257:M1259"/>
    <mergeCell ref="N1257:N1259"/>
    <mergeCell ref="O1257:O1259"/>
    <mergeCell ref="Q1257:Q1259"/>
    <mergeCell ref="Q1254:Q1256"/>
    <mergeCell ref="A1257:A1259"/>
    <mergeCell ref="B1257:B1259"/>
    <mergeCell ref="D1257:D1259"/>
    <mergeCell ref="E1257:E1259"/>
    <mergeCell ref="F1257:F1259"/>
    <mergeCell ref="G1257:G1259"/>
    <mergeCell ref="H1257:H1259"/>
    <mergeCell ref="I1257:I1259"/>
    <mergeCell ref="J1257:J1259"/>
    <mergeCell ref="J1254:J1256"/>
    <mergeCell ref="K1254:K1256"/>
    <mergeCell ref="L1254:L1256"/>
    <mergeCell ref="M1254:M1256"/>
    <mergeCell ref="N1254:N1256"/>
    <mergeCell ref="O1254:O1256"/>
    <mergeCell ref="O1251:O1253"/>
    <mergeCell ref="Q1251:Q1253"/>
    <mergeCell ref="A1254:A1256"/>
    <mergeCell ref="B1254:B1256"/>
    <mergeCell ref="D1254:D1256"/>
    <mergeCell ref="E1254:E1256"/>
    <mergeCell ref="F1254:F1256"/>
    <mergeCell ref="G1254:G1256"/>
    <mergeCell ref="H1254:H1256"/>
    <mergeCell ref="I1254:I1256"/>
    <mergeCell ref="I1251:I1253"/>
    <mergeCell ref="J1251:J1253"/>
    <mergeCell ref="K1251:K1253"/>
    <mergeCell ref="L1251:L1253"/>
    <mergeCell ref="M1251:M1253"/>
    <mergeCell ref="N1251:N1253"/>
    <mergeCell ref="N1248:N1250"/>
    <mergeCell ref="O1248:O1250"/>
    <mergeCell ref="Q1248:Q1250"/>
    <mergeCell ref="A1251:A1253"/>
    <mergeCell ref="B1251:B1253"/>
    <mergeCell ref="D1251:D1253"/>
    <mergeCell ref="E1251:E1253"/>
    <mergeCell ref="F1251:F1253"/>
    <mergeCell ref="G1251:G1253"/>
    <mergeCell ref="H1251:H1253"/>
    <mergeCell ref="H1248:H1250"/>
    <mergeCell ref="I1248:I1250"/>
    <mergeCell ref="J1248:J1250"/>
    <mergeCell ref="K1248:K1250"/>
    <mergeCell ref="L1248:L1250"/>
    <mergeCell ref="M1248:M1250"/>
    <mergeCell ref="A1248:A1250"/>
    <mergeCell ref="B1248:B1250"/>
    <mergeCell ref="D1248:D1250"/>
    <mergeCell ref="E1248:E1250"/>
    <mergeCell ref="F1248:F1250"/>
    <mergeCell ref="G1248:G1250"/>
    <mergeCell ref="K1245:K1247"/>
    <mergeCell ref="L1245:L1247"/>
    <mergeCell ref="M1245:M1247"/>
    <mergeCell ref="N1245:N1247"/>
    <mergeCell ref="O1245:O1247"/>
    <mergeCell ref="Q1245:Q1247"/>
    <mergeCell ref="Q1242:Q1244"/>
    <mergeCell ref="A1245:A1247"/>
    <mergeCell ref="B1245:B1247"/>
    <mergeCell ref="D1245:D1247"/>
    <mergeCell ref="E1245:E1247"/>
    <mergeCell ref="F1245:F1247"/>
    <mergeCell ref="G1245:G1247"/>
    <mergeCell ref="H1245:H1247"/>
    <mergeCell ref="I1245:I1247"/>
    <mergeCell ref="J1245:J1247"/>
    <mergeCell ref="J1242:J1244"/>
    <mergeCell ref="K1242:K1244"/>
    <mergeCell ref="L1242:L1244"/>
    <mergeCell ref="M1242:M1244"/>
    <mergeCell ref="N1242:N1244"/>
    <mergeCell ref="O1242:O1244"/>
    <mergeCell ref="O1239:O1241"/>
    <mergeCell ref="Q1239:Q1241"/>
    <mergeCell ref="A1242:A1244"/>
    <mergeCell ref="B1242:B1244"/>
    <mergeCell ref="D1242:D1244"/>
    <mergeCell ref="E1242:E1244"/>
    <mergeCell ref="F1242:F1244"/>
    <mergeCell ref="G1242:G1244"/>
    <mergeCell ref="H1242:H1244"/>
    <mergeCell ref="I1242:I1244"/>
    <mergeCell ref="I1239:I1241"/>
    <mergeCell ref="J1239:J1241"/>
    <mergeCell ref="K1239:K1241"/>
    <mergeCell ref="L1239:L1241"/>
    <mergeCell ref="M1239:M1241"/>
    <mergeCell ref="N1239:N1241"/>
    <mergeCell ref="N1236:N1238"/>
    <mergeCell ref="O1236:O1238"/>
    <mergeCell ref="Q1236:Q1238"/>
    <mergeCell ref="A1239:A1241"/>
    <mergeCell ref="B1239:B1241"/>
    <mergeCell ref="D1239:D1241"/>
    <mergeCell ref="E1239:E1241"/>
    <mergeCell ref="F1239:F1241"/>
    <mergeCell ref="G1239:G1241"/>
    <mergeCell ref="H1239:H1241"/>
    <mergeCell ref="H1236:H1238"/>
    <mergeCell ref="I1236:I1238"/>
    <mergeCell ref="J1236:J1238"/>
    <mergeCell ref="K1236:K1238"/>
    <mergeCell ref="L1236:L1238"/>
    <mergeCell ref="M1236:M1238"/>
    <mergeCell ref="A1236:A1238"/>
    <mergeCell ref="B1236:B1238"/>
    <mergeCell ref="D1236:D1238"/>
    <mergeCell ref="E1236:E1238"/>
    <mergeCell ref="F1236:F1238"/>
    <mergeCell ref="G1236:G1238"/>
    <mergeCell ref="K1233:K1235"/>
    <mergeCell ref="L1233:L1235"/>
    <mergeCell ref="M1233:M1235"/>
    <mergeCell ref="N1233:N1235"/>
    <mergeCell ref="O1233:O1235"/>
    <mergeCell ref="Q1233:Q1235"/>
    <mergeCell ref="Q1230:Q1232"/>
    <mergeCell ref="A1233:A1235"/>
    <mergeCell ref="B1233:B1235"/>
    <mergeCell ref="D1233:D1235"/>
    <mergeCell ref="E1233:E1235"/>
    <mergeCell ref="F1233:F1235"/>
    <mergeCell ref="G1233:G1235"/>
    <mergeCell ref="H1233:H1235"/>
    <mergeCell ref="I1233:I1235"/>
    <mergeCell ref="J1233:J1235"/>
    <mergeCell ref="J1230:J1232"/>
    <mergeCell ref="K1230:K1232"/>
    <mergeCell ref="L1230:L1232"/>
    <mergeCell ref="M1230:M1232"/>
    <mergeCell ref="N1230:N1232"/>
    <mergeCell ref="O1230:O1232"/>
    <mergeCell ref="O1227:O1229"/>
    <mergeCell ref="Q1227:Q1229"/>
    <mergeCell ref="A1230:A1232"/>
    <mergeCell ref="B1230:B1232"/>
    <mergeCell ref="D1230:D1232"/>
    <mergeCell ref="E1230:E1232"/>
    <mergeCell ref="F1230:F1232"/>
    <mergeCell ref="G1230:G1232"/>
    <mergeCell ref="H1230:H1232"/>
    <mergeCell ref="I1230:I1232"/>
    <mergeCell ref="I1227:I1229"/>
    <mergeCell ref="J1227:J1229"/>
    <mergeCell ref="K1227:K1229"/>
    <mergeCell ref="L1227:L1229"/>
    <mergeCell ref="M1227:M1229"/>
    <mergeCell ref="N1227:N1229"/>
    <mergeCell ref="N1224:N1226"/>
    <mergeCell ref="O1224:O1226"/>
    <mergeCell ref="Q1224:Q1226"/>
    <mergeCell ref="A1227:A1229"/>
    <mergeCell ref="B1227:B1229"/>
    <mergeCell ref="D1227:D1229"/>
    <mergeCell ref="E1227:E1229"/>
    <mergeCell ref="F1227:F1229"/>
    <mergeCell ref="G1227:G1229"/>
    <mergeCell ref="H1227:H1229"/>
    <mergeCell ref="H1224:H1226"/>
    <mergeCell ref="I1224:I1226"/>
    <mergeCell ref="J1224:J1226"/>
    <mergeCell ref="K1224:K1226"/>
    <mergeCell ref="L1224:L1226"/>
    <mergeCell ref="M1224:M1226"/>
    <mergeCell ref="A1224:A1226"/>
    <mergeCell ref="B1224:B1226"/>
    <mergeCell ref="D1224:D1226"/>
    <mergeCell ref="E1224:E1226"/>
    <mergeCell ref="F1224:F1226"/>
    <mergeCell ref="G1224:G1226"/>
    <mergeCell ref="K1221:K1223"/>
    <mergeCell ref="L1221:L1223"/>
    <mergeCell ref="M1221:M1223"/>
    <mergeCell ref="N1221:N1223"/>
    <mergeCell ref="O1221:O1223"/>
    <mergeCell ref="Q1221:Q1223"/>
    <mergeCell ref="Q1218:Q1220"/>
    <mergeCell ref="A1221:A1223"/>
    <mergeCell ref="B1221:B1223"/>
    <mergeCell ref="D1221:D1223"/>
    <mergeCell ref="E1221:E1223"/>
    <mergeCell ref="F1221:F1223"/>
    <mergeCell ref="G1221:G1223"/>
    <mergeCell ref="H1221:H1223"/>
    <mergeCell ref="I1221:I1223"/>
    <mergeCell ref="J1221:J1223"/>
    <mergeCell ref="J1218:J1220"/>
    <mergeCell ref="K1218:K1220"/>
    <mergeCell ref="L1218:L1220"/>
    <mergeCell ref="M1218:M1220"/>
    <mergeCell ref="N1218:N1220"/>
    <mergeCell ref="O1218:O1220"/>
    <mergeCell ref="O1215:O1217"/>
    <mergeCell ref="Q1215:Q1217"/>
    <mergeCell ref="A1218:A1220"/>
    <mergeCell ref="B1218:B1220"/>
    <mergeCell ref="D1218:D1220"/>
    <mergeCell ref="E1218:E1220"/>
    <mergeCell ref="F1218:F1220"/>
    <mergeCell ref="G1218:G1220"/>
    <mergeCell ref="H1218:H1220"/>
    <mergeCell ref="I1218:I1220"/>
    <mergeCell ref="I1215:I1217"/>
    <mergeCell ref="J1215:J1217"/>
    <mergeCell ref="K1215:K1217"/>
    <mergeCell ref="L1215:L1217"/>
    <mergeCell ref="M1215:M1217"/>
    <mergeCell ref="N1215:N1217"/>
    <mergeCell ref="N1212:N1214"/>
    <mergeCell ref="O1212:O1214"/>
    <mergeCell ref="Q1212:Q1214"/>
    <mergeCell ref="A1215:A1217"/>
    <mergeCell ref="B1215:B1217"/>
    <mergeCell ref="D1215:D1217"/>
    <mergeCell ref="E1215:E1217"/>
    <mergeCell ref="F1215:F1217"/>
    <mergeCell ref="G1215:G1217"/>
    <mergeCell ref="H1215:H1217"/>
    <mergeCell ref="H1212:H1214"/>
    <mergeCell ref="I1212:I1214"/>
    <mergeCell ref="J1212:J1214"/>
    <mergeCell ref="K1212:K1214"/>
    <mergeCell ref="L1212:L1214"/>
    <mergeCell ref="M1212:M1214"/>
    <mergeCell ref="A1212:A1214"/>
    <mergeCell ref="B1212:B1214"/>
    <mergeCell ref="D1212:D1214"/>
    <mergeCell ref="E1212:E1214"/>
    <mergeCell ref="F1212:F1214"/>
    <mergeCell ref="G1212:G1214"/>
    <mergeCell ref="K1209:K1211"/>
    <mergeCell ref="L1209:L1211"/>
    <mergeCell ref="M1209:M1211"/>
    <mergeCell ref="N1209:N1211"/>
    <mergeCell ref="O1209:O1211"/>
    <mergeCell ref="Q1209:Q1211"/>
    <mergeCell ref="Q1206:Q1208"/>
    <mergeCell ref="A1209:A1211"/>
    <mergeCell ref="B1209:B1211"/>
    <mergeCell ref="D1209:D1211"/>
    <mergeCell ref="E1209:E1211"/>
    <mergeCell ref="F1209:F1211"/>
    <mergeCell ref="G1209:G1211"/>
    <mergeCell ref="H1209:H1211"/>
    <mergeCell ref="I1209:I1211"/>
    <mergeCell ref="J1209:J1211"/>
    <mergeCell ref="J1206:J1208"/>
    <mergeCell ref="K1206:K1208"/>
    <mergeCell ref="L1206:L1208"/>
    <mergeCell ref="M1206:M1208"/>
    <mergeCell ref="N1206:N1208"/>
    <mergeCell ref="O1206:O1208"/>
    <mergeCell ref="O1203:O1205"/>
    <mergeCell ref="Q1203:Q1205"/>
    <mergeCell ref="A1206:A1208"/>
    <mergeCell ref="B1206:B1208"/>
    <mergeCell ref="D1206:D1208"/>
    <mergeCell ref="E1206:E1208"/>
    <mergeCell ref="F1206:F1208"/>
    <mergeCell ref="G1206:G1208"/>
    <mergeCell ref="H1206:H1208"/>
    <mergeCell ref="I1206:I1208"/>
    <mergeCell ref="I1203:I1205"/>
    <mergeCell ref="J1203:J1205"/>
    <mergeCell ref="K1203:K1205"/>
    <mergeCell ref="L1203:L1205"/>
    <mergeCell ref="M1203:M1205"/>
    <mergeCell ref="N1203:N1205"/>
    <mergeCell ref="N1200:N1202"/>
    <mergeCell ref="O1200:O1202"/>
    <mergeCell ref="Q1200:Q1202"/>
    <mergeCell ref="A1203:A1205"/>
    <mergeCell ref="B1203:B1205"/>
    <mergeCell ref="D1203:D1205"/>
    <mergeCell ref="E1203:E1205"/>
    <mergeCell ref="F1203:F1205"/>
    <mergeCell ref="G1203:G1205"/>
    <mergeCell ref="H1203:H1205"/>
    <mergeCell ref="H1200:H1202"/>
    <mergeCell ref="I1200:I1202"/>
    <mergeCell ref="J1200:J1202"/>
    <mergeCell ref="K1200:K1202"/>
    <mergeCell ref="L1200:L1202"/>
    <mergeCell ref="M1200:M1202"/>
    <mergeCell ref="A1200:A1202"/>
    <mergeCell ref="B1200:B1202"/>
    <mergeCell ref="D1200:D1202"/>
    <mergeCell ref="E1200:E1202"/>
    <mergeCell ref="F1200:F1202"/>
    <mergeCell ref="G1200:G1202"/>
    <mergeCell ref="K1197:K1199"/>
    <mergeCell ref="L1197:L1199"/>
    <mergeCell ref="M1197:M1199"/>
    <mergeCell ref="N1197:N1199"/>
    <mergeCell ref="O1197:O1199"/>
    <mergeCell ref="Q1197:Q1199"/>
    <mergeCell ref="Q1194:Q1196"/>
    <mergeCell ref="A1197:A1199"/>
    <mergeCell ref="B1197:B1199"/>
    <mergeCell ref="D1197:D1199"/>
    <mergeCell ref="E1197:E1199"/>
    <mergeCell ref="F1197:F1199"/>
    <mergeCell ref="G1197:G1199"/>
    <mergeCell ref="H1197:H1199"/>
    <mergeCell ref="I1197:I1199"/>
    <mergeCell ref="J1197:J1199"/>
    <mergeCell ref="J1194:J1196"/>
    <mergeCell ref="K1194:K1196"/>
    <mergeCell ref="L1194:L1196"/>
    <mergeCell ref="M1194:M1196"/>
    <mergeCell ref="N1194:N1196"/>
    <mergeCell ref="O1194:O1196"/>
    <mergeCell ref="O1191:O1193"/>
    <mergeCell ref="Q1191:Q1193"/>
    <mergeCell ref="A1194:A1196"/>
    <mergeCell ref="B1194:B1196"/>
    <mergeCell ref="D1194:D1196"/>
    <mergeCell ref="E1194:E1196"/>
    <mergeCell ref="F1194:F1196"/>
    <mergeCell ref="G1194:G1196"/>
    <mergeCell ref="H1194:H1196"/>
    <mergeCell ref="I1194:I1196"/>
    <mergeCell ref="I1191:I1193"/>
    <mergeCell ref="J1191:J1193"/>
    <mergeCell ref="K1191:K1193"/>
    <mergeCell ref="L1191:L1193"/>
    <mergeCell ref="M1191:M1193"/>
    <mergeCell ref="N1191:N1193"/>
    <mergeCell ref="N1188:N1190"/>
    <mergeCell ref="O1188:O1190"/>
    <mergeCell ref="Q1188:Q1190"/>
    <mergeCell ref="A1191:A1193"/>
    <mergeCell ref="B1191:B1193"/>
    <mergeCell ref="D1191:D1193"/>
    <mergeCell ref="E1191:E1193"/>
    <mergeCell ref="F1191:F1193"/>
    <mergeCell ref="G1191:G1193"/>
    <mergeCell ref="H1191:H1193"/>
    <mergeCell ref="H1188:H1190"/>
    <mergeCell ref="I1188:I1190"/>
    <mergeCell ref="J1188:J1190"/>
    <mergeCell ref="K1188:K1190"/>
    <mergeCell ref="L1188:L1190"/>
    <mergeCell ref="M1188:M1190"/>
    <mergeCell ref="A1188:A1190"/>
    <mergeCell ref="B1188:B1190"/>
    <mergeCell ref="D1188:D1190"/>
    <mergeCell ref="E1188:E1190"/>
    <mergeCell ref="F1188:F1190"/>
    <mergeCell ref="G1188:G1190"/>
    <mergeCell ref="K1185:K1187"/>
    <mergeCell ref="L1185:L1187"/>
    <mergeCell ref="M1185:M1187"/>
    <mergeCell ref="N1185:N1187"/>
    <mergeCell ref="O1185:O1187"/>
    <mergeCell ref="Q1185:Q1187"/>
    <mergeCell ref="Q1182:Q1184"/>
    <mergeCell ref="A1185:A1187"/>
    <mergeCell ref="B1185:B1187"/>
    <mergeCell ref="D1185:D1187"/>
    <mergeCell ref="E1185:E1187"/>
    <mergeCell ref="F1185:F1187"/>
    <mergeCell ref="G1185:G1187"/>
    <mergeCell ref="H1185:H1187"/>
    <mergeCell ref="I1185:I1187"/>
    <mergeCell ref="J1185:J1187"/>
    <mergeCell ref="J1182:J1184"/>
    <mergeCell ref="K1182:K1184"/>
    <mergeCell ref="L1182:L1184"/>
    <mergeCell ref="M1182:M1184"/>
    <mergeCell ref="N1182:N1184"/>
    <mergeCell ref="O1182:O1184"/>
    <mergeCell ref="O1179:O1181"/>
    <mergeCell ref="Q1179:Q1181"/>
    <mergeCell ref="A1182:A1184"/>
    <mergeCell ref="B1182:B1184"/>
    <mergeCell ref="D1182:D1184"/>
    <mergeCell ref="E1182:E1184"/>
    <mergeCell ref="F1182:F1184"/>
    <mergeCell ref="G1182:G1184"/>
    <mergeCell ref="H1182:H1184"/>
    <mergeCell ref="I1182:I1184"/>
    <mergeCell ref="I1179:I1181"/>
    <mergeCell ref="J1179:J1181"/>
    <mergeCell ref="K1179:K1181"/>
    <mergeCell ref="L1179:L1181"/>
    <mergeCell ref="M1179:M1181"/>
    <mergeCell ref="N1179:N1181"/>
    <mergeCell ref="N1176:N1178"/>
    <mergeCell ref="O1176:O1178"/>
    <mergeCell ref="Q1176:Q1178"/>
    <mergeCell ref="A1179:A1181"/>
    <mergeCell ref="B1179:B1181"/>
    <mergeCell ref="D1179:D1181"/>
    <mergeCell ref="E1179:E1181"/>
    <mergeCell ref="F1179:F1181"/>
    <mergeCell ref="G1179:G1181"/>
    <mergeCell ref="H1179:H1181"/>
    <mergeCell ref="H1176:H1178"/>
    <mergeCell ref="I1176:I1178"/>
    <mergeCell ref="J1176:J1178"/>
    <mergeCell ref="K1176:K1178"/>
    <mergeCell ref="L1176:L1178"/>
    <mergeCell ref="M1176:M1178"/>
    <mergeCell ref="A1176:A1178"/>
    <mergeCell ref="B1176:B1178"/>
    <mergeCell ref="D1176:D1178"/>
    <mergeCell ref="E1176:E1178"/>
    <mergeCell ref="F1176:F1178"/>
    <mergeCell ref="G1176:G1178"/>
    <mergeCell ref="K1173:K1175"/>
    <mergeCell ref="L1173:L1175"/>
    <mergeCell ref="M1173:M1175"/>
    <mergeCell ref="N1173:N1175"/>
    <mergeCell ref="O1173:O1175"/>
    <mergeCell ref="Q1173:Q1175"/>
    <mergeCell ref="Q1170:Q1172"/>
    <mergeCell ref="A1173:A1175"/>
    <mergeCell ref="B1173:B1175"/>
    <mergeCell ref="D1173:D1175"/>
    <mergeCell ref="E1173:E1175"/>
    <mergeCell ref="F1173:F1175"/>
    <mergeCell ref="G1173:G1175"/>
    <mergeCell ref="H1173:H1175"/>
    <mergeCell ref="I1173:I1175"/>
    <mergeCell ref="J1173:J1175"/>
    <mergeCell ref="J1170:J1172"/>
    <mergeCell ref="K1170:K1172"/>
    <mergeCell ref="L1170:L1172"/>
    <mergeCell ref="M1170:M1172"/>
    <mergeCell ref="N1170:N1172"/>
    <mergeCell ref="O1170:O1172"/>
    <mergeCell ref="O1167:O1169"/>
    <mergeCell ref="Q1167:Q1169"/>
    <mergeCell ref="A1170:A1172"/>
    <mergeCell ref="B1170:B1172"/>
    <mergeCell ref="D1170:D1172"/>
    <mergeCell ref="E1170:E1172"/>
    <mergeCell ref="F1170:F1172"/>
    <mergeCell ref="G1170:G1172"/>
    <mergeCell ref="H1170:H1172"/>
    <mergeCell ref="I1170:I1172"/>
    <mergeCell ref="I1167:I1169"/>
    <mergeCell ref="J1167:J1169"/>
    <mergeCell ref="K1167:K1169"/>
    <mergeCell ref="L1167:L1169"/>
    <mergeCell ref="M1167:M1169"/>
    <mergeCell ref="N1167:N1169"/>
    <mergeCell ref="N1164:N1166"/>
    <mergeCell ref="O1164:O1166"/>
    <mergeCell ref="Q1164:Q1166"/>
    <mergeCell ref="A1167:A1169"/>
    <mergeCell ref="B1167:B1169"/>
    <mergeCell ref="D1167:D1169"/>
    <mergeCell ref="E1167:E1169"/>
    <mergeCell ref="F1167:F1169"/>
    <mergeCell ref="G1167:G1169"/>
    <mergeCell ref="H1167:H1169"/>
    <mergeCell ref="H1164:H1166"/>
    <mergeCell ref="I1164:I1166"/>
    <mergeCell ref="J1164:J1166"/>
    <mergeCell ref="K1164:K1166"/>
    <mergeCell ref="L1164:L1166"/>
    <mergeCell ref="M1164:M1166"/>
    <mergeCell ref="A1164:A1166"/>
    <mergeCell ref="B1164:B1166"/>
    <mergeCell ref="D1164:D1166"/>
    <mergeCell ref="E1164:E1166"/>
    <mergeCell ref="F1164:F1166"/>
    <mergeCell ref="G1164:G1166"/>
    <mergeCell ref="K1161:K1163"/>
    <mergeCell ref="L1161:L1163"/>
    <mergeCell ref="M1161:M1163"/>
    <mergeCell ref="N1161:N1163"/>
    <mergeCell ref="O1161:O1163"/>
    <mergeCell ref="Q1161:Q1163"/>
    <mergeCell ref="Q1158:Q1160"/>
    <mergeCell ref="A1161:A1163"/>
    <mergeCell ref="B1161:B1163"/>
    <mergeCell ref="D1161:D1163"/>
    <mergeCell ref="E1161:E1163"/>
    <mergeCell ref="F1161:F1163"/>
    <mergeCell ref="G1161:G1163"/>
    <mergeCell ref="H1161:H1163"/>
    <mergeCell ref="I1161:I1163"/>
    <mergeCell ref="J1161:J1163"/>
    <mergeCell ref="J1158:J1160"/>
    <mergeCell ref="K1158:K1160"/>
    <mergeCell ref="L1158:L1160"/>
    <mergeCell ref="M1158:M1160"/>
    <mergeCell ref="N1158:N1160"/>
    <mergeCell ref="O1158:O1160"/>
    <mergeCell ref="O1155:O1157"/>
    <mergeCell ref="Q1155:Q1157"/>
    <mergeCell ref="A1158:A1160"/>
    <mergeCell ref="B1158:B1160"/>
    <mergeCell ref="D1158:D1160"/>
    <mergeCell ref="E1158:E1160"/>
    <mergeCell ref="F1158:F1160"/>
    <mergeCell ref="G1158:G1160"/>
    <mergeCell ref="H1158:H1160"/>
    <mergeCell ref="I1158:I1160"/>
    <mergeCell ref="I1155:I1157"/>
    <mergeCell ref="J1155:J1157"/>
    <mergeCell ref="K1155:K1157"/>
    <mergeCell ref="L1155:L1157"/>
    <mergeCell ref="M1155:M1157"/>
    <mergeCell ref="N1155:N1157"/>
    <mergeCell ref="N1152:N1154"/>
    <mergeCell ref="O1152:O1154"/>
    <mergeCell ref="Q1152:Q1154"/>
    <mergeCell ref="A1155:A1157"/>
    <mergeCell ref="B1155:B1157"/>
    <mergeCell ref="D1155:D1157"/>
    <mergeCell ref="E1155:E1157"/>
    <mergeCell ref="F1155:F1157"/>
    <mergeCell ref="G1155:G1157"/>
    <mergeCell ref="H1155:H1157"/>
    <mergeCell ref="H1152:H1154"/>
    <mergeCell ref="I1152:I1154"/>
    <mergeCell ref="J1152:J1154"/>
    <mergeCell ref="K1152:K1154"/>
    <mergeCell ref="L1152:L1154"/>
    <mergeCell ref="M1152:M1154"/>
    <mergeCell ref="A1152:A1154"/>
    <mergeCell ref="B1152:B1154"/>
    <mergeCell ref="D1152:D1154"/>
    <mergeCell ref="E1152:E1154"/>
    <mergeCell ref="F1152:F1154"/>
    <mergeCell ref="G1152:G1154"/>
    <mergeCell ref="K1149:K1151"/>
    <mergeCell ref="L1149:L1151"/>
    <mergeCell ref="M1149:M1151"/>
    <mergeCell ref="N1149:N1151"/>
    <mergeCell ref="O1149:O1151"/>
    <mergeCell ref="Q1149:Q1151"/>
    <mergeCell ref="Q1146:Q1148"/>
    <mergeCell ref="A1149:A1151"/>
    <mergeCell ref="B1149:B1151"/>
    <mergeCell ref="D1149:D1151"/>
    <mergeCell ref="E1149:E1151"/>
    <mergeCell ref="F1149:F1151"/>
    <mergeCell ref="G1149:G1151"/>
    <mergeCell ref="H1149:H1151"/>
    <mergeCell ref="I1149:I1151"/>
    <mergeCell ref="J1149:J1151"/>
    <mergeCell ref="J1146:J1148"/>
    <mergeCell ref="K1146:K1148"/>
    <mergeCell ref="L1146:L1148"/>
    <mergeCell ref="M1146:M1148"/>
    <mergeCell ref="N1146:N1148"/>
    <mergeCell ref="O1146:O1148"/>
    <mergeCell ref="O1143:O1145"/>
    <mergeCell ref="Q1143:Q1145"/>
    <mergeCell ref="A1146:A1148"/>
    <mergeCell ref="B1146:B1148"/>
    <mergeCell ref="D1146:D1148"/>
    <mergeCell ref="E1146:E1148"/>
    <mergeCell ref="F1146:F1148"/>
    <mergeCell ref="G1146:G1148"/>
    <mergeCell ref="H1146:H1148"/>
    <mergeCell ref="I1146:I1148"/>
    <mergeCell ref="I1143:I1145"/>
    <mergeCell ref="J1143:J1145"/>
    <mergeCell ref="K1143:K1145"/>
    <mergeCell ref="L1143:L1145"/>
    <mergeCell ref="M1143:M1145"/>
    <mergeCell ref="N1143:N1145"/>
    <mergeCell ref="N1140:N1142"/>
    <mergeCell ref="O1140:O1142"/>
    <mergeCell ref="Q1140:Q1142"/>
    <mergeCell ref="A1143:A1145"/>
    <mergeCell ref="B1143:B1145"/>
    <mergeCell ref="D1143:D1145"/>
    <mergeCell ref="E1143:E1145"/>
    <mergeCell ref="F1143:F1145"/>
    <mergeCell ref="G1143:G1145"/>
    <mergeCell ref="H1143:H1145"/>
    <mergeCell ref="H1140:H1142"/>
    <mergeCell ref="I1140:I1142"/>
    <mergeCell ref="J1140:J1142"/>
    <mergeCell ref="K1140:K1142"/>
    <mergeCell ref="L1140:L1142"/>
    <mergeCell ref="M1140:M1142"/>
    <mergeCell ref="A1140:A1142"/>
    <mergeCell ref="B1140:B1142"/>
    <mergeCell ref="D1140:D1142"/>
    <mergeCell ref="E1140:E1142"/>
    <mergeCell ref="F1140:F1142"/>
    <mergeCell ref="G1140:G1142"/>
    <mergeCell ref="K1137:K1139"/>
    <mergeCell ref="L1137:L1139"/>
    <mergeCell ref="M1137:M1139"/>
    <mergeCell ref="N1137:N1139"/>
    <mergeCell ref="O1137:O1139"/>
    <mergeCell ref="Q1137:Q1139"/>
    <mergeCell ref="Q1134:Q1136"/>
    <mergeCell ref="A1137:A1139"/>
    <mergeCell ref="B1137:B1139"/>
    <mergeCell ref="D1137:D1139"/>
    <mergeCell ref="E1137:E1139"/>
    <mergeCell ref="F1137:F1139"/>
    <mergeCell ref="G1137:G1139"/>
    <mergeCell ref="H1137:H1139"/>
    <mergeCell ref="I1137:I1139"/>
    <mergeCell ref="J1137:J1139"/>
    <mergeCell ref="J1134:J1136"/>
    <mergeCell ref="K1134:K1136"/>
    <mergeCell ref="L1134:L1136"/>
    <mergeCell ref="M1134:M1136"/>
    <mergeCell ref="N1134:N1136"/>
    <mergeCell ref="O1134:O1136"/>
    <mergeCell ref="O1131:O1133"/>
    <mergeCell ref="Q1131:Q1133"/>
    <mergeCell ref="A1134:A1136"/>
    <mergeCell ref="B1134:B1136"/>
    <mergeCell ref="D1134:D1136"/>
    <mergeCell ref="E1134:E1136"/>
    <mergeCell ref="F1134:F1136"/>
    <mergeCell ref="G1134:G1136"/>
    <mergeCell ref="H1134:H1136"/>
    <mergeCell ref="I1134:I1136"/>
    <mergeCell ref="I1131:I1133"/>
    <mergeCell ref="J1131:J1133"/>
    <mergeCell ref="K1131:K1133"/>
    <mergeCell ref="L1131:L1133"/>
    <mergeCell ref="M1131:M1133"/>
    <mergeCell ref="N1131:N1133"/>
    <mergeCell ref="N1128:N1130"/>
    <mergeCell ref="O1128:O1130"/>
    <mergeCell ref="Q1128:Q1130"/>
    <mergeCell ref="A1131:A1133"/>
    <mergeCell ref="B1131:B1133"/>
    <mergeCell ref="D1131:D1133"/>
    <mergeCell ref="E1131:E1133"/>
    <mergeCell ref="F1131:F1133"/>
    <mergeCell ref="G1131:G1133"/>
    <mergeCell ref="H1131:H1133"/>
    <mergeCell ref="H1128:H1130"/>
    <mergeCell ref="I1128:I1130"/>
    <mergeCell ref="J1128:J1130"/>
    <mergeCell ref="K1128:K1130"/>
    <mergeCell ref="L1128:L1130"/>
    <mergeCell ref="M1128:M1130"/>
    <mergeCell ref="A1128:A1130"/>
    <mergeCell ref="B1128:B1130"/>
    <mergeCell ref="D1128:D1130"/>
    <mergeCell ref="E1128:E1130"/>
    <mergeCell ref="F1128:F1130"/>
    <mergeCell ref="G1128:G1130"/>
    <mergeCell ref="K1125:K1127"/>
    <mergeCell ref="L1125:L1127"/>
    <mergeCell ref="M1125:M1127"/>
    <mergeCell ref="N1125:N1127"/>
    <mergeCell ref="O1125:O1127"/>
    <mergeCell ref="Q1125:Q1127"/>
    <mergeCell ref="Q1122:Q1124"/>
    <mergeCell ref="A1125:A1127"/>
    <mergeCell ref="B1125:B1127"/>
    <mergeCell ref="D1125:D1127"/>
    <mergeCell ref="E1125:E1127"/>
    <mergeCell ref="F1125:F1127"/>
    <mergeCell ref="G1125:G1127"/>
    <mergeCell ref="H1125:H1127"/>
    <mergeCell ref="I1125:I1127"/>
    <mergeCell ref="J1125:J1127"/>
    <mergeCell ref="J1122:J1124"/>
    <mergeCell ref="K1122:K1124"/>
    <mergeCell ref="L1122:L1124"/>
    <mergeCell ref="M1122:M1124"/>
    <mergeCell ref="N1122:N1124"/>
    <mergeCell ref="O1122:O1124"/>
    <mergeCell ref="O1119:O1121"/>
    <mergeCell ref="Q1119:Q1121"/>
    <mergeCell ref="A1122:A1124"/>
    <mergeCell ref="B1122:B1124"/>
    <mergeCell ref="D1122:D1124"/>
    <mergeCell ref="E1122:E1124"/>
    <mergeCell ref="F1122:F1124"/>
    <mergeCell ref="G1122:G1124"/>
    <mergeCell ref="H1122:H1124"/>
    <mergeCell ref="I1122:I1124"/>
    <mergeCell ref="I1119:I1121"/>
    <mergeCell ref="J1119:J1121"/>
    <mergeCell ref="K1119:K1121"/>
    <mergeCell ref="L1119:L1121"/>
    <mergeCell ref="M1119:M1121"/>
    <mergeCell ref="N1119:N1121"/>
    <mergeCell ref="N1116:N1118"/>
    <mergeCell ref="O1116:O1118"/>
    <mergeCell ref="Q1116:Q1118"/>
    <mergeCell ref="A1119:A1121"/>
    <mergeCell ref="B1119:B1121"/>
    <mergeCell ref="D1119:D1121"/>
    <mergeCell ref="E1119:E1121"/>
    <mergeCell ref="F1119:F1121"/>
    <mergeCell ref="G1119:G1121"/>
    <mergeCell ref="H1119:H1121"/>
    <mergeCell ref="H1116:H1118"/>
    <mergeCell ref="I1116:I1118"/>
    <mergeCell ref="J1116:J1118"/>
    <mergeCell ref="K1116:K1118"/>
    <mergeCell ref="L1116:L1118"/>
    <mergeCell ref="M1116:M1118"/>
    <mergeCell ref="A1116:A1118"/>
    <mergeCell ref="B1116:B1118"/>
    <mergeCell ref="D1116:D1118"/>
    <mergeCell ref="E1116:E1118"/>
    <mergeCell ref="F1116:F1118"/>
    <mergeCell ref="G1116:G1118"/>
    <mergeCell ref="K1113:K1115"/>
    <mergeCell ref="L1113:L1115"/>
    <mergeCell ref="M1113:M1115"/>
    <mergeCell ref="N1113:N1115"/>
    <mergeCell ref="O1113:O1115"/>
    <mergeCell ref="Q1113:Q1115"/>
    <mergeCell ref="Q1110:Q1112"/>
    <mergeCell ref="A1113:A1115"/>
    <mergeCell ref="B1113:B1115"/>
    <mergeCell ref="D1113:D1115"/>
    <mergeCell ref="E1113:E1115"/>
    <mergeCell ref="F1113:F1115"/>
    <mergeCell ref="G1113:G1115"/>
    <mergeCell ref="H1113:H1115"/>
    <mergeCell ref="I1113:I1115"/>
    <mergeCell ref="J1113:J1115"/>
    <mergeCell ref="J1110:J1112"/>
    <mergeCell ref="K1110:K1112"/>
    <mergeCell ref="L1110:L1112"/>
    <mergeCell ref="M1110:M1112"/>
    <mergeCell ref="N1110:N1112"/>
    <mergeCell ref="O1110:O1112"/>
    <mergeCell ref="O1107:O1109"/>
    <mergeCell ref="Q1107:Q1109"/>
    <mergeCell ref="A1110:A1112"/>
    <mergeCell ref="B1110:B1112"/>
    <mergeCell ref="D1110:D1112"/>
    <mergeCell ref="E1110:E1112"/>
    <mergeCell ref="F1110:F1112"/>
    <mergeCell ref="G1110:G1112"/>
    <mergeCell ref="H1110:H1112"/>
    <mergeCell ref="I1110:I1112"/>
    <mergeCell ref="I1107:I1109"/>
    <mergeCell ref="J1107:J1109"/>
    <mergeCell ref="K1107:K1109"/>
    <mergeCell ref="L1107:L1109"/>
    <mergeCell ref="M1107:M1109"/>
    <mergeCell ref="N1107:N1109"/>
    <mergeCell ref="N1104:N1106"/>
    <mergeCell ref="O1104:O1106"/>
    <mergeCell ref="Q1104:Q1106"/>
    <mergeCell ref="A1107:A1109"/>
    <mergeCell ref="B1107:B1109"/>
    <mergeCell ref="D1107:D1109"/>
    <mergeCell ref="E1107:E1109"/>
    <mergeCell ref="F1107:F1109"/>
    <mergeCell ref="G1107:G1109"/>
    <mergeCell ref="H1107:H1109"/>
    <mergeCell ref="H1104:H1106"/>
    <mergeCell ref="I1104:I1106"/>
    <mergeCell ref="J1104:J1106"/>
    <mergeCell ref="K1104:K1106"/>
    <mergeCell ref="L1104:L1106"/>
    <mergeCell ref="M1104:M1106"/>
    <mergeCell ref="A1104:A1106"/>
    <mergeCell ref="B1104:B1106"/>
    <mergeCell ref="D1104:D1106"/>
    <mergeCell ref="E1104:E1106"/>
    <mergeCell ref="F1104:F1106"/>
    <mergeCell ref="G1104:G1106"/>
    <mergeCell ref="K1101:K1103"/>
    <mergeCell ref="L1101:L1103"/>
    <mergeCell ref="M1101:M1103"/>
    <mergeCell ref="N1101:N1103"/>
    <mergeCell ref="O1101:O1103"/>
    <mergeCell ref="Q1101:Q1103"/>
    <mergeCell ref="Q1098:Q1100"/>
    <mergeCell ref="A1101:A1103"/>
    <mergeCell ref="B1101:B1103"/>
    <mergeCell ref="D1101:D1103"/>
    <mergeCell ref="E1101:E1103"/>
    <mergeCell ref="F1101:F1103"/>
    <mergeCell ref="G1101:G1103"/>
    <mergeCell ref="H1101:H1103"/>
    <mergeCell ref="I1101:I1103"/>
    <mergeCell ref="J1101:J1103"/>
    <mergeCell ref="J1098:J1100"/>
    <mergeCell ref="K1098:K1100"/>
    <mergeCell ref="L1098:L1100"/>
    <mergeCell ref="M1098:M1100"/>
    <mergeCell ref="N1098:N1100"/>
    <mergeCell ref="O1098:O1100"/>
    <mergeCell ref="O1095:O1097"/>
    <mergeCell ref="Q1095:Q1097"/>
    <mergeCell ref="A1098:A1100"/>
    <mergeCell ref="B1098:B1100"/>
    <mergeCell ref="D1098:D1100"/>
    <mergeCell ref="E1098:E1100"/>
    <mergeCell ref="F1098:F1100"/>
    <mergeCell ref="G1098:G1100"/>
    <mergeCell ref="H1098:H1100"/>
    <mergeCell ref="I1098:I1100"/>
    <mergeCell ref="I1095:I1097"/>
    <mergeCell ref="J1095:J1097"/>
    <mergeCell ref="K1095:K1097"/>
    <mergeCell ref="L1095:L1097"/>
    <mergeCell ref="M1095:M1097"/>
    <mergeCell ref="N1095:N1097"/>
    <mergeCell ref="N1092:N1094"/>
    <mergeCell ref="O1092:O1094"/>
    <mergeCell ref="Q1092:Q1094"/>
    <mergeCell ref="A1095:A1097"/>
    <mergeCell ref="B1095:B1097"/>
    <mergeCell ref="D1095:D1097"/>
    <mergeCell ref="E1095:E1097"/>
    <mergeCell ref="F1095:F1097"/>
    <mergeCell ref="G1095:G1097"/>
    <mergeCell ref="H1095:H1097"/>
    <mergeCell ref="H1092:H1094"/>
    <mergeCell ref="I1092:I1094"/>
    <mergeCell ref="J1092:J1094"/>
    <mergeCell ref="K1092:K1094"/>
    <mergeCell ref="L1092:L1094"/>
    <mergeCell ref="M1092:M1094"/>
    <mergeCell ref="A1092:A1094"/>
    <mergeCell ref="B1092:B1094"/>
    <mergeCell ref="D1092:D1094"/>
    <mergeCell ref="E1092:E1094"/>
    <mergeCell ref="F1092:F1094"/>
    <mergeCell ref="G1092:G1094"/>
    <mergeCell ref="K1089:K1091"/>
    <mergeCell ref="L1089:L1091"/>
    <mergeCell ref="M1089:M1091"/>
    <mergeCell ref="N1089:N1091"/>
    <mergeCell ref="O1089:O1091"/>
    <mergeCell ref="Q1089:Q1091"/>
    <mergeCell ref="Q1086:Q1088"/>
    <mergeCell ref="A1089:A1091"/>
    <mergeCell ref="B1089:B1091"/>
    <mergeCell ref="D1089:D1091"/>
    <mergeCell ref="E1089:E1091"/>
    <mergeCell ref="F1089:F1091"/>
    <mergeCell ref="G1089:G1091"/>
    <mergeCell ref="H1089:H1091"/>
    <mergeCell ref="I1089:I1091"/>
    <mergeCell ref="J1089:J1091"/>
    <mergeCell ref="J1086:J1088"/>
    <mergeCell ref="K1086:K1088"/>
    <mergeCell ref="L1086:L1088"/>
    <mergeCell ref="M1086:M1088"/>
    <mergeCell ref="N1086:N1088"/>
    <mergeCell ref="O1086:O1088"/>
    <mergeCell ref="O1083:O1085"/>
    <mergeCell ref="Q1083:Q1085"/>
    <mergeCell ref="A1086:A1088"/>
    <mergeCell ref="B1086:B1088"/>
    <mergeCell ref="D1086:D1088"/>
    <mergeCell ref="E1086:E1088"/>
    <mergeCell ref="F1086:F1088"/>
    <mergeCell ref="G1086:G1088"/>
    <mergeCell ref="H1086:H1088"/>
    <mergeCell ref="I1086:I1088"/>
    <mergeCell ref="I1083:I1085"/>
    <mergeCell ref="J1083:J1085"/>
    <mergeCell ref="K1083:K1085"/>
    <mergeCell ref="L1083:L1085"/>
    <mergeCell ref="M1083:M1085"/>
    <mergeCell ref="N1083:N1085"/>
    <mergeCell ref="N1080:N1082"/>
    <mergeCell ref="O1080:O1082"/>
    <mergeCell ref="Q1080:Q1082"/>
    <mergeCell ref="A1083:A1085"/>
    <mergeCell ref="B1083:B1085"/>
    <mergeCell ref="D1083:D1085"/>
    <mergeCell ref="E1083:E1085"/>
    <mergeCell ref="F1083:F1085"/>
    <mergeCell ref="G1083:G1085"/>
    <mergeCell ref="H1083:H1085"/>
    <mergeCell ref="H1080:H1082"/>
    <mergeCell ref="I1080:I1082"/>
    <mergeCell ref="J1080:J1082"/>
    <mergeCell ref="K1080:K1082"/>
    <mergeCell ref="L1080:L1082"/>
    <mergeCell ref="M1080:M1082"/>
    <mergeCell ref="A1080:A1082"/>
    <mergeCell ref="B1080:B1082"/>
    <mergeCell ref="D1080:D1082"/>
    <mergeCell ref="E1080:E1082"/>
    <mergeCell ref="F1080:F1082"/>
    <mergeCell ref="G1080:G1082"/>
    <mergeCell ref="K1077:K1079"/>
    <mergeCell ref="L1077:L1079"/>
    <mergeCell ref="M1077:M1079"/>
    <mergeCell ref="N1077:N1079"/>
    <mergeCell ref="O1077:O1079"/>
    <mergeCell ref="Q1077:Q1079"/>
    <mergeCell ref="Q1074:Q1076"/>
    <mergeCell ref="A1077:A1079"/>
    <mergeCell ref="B1077:B1079"/>
    <mergeCell ref="D1077:D1079"/>
    <mergeCell ref="E1077:E1079"/>
    <mergeCell ref="F1077:F1079"/>
    <mergeCell ref="G1077:G1079"/>
    <mergeCell ref="H1077:H1079"/>
    <mergeCell ref="I1077:I1079"/>
    <mergeCell ref="J1077:J1079"/>
    <mergeCell ref="J1074:J1076"/>
    <mergeCell ref="K1074:K1076"/>
    <mergeCell ref="L1074:L1076"/>
    <mergeCell ref="M1074:M1076"/>
    <mergeCell ref="N1074:N1076"/>
    <mergeCell ref="O1074:O1076"/>
    <mergeCell ref="O1071:O1073"/>
    <mergeCell ref="Q1071:Q1073"/>
    <mergeCell ref="A1074:A1076"/>
    <mergeCell ref="B1074:B1076"/>
    <mergeCell ref="D1074:D1076"/>
    <mergeCell ref="E1074:E1076"/>
    <mergeCell ref="F1074:F1076"/>
    <mergeCell ref="G1074:G1076"/>
    <mergeCell ref="H1074:H1076"/>
    <mergeCell ref="I1074:I1076"/>
    <mergeCell ref="I1071:I1073"/>
    <mergeCell ref="J1071:J1073"/>
    <mergeCell ref="K1071:K1073"/>
    <mergeCell ref="L1071:L1073"/>
    <mergeCell ref="M1071:M1073"/>
    <mergeCell ref="N1071:N1073"/>
    <mergeCell ref="N1068:N1070"/>
    <mergeCell ref="O1068:O1070"/>
    <mergeCell ref="Q1068:Q1070"/>
    <mergeCell ref="A1071:A1073"/>
    <mergeCell ref="B1071:B1073"/>
    <mergeCell ref="D1071:D1073"/>
    <mergeCell ref="E1071:E1073"/>
    <mergeCell ref="F1071:F1073"/>
    <mergeCell ref="G1071:G1073"/>
    <mergeCell ref="H1071:H1073"/>
    <mergeCell ref="H1068:H1070"/>
    <mergeCell ref="I1068:I1070"/>
    <mergeCell ref="J1068:J1070"/>
    <mergeCell ref="K1068:K1070"/>
    <mergeCell ref="L1068:L1070"/>
    <mergeCell ref="M1068:M1070"/>
    <mergeCell ref="A1068:A1070"/>
    <mergeCell ref="B1068:B1070"/>
    <mergeCell ref="D1068:D1070"/>
    <mergeCell ref="E1068:E1070"/>
    <mergeCell ref="F1068:F1070"/>
    <mergeCell ref="G1068:G1070"/>
    <mergeCell ref="K1065:K1067"/>
    <mergeCell ref="L1065:L1067"/>
    <mergeCell ref="M1065:M1067"/>
    <mergeCell ref="N1065:N1067"/>
    <mergeCell ref="O1065:O1067"/>
    <mergeCell ref="Q1065:Q1067"/>
    <mergeCell ref="Q1062:Q1064"/>
    <mergeCell ref="A1065:A1067"/>
    <mergeCell ref="B1065:B1067"/>
    <mergeCell ref="D1065:D1067"/>
    <mergeCell ref="E1065:E1067"/>
    <mergeCell ref="F1065:F1067"/>
    <mergeCell ref="G1065:G1067"/>
    <mergeCell ref="H1065:H1067"/>
    <mergeCell ref="I1065:I1067"/>
    <mergeCell ref="J1065:J1067"/>
    <mergeCell ref="J1062:J1064"/>
    <mergeCell ref="K1062:K1064"/>
    <mergeCell ref="L1062:L1064"/>
    <mergeCell ref="M1062:M1064"/>
    <mergeCell ref="N1062:N1064"/>
    <mergeCell ref="O1062:O1064"/>
    <mergeCell ref="O1059:O1061"/>
    <mergeCell ref="Q1059:Q1061"/>
    <mergeCell ref="A1062:A1064"/>
    <mergeCell ref="B1062:B1064"/>
    <mergeCell ref="D1062:D1064"/>
    <mergeCell ref="E1062:E1064"/>
    <mergeCell ref="F1062:F1064"/>
    <mergeCell ref="G1062:G1064"/>
    <mergeCell ref="H1062:H1064"/>
    <mergeCell ref="I1062:I1064"/>
    <mergeCell ref="I1059:I1061"/>
    <mergeCell ref="J1059:J1061"/>
    <mergeCell ref="K1059:K1061"/>
    <mergeCell ref="L1059:L1061"/>
    <mergeCell ref="M1059:M1061"/>
    <mergeCell ref="N1059:N1061"/>
    <mergeCell ref="N1056:N1058"/>
    <mergeCell ref="O1056:O1058"/>
    <mergeCell ref="Q1056:Q1058"/>
    <mergeCell ref="A1059:A1061"/>
    <mergeCell ref="B1059:B1061"/>
    <mergeCell ref="D1059:D1061"/>
    <mergeCell ref="E1059:E1061"/>
    <mergeCell ref="F1059:F1061"/>
    <mergeCell ref="G1059:G1061"/>
    <mergeCell ref="H1059:H1061"/>
    <mergeCell ref="H1056:H1058"/>
    <mergeCell ref="I1056:I1058"/>
    <mergeCell ref="J1056:J1058"/>
    <mergeCell ref="K1056:K1058"/>
    <mergeCell ref="L1056:L1058"/>
    <mergeCell ref="M1056:M1058"/>
    <mergeCell ref="A1056:A1058"/>
    <mergeCell ref="B1056:B1058"/>
    <mergeCell ref="D1056:D1058"/>
    <mergeCell ref="E1056:E1058"/>
    <mergeCell ref="F1056:F1058"/>
    <mergeCell ref="G1056:G1058"/>
    <mergeCell ref="K1053:K1055"/>
    <mergeCell ref="L1053:L1055"/>
    <mergeCell ref="M1053:M1055"/>
    <mergeCell ref="N1053:N1055"/>
    <mergeCell ref="O1053:O1055"/>
    <mergeCell ref="Q1053:Q1055"/>
    <mergeCell ref="Q1050:Q1052"/>
    <mergeCell ref="A1053:A1055"/>
    <mergeCell ref="B1053:B1055"/>
    <mergeCell ref="D1053:D1055"/>
    <mergeCell ref="E1053:E1055"/>
    <mergeCell ref="F1053:F1055"/>
    <mergeCell ref="G1053:G1055"/>
    <mergeCell ref="H1053:H1055"/>
    <mergeCell ref="I1053:I1055"/>
    <mergeCell ref="J1053:J1055"/>
    <mergeCell ref="J1050:J1052"/>
    <mergeCell ref="K1050:K1052"/>
    <mergeCell ref="L1050:L1052"/>
    <mergeCell ref="M1050:M1052"/>
    <mergeCell ref="N1050:N1052"/>
    <mergeCell ref="O1050:O1052"/>
    <mergeCell ref="O1047:O1049"/>
    <mergeCell ref="Q1047:Q1049"/>
    <mergeCell ref="A1050:A1052"/>
    <mergeCell ref="B1050:B1052"/>
    <mergeCell ref="D1050:D1052"/>
    <mergeCell ref="E1050:E1052"/>
    <mergeCell ref="F1050:F1052"/>
    <mergeCell ref="G1050:G1052"/>
    <mergeCell ref="H1050:H1052"/>
    <mergeCell ref="I1050:I1052"/>
    <mergeCell ref="I1047:I1049"/>
    <mergeCell ref="J1047:J1049"/>
    <mergeCell ref="K1047:K1049"/>
    <mergeCell ref="L1047:L1049"/>
    <mergeCell ref="M1047:M1049"/>
    <mergeCell ref="N1047:N1049"/>
    <mergeCell ref="N1044:N1046"/>
    <mergeCell ref="O1044:O1046"/>
    <mergeCell ref="Q1044:Q1046"/>
    <mergeCell ref="A1047:A1049"/>
    <mergeCell ref="B1047:B1049"/>
    <mergeCell ref="D1047:D1049"/>
    <mergeCell ref="E1047:E1049"/>
    <mergeCell ref="F1047:F1049"/>
    <mergeCell ref="G1047:G1049"/>
    <mergeCell ref="H1047:H1049"/>
    <mergeCell ref="H1044:H1046"/>
    <mergeCell ref="I1044:I1046"/>
    <mergeCell ref="J1044:J1046"/>
    <mergeCell ref="K1044:K1046"/>
    <mergeCell ref="L1044:L1046"/>
    <mergeCell ref="M1044:M1046"/>
    <mergeCell ref="A1044:A1046"/>
    <mergeCell ref="B1044:B1046"/>
    <mergeCell ref="D1044:D1046"/>
    <mergeCell ref="E1044:E1046"/>
    <mergeCell ref="F1044:F1046"/>
    <mergeCell ref="G1044:G1046"/>
    <mergeCell ref="K1041:K1043"/>
    <mergeCell ref="L1041:L1043"/>
    <mergeCell ref="M1041:M1043"/>
    <mergeCell ref="N1041:N1043"/>
    <mergeCell ref="O1041:O1043"/>
    <mergeCell ref="Q1041:Q1043"/>
    <mergeCell ref="Q1038:Q1040"/>
    <mergeCell ref="A1041:A1043"/>
    <mergeCell ref="B1041:B1043"/>
    <mergeCell ref="D1041:D1043"/>
    <mergeCell ref="E1041:E1043"/>
    <mergeCell ref="F1041:F1043"/>
    <mergeCell ref="G1041:G1043"/>
    <mergeCell ref="H1041:H1043"/>
    <mergeCell ref="I1041:I1043"/>
    <mergeCell ref="J1041:J1043"/>
    <mergeCell ref="J1038:J1040"/>
    <mergeCell ref="K1038:K1040"/>
    <mergeCell ref="L1038:L1040"/>
    <mergeCell ref="M1038:M1040"/>
    <mergeCell ref="N1038:N1040"/>
    <mergeCell ref="O1038:O1040"/>
    <mergeCell ref="O1035:O1037"/>
    <mergeCell ref="Q1035:Q1037"/>
    <mergeCell ref="A1038:A1040"/>
    <mergeCell ref="B1038:B1040"/>
    <mergeCell ref="D1038:D1040"/>
    <mergeCell ref="E1038:E1040"/>
    <mergeCell ref="F1038:F1040"/>
    <mergeCell ref="G1038:G1040"/>
    <mergeCell ref="H1038:H1040"/>
    <mergeCell ref="I1038:I1040"/>
    <mergeCell ref="I1035:I1037"/>
    <mergeCell ref="J1035:J1037"/>
    <mergeCell ref="K1035:K1037"/>
    <mergeCell ref="L1035:L1037"/>
    <mergeCell ref="M1035:M1037"/>
    <mergeCell ref="N1035:N1037"/>
    <mergeCell ref="N1032:N1034"/>
    <mergeCell ref="O1032:O1034"/>
    <mergeCell ref="Q1032:Q1034"/>
    <mergeCell ref="A1035:A1037"/>
    <mergeCell ref="B1035:B1037"/>
    <mergeCell ref="D1035:D1037"/>
    <mergeCell ref="E1035:E1037"/>
    <mergeCell ref="F1035:F1037"/>
    <mergeCell ref="G1035:G1037"/>
    <mergeCell ref="H1035:H1037"/>
    <mergeCell ref="H1032:H1034"/>
    <mergeCell ref="I1032:I1034"/>
    <mergeCell ref="J1032:J1034"/>
    <mergeCell ref="K1032:K1034"/>
    <mergeCell ref="L1032:L1034"/>
    <mergeCell ref="M1032:M1034"/>
    <mergeCell ref="A1032:A1034"/>
    <mergeCell ref="B1032:B1034"/>
    <mergeCell ref="D1032:D1034"/>
    <mergeCell ref="E1032:E1034"/>
    <mergeCell ref="F1032:F1034"/>
    <mergeCell ref="G1032:G1034"/>
    <mergeCell ref="K1029:K1031"/>
    <mergeCell ref="L1029:L1031"/>
    <mergeCell ref="M1029:M1031"/>
    <mergeCell ref="N1029:N1031"/>
    <mergeCell ref="O1029:O1031"/>
    <mergeCell ref="Q1029:Q1031"/>
    <mergeCell ref="Q1026:Q1028"/>
    <mergeCell ref="A1029:A1031"/>
    <mergeCell ref="B1029:B1031"/>
    <mergeCell ref="D1029:D1031"/>
    <mergeCell ref="E1029:E1031"/>
    <mergeCell ref="F1029:F1031"/>
    <mergeCell ref="G1029:G1031"/>
    <mergeCell ref="H1029:H1031"/>
    <mergeCell ref="I1029:I1031"/>
    <mergeCell ref="J1029:J1031"/>
    <mergeCell ref="J1026:J1028"/>
    <mergeCell ref="K1026:K1028"/>
    <mergeCell ref="L1026:L1028"/>
    <mergeCell ref="M1026:M1028"/>
    <mergeCell ref="N1026:N1028"/>
    <mergeCell ref="O1026:O1028"/>
    <mergeCell ref="O1023:O1025"/>
    <mergeCell ref="Q1023:Q1025"/>
    <mergeCell ref="A1026:A1028"/>
    <mergeCell ref="B1026:B1028"/>
    <mergeCell ref="D1026:D1028"/>
    <mergeCell ref="E1026:E1028"/>
    <mergeCell ref="F1026:F1028"/>
    <mergeCell ref="G1026:G1028"/>
    <mergeCell ref="H1026:H1028"/>
    <mergeCell ref="I1026:I1028"/>
    <mergeCell ref="I1023:I1025"/>
    <mergeCell ref="J1023:J1025"/>
    <mergeCell ref="K1023:K1025"/>
    <mergeCell ref="L1023:L1025"/>
    <mergeCell ref="M1023:M1025"/>
    <mergeCell ref="N1023:N1025"/>
    <mergeCell ref="N1020:N1022"/>
    <mergeCell ref="O1020:O1022"/>
    <mergeCell ref="Q1020:Q1022"/>
    <mergeCell ref="A1023:A1025"/>
    <mergeCell ref="B1023:B1025"/>
    <mergeCell ref="D1023:D1025"/>
    <mergeCell ref="E1023:E1025"/>
    <mergeCell ref="F1023:F1025"/>
    <mergeCell ref="G1023:G1025"/>
    <mergeCell ref="H1023:H1025"/>
    <mergeCell ref="H1020:H1022"/>
    <mergeCell ref="I1020:I1022"/>
    <mergeCell ref="J1020:J1022"/>
    <mergeCell ref="K1020:K1022"/>
    <mergeCell ref="L1020:L1022"/>
    <mergeCell ref="M1020:M1022"/>
    <mergeCell ref="A1020:A1022"/>
    <mergeCell ref="B1020:B1022"/>
    <mergeCell ref="D1020:D1022"/>
    <mergeCell ref="E1020:E1022"/>
    <mergeCell ref="F1020:F1022"/>
    <mergeCell ref="G1020:G1022"/>
    <mergeCell ref="K1017:K1019"/>
    <mergeCell ref="L1017:L1019"/>
    <mergeCell ref="M1017:M1019"/>
    <mergeCell ref="N1017:N1019"/>
    <mergeCell ref="O1017:O1019"/>
    <mergeCell ref="Q1017:Q1019"/>
    <mergeCell ref="Q1014:Q1016"/>
    <mergeCell ref="A1017:A1019"/>
    <mergeCell ref="B1017:B1019"/>
    <mergeCell ref="D1017:D1019"/>
    <mergeCell ref="E1017:E1019"/>
    <mergeCell ref="F1017:F1019"/>
    <mergeCell ref="G1017:G1019"/>
    <mergeCell ref="H1017:H1019"/>
    <mergeCell ref="I1017:I1019"/>
    <mergeCell ref="J1017:J1019"/>
    <mergeCell ref="J1014:J1016"/>
    <mergeCell ref="K1014:K1016"/>
    <mergeCell ref="L1014:L1016"/>
    <mergeCell ref="M1014:M1016"/>
    <mergeCell ref="N1014:N1016"/>
    <mergeCell ref="O1014:O1016"/>
    <mergeCell ref="O1011:O1013"/>
    <mergeCell ref="Q1011:Q1013"/>
    <mergeCell ref="A1014:A1016"/>
    <mergeCell ref="B1014:B1016"/>
    <mergeCell ref="D1014:D1016"/>
    <mergeCell ref="E1014:E1016"/>
    <mergeCell ref="F1014:F1016"/>
    <mergeCell ref="G1014:G1016"/>
    <mergeCell ref="H1014:H1016"/>
    <mergeCell ref="I1014:I1016"/>
    <mergeCell ref="I1011:I1013"/>
    <mergeCell ref="J1011:J1013"/>
    <mergeCell ref="K1011:K1013"/>
    <mergeCell ref="L1011:L1013"/>
    <mergeCell ref="M1011:M1013"/>
    <mergeCell ref="N1011:N1013"/>
    <mergeCell ref="N1008:N1010"/>
    <mergeCell ref="O1008:O1010"/>
    <mergeCell ref="Q1008:Q1010"/>
    <mergeCell ref="A1011:A1013"/>
    <mergeCell ref="B1011:B1013"/>
    <mergeCell ref="D1011:D1013"/>
    <mergeCell ref="E1011:E1013"/>
    <mergeCell ref="F1011:F1013"/>
    <mergeCell ref="G1011:G1013"/>
    <mergeCell ref="H1011:H1013"/>
    <mergeCell ref="H1008:H1010"/>
    <mergeCell ref="I1008:I1010"/>
    <mergeCell ref="J1008:J1010"/>
    <mergeCell ref="K1008:K1010"/>
    <mergeCell ref="L1008:L1010"/>
    <mergeCell ref="M1008:M1010"/>
    <mergeCell ref="A1008:A1010"/>
    <mergeCell ref="B1008:B1010"/>
    <mergeCell ref="D1008:D1010"/>
    <mergeCell ref="E1008:E1010"/>
    <mergeCell ref="F1008:F1010"/>
    <mergeCell ref="G1008:G1010"/>
    <mergeCell ref="K1005:K1007"/>
    <mergeCell ref="L1005:L1007"/>
    <mergeCell ref="M1005:M1007"/>
    <mergeCell ref="N1005:N1007"/>
    <mergeCell ref="O1005:O1007"/>
    <mergeCell ref="Q1005:Q1007"/>
    <mergeCell ref="Q1002:Q1004"/>
    <mergeCell ref="A1005:A1007"/>
    <mergeCell ref="B1005:B1007"/>
    <mergeCell ref="D1005:D1007"/>
    <mergeCell ref="E1005:E1007"/>
    <mergeCell ref="F1005:F1007"/>
    <mergeCell ref="G1005:G1007"/>
    <mergeCell ref="H1005:H1007"/>
    <mergeCell ref="I1005:I1007"/>
    <mergeCell ref="J1005:J1007"/>
    <mergeCell ref="J1002:J1004"/>
    <mergeCell ref="K1002:K1004"/>
    <mergeCell ref="L1002:L1004"/>
    <mergeCell ref="M1002:M1004"/>
    <mergeCell ref="N1002:N1004"/>
    <mergeCell ref="O1002:O1004"/>
    <mergeCell ref="O999:O1001"/>
    <mergeCell ref="Q999:Q1001"/>
    <mergeCell ref="A1002:A1004"/>
    <mergeCell ref="B1002:B1004"/>
    <mergeCell ref="D1002:D1004"/>
    <mergeCell ref="E1002:E1004"/>
    <mergeCell ref="F1002:F1004"/>
    <mergeCell ref="G1002:G1004"/>
    <mergeCell ref="H1002:H1004"/>
    <mergeCell ref="I1002:I1004"/>
    <mergeCell ref="I999:I1001"/>
    <mergeCell ref="J999:J1001"/>
    <mergeCell ref="K999:K1001"/>
    <mergeCell ref="L999:L1001"/>
    <mergeCell ref="M999:M1001"/>
    <mergeCell ref="N999:N1001"/>
    <mergeCell ref="N996:N998"/>
    <mergeCell ref="O996:O998"/>
    <mergeCell ref="Q996:Q998"/>
    <mergeCell ref="A999:A1001"/>
    <mergeCell ref="B999:B1001"/>
    <mergeCell ref="D999:D1001"/>
    <mergeCell ref="E999:E1001"/>
    <mergeCell ref="F999:F1001"/>
    <mergeCell ref="G999:G1001"/>
    <mergeCell ref="H999:H1001"/>
    <mergeCell ref="H996:H998"/>
    <mergeCell ref="I996:I998"/>
    <mergeCell ref="J996:J998"/>
    <mergeCell ref="K996:K998"/>
    <mergeCell ref="L996:L998"/>
    <mergeCell ref="M996:M998"/>
    <mergeCell ref="A996:A998"/>
    <mergeCell ref="B996:B998"/>
    <mergeCell ref="D996:D998"/>
    <mergeCell ref="E996:E998"/>
    <mergeCell ref="F996:F998"/>
    <mergeCell ref="G996:G998"/>
    <mergeCell ref="K993:K995"/>
    <mergeCell ref="L993:L995"/>
    <mergeCell ref="M993:M995"/>
    <mergeCell ref="N993:N995"/>
    <mergeCell ref="O993:O995"/>
    <mergeCell ref="Q993:Q995"/>
    <mergeCell ref="Q990:Q992"/>
    <mergeCell ref="A993:A995"/>
    <mergeCell ref="B993:B995"/>
    <mergeCell ref="D993:D995"/>
    <mergeCell ref="E993:E995"/>
    <mergeCell ref="F993:F995"/>
    <mergeCell ref="G993:G995"/>
    <mergeCell ref="H993:H995"/>
    <mergeCell ref="I993:I995"/>
    <mergeCell ref="J993:J995"/>
    <mergeCell ref="J990:J992"/>
    <mergeCell ref="K990:K992"/>
    <mergeCell ref="L990:L992"/>
    <mergeCell ref="M990:M992"/>
    <mergeCell ref="N990:N992"/>
    <mergeCell ref="O990:O992"/>
    <mergeCell ref="O987:O989"/>
    <mergeCell ref="Q987:Q989"/>
    <mergeCell ref="A990:A992"/>
    <mergeCell ref="B990:B992"/>
    <mergeCell ref="D990:D992"/>
    <mergeCell ref="E990:E992"/>
    <mergeCell ref="F990:F992"/>
    <mergeCell ref="G990:G992"/>
    <mergeCell ref="H990:H992"/>
    <mergeCell ref="I990:I992"/>
    <mergeCell ref="I987:I989"/>
    <mergeCell ref="J987:J989"/>
    <mergeCell ref="K987:K989"/>
    <mergeCell ref="L987:L989"/>
    <mergeCell ref="M987:M989"/>
    <mergeCell ref="N987:N989"/>
    <mergeCell ref="N984:N986"/>
    <mergeCell ref="O984:O986"/>
    <mergeCell ref="Q984:Q986"/>
    <mergeCell ref="A987:A989"/>
    <mergeCell ref="B987:B989"/>
    <mergeCell ref="D987:D989"/>
    <mergeCell ref="E987:E989"/>
    <mergeCell ref="F987:F989"/>
    <mergeCell ref="G987:G989"/>
    <mergeCell ref="H987:H989"/>
    <mergeCell ref="H984:H986"/>
    <mergeCell ref="I984:I986"/>
    <mergeCell ref="J984:J986"/>
    <mergeCell ref="K984:K986"/>
    <mergeCell ref="L984:L986"/>
    <mergeCell ref="M984:M986"/>
    <mergeCell ref="A984:A986"/>
    <mergeCell ref="B984:B986"/>
    <mergeCell ref="D984:D986"/>
    <mergeCell ref="E984:E986"/>
    <mergeCell ref="F984:F986"/>
    <mergeCell ref="G984:G986"/>
    <mergeCell ref="K981:K983"/>
    <mergeCell ref="L981:L983"/>
    <mergeCell ref="M981:M983"/>
    <mergeCell ref="N981:N983"/>
    <mergeCell ref="O981:O983"/>
    <mergeCell ref="Q981:Q983"/>
    <mergeCell ref="Q978:Q980"/>
    <mergeCell ref="A981:A983"/>
    <mergeCell ref="B981:B983"/>
    <mergeCell ref="D981:D983"/>
    <mergeCell ref="E981:E983"/>
    <mergeCell ref="F981:F983"/>
    <mergeCell ref="G981:G983"/>
    <mergeCell ref="H981:H983"/>
    <mergeCell ref="I981:I983"/>
    <mergeCell ref="J981:J983"/>
    <mergeCell ref="J978:J980"/>
    <mergeCell ref="K978:K980"/>
    <mergeCell ref="L978:L980"/>
    <mergeCell ref="M978:M980"/>
    <mergeCell ref="N978:N980"/>
    <mergeCell ref="O978:O980"/>
    <mergeCell ref="O975:O977"/>
    <mergeCell ref="Q975:Q977"/>
    <mergeCell ref="A978:A980"/>
    <mergeCell ref="B978:B980"/>
    <mergeCell ref="D978:D980"/>
    <mergeCell ref="E978:E980"/>
    <mergeCell ref="F978:F980"/>
    <mergeCell ref="G978:G980"/>
    <mergeCell ref="H978:H980"/>
    <mergeCell ref="I978:I980"/>
    <mergeCell ref="I975:I977"/>
    <mergeCell ref="J975:J977"/>
    <mergeCell ref="K975:K977"/>
    <mergeCell ref="L975:L977"/>
    <mergeCell ref="M975:M977"/>
    <mergeCell ref="N975:N977"/>
    <mergeCell ref="N972:N974"/>
    <mergeCell ref="O972:O974"/>
    <mergeCell ref="Q972:Q974"/>
    <mergeCell ref="A975:A977"/>
    <mergeCell ref="B975:B977"/>
    <mergeCell ref="D975:D977"/>
    <mergeCell ref="E975:E977"/>
    <mergeCell ref="F975:F977"/>
    <mergeCell ref="G975:G977"/>
    <mergeCell ref="H975:H977"/>
    <mergeCell ref="H972:H974"/>
    <mergeCell ref="I972:I974"/>
    <mergeCell ref="J972:J974"/>
    <mergeCell ref="K972:K974"/>
    <mergeCell ref="L972:L974"/>
    <mergeCell ref="M972:M974"/>
    <mergeCell ref="A972:A974"/>
    <mergeCell ref="B972:B974"/>
    <mergeCell ref="D972:D974"/>
    <mergeCell ref="E972:E974"/>
    <mergeCell ref="F972:F974"/>
    <mergeCell ref="G972:G974"/>
    <mergeCell ref="K969:K971"/>
    <mergeCell ref="L969:L971"/>
    <mergeCell ref="M969:M971"/>
    <mergeCell ref="N969:N971"/>
    <mergeCell ref="O969:O971"/>
    <mergeCell ref="Q969:Q971"/>
    <mergeCell ref="Q966:Q968"/>
    <mergeCell ref="A969:A971"/>
    <mergeCell ref="B969:B971"/>
    <mergeCell ref="D969:D971"/>
    <mergeCell ref="E969:E971"/>
    <mergeCell ref="F969:F971"/>
    <mergeCell ref="G969:G971"/>
    <mergeCell ref="H969:H971"/>
    <mergeCell ref="I969:I971"/>
    <mergeCell ref="J969:J971"/>
    <mergeCell ref="J966:J968"/>
    <mergeCell ref="K966:K968"/>
    <mergeCell ref="L966:L968"/>
    <mergeCell ref="M966:M968"/>
    <mergeCell ref="N966:N968"/>
    <mergeCell ref="O966:O968"/>
    <mergeCell ref="O963:O965"/>
    <mergeCell ref="Q963:Q965"/>
    <mergeCell ref="A966:A968"/>
    <mergeCell ref="B966:B968"/>
    <mergeCell ref="D966:D968"/>
    <mergeCell ref="E966:E968"/>
    <mergeCell ref="F966:F968"/>
    <mergeCell ref="G966:G968"/>
    <mergeCell ref="H966:H968"/>
    <mergeCell ref="I966:I968"/>
    <mergeCell ref="I963:I965"/>
    <mergeCell ref="J963:J965"/>
    <mergeCell ref="K963:K965"/>
    <mergeCell ref="L963:L965"/>
    <mergeCell ref="M963:M965"/>
    <mergeCell ref="N963:N965"/>
    <mergeCell ref="N960:N962"/>
    <mergeCell ref="O960:O962"/>
    <mergeCell ref="Q960:Q962"/>
    <mergeCell ref="A963:A965"/>
    <mergeCell ref="B963:B965"/>
    <mergeCell ref="D963:D965"/>
    <mergeCell ref="E963:E965"/>
    <mergeCell ref="F963:F965"/>
    <mergeCell ref="G963:G965"/>
    <mergeCell ref="H963:H965"/>
    <mergeCell ref="H960:H962"/>
    <mergeCell ref="I960:I962"/>
    <mergeCell ref="J960:J962"/>
    <mergeCell ref="K960:K962"/>
    <mergeCell ref="L960:L962"/>
    <mergeCell ref="M960:M962"/>
    <mergeCell ref="A960:A962"/>
    <mergeCell ref="B960:B962"/>
    <mergeCell ref="D960:D962"/>
    <mergeCell ref="E960:E962"/>
    <mergeCell ref="F960:F962"/>
    <mergeCell ref="G960:G962"/>
    <mergeCell ref="K957:K959"/>
    <mergeCell ref="L957:L959"/>
    <mergeCell ref="M957:M959"/>
    <mergeCell ref="N957:N959"/>
    <mergeCell ref="O957:O959"/>
    <mergeCell ref="Q957:Q959"/>
    <mergeCell ref="A957:A959"/>
    <mergeCell ref="B957:B959"/>
    <mergeCell ref="D957:D959"/>
    <mergeCell ref="E957:E959"/>
    <mergeCell ref="F957:F959"/>
    <mergeCell ref="G957:G959"/>
    <mergeCell ref="H957:H959"/>
    <mergeCell ref="I957:I959"/>
    <mergeCell ref="J957:J959"/>
    <mergeCell ref="J954:J955"/>
    <mergeCell ref="K954:K955"/>
    <mergeCell ref="L954:L956"/>
    <mergeCell ref="M954:M956"/>
    <mergeCell ref="N954:N956"/>
    <mergeCell ref="O954:O956"/>
    <mergeCell ref="O951:O953"/>
    <mergeCell ref="Q951:Q953"/>
    <mergeCell ref="A954:A956"/>
    <mergeCell ref="B954:B955"/>
    <mergeCell ref="D954:D956"/>
    <mergeCell ref="E954:E955"/>
    <mergeCell ref="F954:F956"/>
    <mergeCell ref="G954:G956"/>
    <mergeCell ref="H954:H956"/>
    <mergeCell ref="I954:I955"/>
    <mergeCell ref="I951:I953"/>
    <mergeCell ref="J951:J953"/>
    <mergeCell ref="K951:K953"/>
    <mergeCell ref="L951:L953"/>
    <mergeCell ref="M951:M953"/>
    <mergeCell ref="N951:N953"/>
    <mergeCell ref="Q954:Q956"/>
    <mergeCell ref="N948:N950"/>
    <mergeCell ref="O948:O950"/>
    <mergeCell ref="Q948:Q950"/>
    <mergeCell ref="A951:A953"/>
    <mergeCell ref="B951:B953"/>
    <mergeCell ref="D951:D953"/>
    <mergeCell ref="E951:E953"/>
    <mergeCell ref="F951:F953"/>
    <mergeCell ref="G951:G953"/>
    <mergeCell ref="H951:H953"/>
    <mergeCell ref="H948:H950"/>
    <mergeCell ref="I948:I950"/>
    <mergeCell ref="J948:J950"/>
    <mergeCell ref="K948:K950"/>
    <mergeCell ref="L948:L950"/>
    <mergeCell ref="M948:M950"/>
    <mergeCell ref="A948:A950"/>
    <mergeCell ref="B948:B950"/>
    <mergeCell ref="D948:D950"/>
    <mergeCell ref="E948:E950"/>
    <mergeCell ref="F948:F950"/>
    <mergeCell ref="G948:G950"/>
    <mergeCell ref="K945:K947"/>
    <mergeCell ref="L945:L947"/>
    <mergeCell ref="M945:M947"/>
    <mergeCell ref="N945:N947"/>
    <mergeCell ref="O945:O947"/>
    <mergeCell ref="Q945:Q947"/>
    <mergeCell ref="Q942:Q944"/>
    <mergeCell ref="A945:A947"/>
    <mergeCell ref="B945:B947"/>
    <mergeCell ref="D945:D947"/>
    <mergeCell ref="E945:E947"/>
    <mergeCell ref="F945:F947"/>
    <mergeCell ref="G945:G947"/>
    <mergeCell ref="H945:H947"/>
    <mergeCell ref="I945:I947"/>
    <mergeCell ref="J945:J947"/>
    <mergeCell ref="J942:J944"/>
    <mergeCell ref="K942:K944"/>
    <mergeCell ref="L942:L944"/>
    <mergeCell ref="M942:M944"/>
    <mergeCell ref="N942:N944"/>
    <mergeCell ref="O942:O944"/>
    <mergeCell ref="O939:O941"/>
    <mergeCell ref="Q939:Q941"/>
    <mergeCell ref="A942:A944"/>
    <mergeCell ref="B942:B944"/>
    <mergeCell ref="D942:D944"/>
    <mergeCell ref="E942:E944"/>
    <mergeCell ref="F942:F944"/>
    <mergeCell ref="G942:G944"/>
    <mergeCell ref="H942:H944"/>
    <mergeCell ref="I942:I944"/>
    <mergeCell ref="I939:I941"/>
    <mergeCell ref="J939:J941"/>
    <mergeCell ref="K939:K941"/>
    <mergeCell ref="L939:L941"/>
    <mergeCell ref="M939:M941"/>
    <mergeCell ref="N939:N941"/>
    <mergeCell ref="N936:N938"/>
    <mergeCell ref="O936:O938"/>
    <mergeCell ref="Q936:Q938"/>
    <mergeCell ref="A939:A941"/>
    <mergeCell ref="B939:B941"/>
    <mergeCell ref="D939:D941"/>
    <mergeCell ref="E939:E941"/>
    <mergeCell ref="F939:F941"/>
    <mergeCell ref="G939:G941"/>
    <mergeCell ref="H939:H941"/>
    <mergeCell ref="H936:H938"/>
    <mergeCell ref="I936:I938"/>
    <mergeCell ref="J936:J938"/>
    <mergeCell ref="K936:K938"/>
    <mergeCell ref="L936:L938"/>
    <mergeCell ref="M936:M938"/>
    <mergeCell ref="A936:A938"/>
    <mergeCell ref="B936:B938"/>
    <mergeCell ref="D936:D938"/>
    <mergeCell ref="E936:E938"/>
    <mergeCell ref="F936:F938"/>
    <mergeCell ref="G936:G938"/>
    <mergeCell ref="K933:K935"/>
    <mergeCell ref="L933:L935"/>
    <mergeCell ref="M933:M935"/>
    <mergeCell ref="N933:N935"/>
    <mergeCell ref="O933:O935"/>
    <mergeCell ref="Q933:Q935"/>
    <mergeCell ref="Q930:Q932"/>
    <mergeCell ref="A933:A935"/>
    <mergeCell ref="B933:B935"/>
    <mergeCell ref="D933:D935"/>
    <mergeCell ref="E933:E935"/>
    <mergeCell ref="F933:F935"/>
    <mergeCell ref="G933:G935"/>
    <mergeCell ref="H933:H935"/>
    <mergeCell ref="I933:I935"/>
    <mergeCell ref="J933:J935"/>
    <mergeCell ref="J930:J932"/>
    <mergeCell ref="K930:K932"/>
    <mergeCell ref="L930:L932"/>
    <mergeCell ref="M930:M932"/>
    <mergeCell ref="N930:N932"/>
    <mergeCell ref="O930:O932"/>
    <mergeCell ref="O927:O929"/>
    <mergeCell ref="Q927:Q929"/>
    <mergeCell ref="A930:A932"/>
    <mergeCell ref="B930:B932"/>
    <mergeCell ref="D930:D932"/>
    <mergeCell ref="E930:E932"/>
    <mergeCell ref="F930:F932"/>
    <mergeCell ref="G930:G932"/>
    <mergeCell ref="H930:H932"/>
    <mergeCell ref="I930:I932"/>
    <mergeCell ref="I927:I929"/>
    <mergeCell ref="J927:J929"/>
    <mergeCell ref="K927:K929"/>
    <mergeCell ref="L927:L929"/>
    <mergeCell ref="M927:M929"/>
    <mergeCell ref="N927:N929"/>
    <mergeCell ref="N924:N926"/>
    <mergeCell ref="O924:O926"/>
    <mergeCell ref="Q924:Q926"/>
    <mergeCell ref="A927:A929"/>
    <mergeCell ref="B927:B929"/>
    <mergeCell ref="D927:D929"/>
    <mergeCell ref="E927:E929"/>
    <mergeCell ref="F927:F929"/>
    <mergeCell ref="G927:G929"/>
    <mergeCell ref="H927:H929"/>
    <mergeCell ref="H924:H926"/>
    <mergeCell ref="I924:I926"/>
    <mergeCell ref="J924:J926"/>
    <mergeCell ref="K924:K926"/>
    <mergeCell ref="L924:L926"/>
    <mergeCell ref="M924:M926"/>
    <mergeCell ref="A924:A926"/>
    <mergeCell ref="B924:B926"/>
    <mergeCell ref="D924:D926"/>
    <mergeCell ref="E924:E926"/>
    <mergeCell ref="F924:F926"/>
    <mergeCell ref="G924:G926"/>
    <mergeCell ref="K921:K923"/>
    <mergeCell ref="L921:L923"/>
    <mergeCell ref="M921:M923"/>
    <mergeCell ref="N921:N923"/>
    <mergeCell ref="O921:O923"/>
    <mergeCell ref="Q921:Q923"/>
    <mergeCell ref="Q918:Q920"/>
    <mergeCell ref="A921:A923"/>
    <mergeCell ref="B921:B923"/>
    <mergeCell ref="D921:D923"/>
    <mergeCell ref="E921:E923"/>
    <mergeCell ref="F921:F923"/>
    <mergeCell ref="G921:G923"/>
    <mergeCell ref="H921:H923"/>
    <mergeCell ref="I921:I923"/>
    <mergeCell ref="J921:J923"/>
    <mergeCell ref="J918:J920"/>
    <mergeCell ref="K918:K920"/>
    <mergeCell ref="L918:L920"/>
    <mergeCell ref="M918:M920"/>
    <mergeCell ref="N918:N920"/>
    <mergeCell ref="O918:O920"/>
    <mergeCell ref="O915:O917"/>
    <mergeCell ref="Q915:Q917"/>
    <mergeCell ref="A918:A920"/>
    <mergeCell ref="B918:B920"/>
    <mergeCell ref="D918:D920"/>
    <mergeCell ref="E918:E920"/>
    <mergeCell ref="F918:F920"/>
    <mergeCell ref="G918:G920"/>
    <mergeCell ref="H918:H920"/>
    <mergeCell ref="I918:I920"/>
    <mergeCell ref="I915:I917"/>
    <mergeCell ref="J915:J917"/>
    <mergeCell ref="K915:K917"/>
    <mergeCell ref="L915:L917"/>
    <mergeCell ref="M915:M917"/>
    <mergeCell ref="N915:N917"/>
    <mergeCell ref="N912:N914"/>
    <mergeCell ref="O912:O914"/>
    <mergeCell ref="Q912:Q914"/>
    <mergeCell ref="A915:A917"/>
    <mergeCell ref="B915:B917"/>
    <mergeCell ref="D915:D917"/>
    <mergeCell ref="E915:E917"/>
    <mergeCell ref="F915:F917"/>
    <mergeCell ref="G915:G917"/>
    <mergeCell ref="H915:H917"/>
    <mergeCell ref="H912:H914"/>
    <mergeCell ref="I912:I914"/>
    <mergeCell ref="J912:J914"/>
    <mergeCell ref="K912:K914"/>
    <mergeCell ref="L912:L914"/>
    <mergeCell ref="M912:M914"/>
    <mergeCell ref="A912:A914"/>
    <mergeCell ref="B912:B914"/>
    <mergeCell ref="D912:D914"/>
    <mergeCell ref="E912:E914"/>
    <mergeCell ref="F912:F914"/>
    <mergeCell ref="G912:G914"/>
    <mergeCell ref="K909:K911"/>
    <mergeCell ref="L909:L911"/>
    <mergeCell ref="M909:M911"/>
    <mergeCell ref="N909:N911"/>
    <mergeCell ref="O909:O911"/>
    <mergeCell ref="Q909:Q911"/>
    <mergeCell ref="Q906:Q908"/>
    <mergeCell ref="A909:A911"/>
    <mergeCell ref="B909:B911"/>
    <mergeCell ref="D909:D911"/>
    <mergeCell ref="E909:E911"/>
    <mergeCell ref="F909:F911"/>
    <mergeCell ref="G909:G911"/>
    <mergeCell ref="H909:H911"/>
    <mergeCell ref="I909:I911"/>
    <mergeCell ref="J909:J911"/>
    <mergeCell ref="J906:J908"/>
    <mergeCell ref="K906:K908"/>
    <mergeCell ref="L906:L908"/>
    <mergeCell ref="M906:M908"/>
    <mergeCell ref="N906:N908"/>
    <mergeCell ref="O906:O908"/>
    <mergeCell ref="O903:O905"/>
    <mergeCell ref="Q903:Q905"/>
    <mergeCell ref="A906:A908"/>
    <mergeCell ref="B906:B908"/>
    <mergeCell ref="D906:D908"/>
    <mergeCell ref="E906:E908"/>
    <mergeCell ref="F906:F908"/>
    <mergeCell ref="G906:G908"/>
    <mergeCell ref="H906:H908"/>
    <mergeCell ref="I906:I908"/>
    <mergeCell ref="I903:I905"/>
    <mergeCell ref="J903:J905"/>
    <mergeCell ref="K903:K905"/>
    <mergeCell ref="L903:L905"/>
    <mergeCell ref="M903:M905"/>
    <mergeCell ref="N903:N905"/>
    <mergeCell ref="N900:N902"/>
    <mergeCell ref="O900:O902"/>
    <mergeCell ref="Q900:Q902"/>
    <mergeCell ref="A903:A905"/>
    <mergeCell ref="B903:B905"/>
    <mergeCell ref="D903:D905"/>
    <mergeCell ref="E903:E905"/>
    <mergeCell ref="F903:F905"/>
    <mergeCell ref="G903:G905"/>
    <mergeCell ref="H903:H905"/>
    <mergeCell ref="H900:H902"/>
    <mergeCell ref="I900:I902"/>
    <mergeCell ref="J900:J902"/>
    <mergeCell ref="K900:K902"/>
    <mergeCell ref="L900:L902"/>
    <mergeCell ref="M900:M902"/>
    <mergeCell ref="A900:A902"/>
    <mergeCell ref="B900:B902"/>
    <mergeCell ref="D900:D902"/>
    <mergeCell ref="E900:E902"/>
    <mergeCell ref="F900:F902"/>
    <mergeCell ref="G900:G902"/>
    <mergeCell ref="K897:K899"/>
    <mergeCell ref="L897:L899"/>
    <mergeCell ref="M897:M899"/>
    <mergeCell ref="N897:N899"/>
    <mergeCell ref="O897:O899"/>
    <mergeCell ref="Q897:Q899"/>
    <mergeCell ref="Q894:Q896"/>
    <mergeCell ref="A897:A899"/>
    <mergeCell ref="B897:B899"/>
    <mergeCell ref="D897:D899"/>
    <mergeCell ref="E897:E899"/>
    <mergeCell ref="F897:F899"/>
    <mergeCell ref="G897:G899"/>
    <mergeCell ref="H897:H899"/>
    <mergeCell ref="I897:I899"/>
    <mergeCell ref="J897:J899"/>
    <mergeCell ref="J894:J896"/>
    <mergeCell ref="K894:K896"/>
    <mergeCell ref="L894:L896"/>
    <mergeCell ref="M894:M896"/>
    <mergeCell ref="N894:N896"/>
    <mergeCell ref="O894:O896"/>
    <mergeCell ref="O891:O893"/>
    <mergeCell ref="Q891:Q893"/>
    <mergeCell ref="A894:A896"/>
    <mergeCell ref="B894:B896"/>
    <mergeCell ref="D894:D896"/>
    <mergeCell ref="E894:E896"/>
    <mergeCell ref="F894:F896"/>
    <mergeCell ref="G894:G896"/>
    <mergeCell ref="H894:H896"/>
    <mergeCell ref="I894:I896"/>
    <mergeCell ref="I891:I893"/>
    <mergeCell ref="J891:J893"/>
    <mergeCell ref="K891:K893"/>
    <mergeCell ref="L891:L893"/>
    <mergeCell ref="M891:M893"/>
    <mergeCell ref="N891:N893"/>
    <mergeCell ref="N888:N890"/>
    <mergeCell ref="O888:O890"/>
    <mergeCell ref="Q888:Q890"/>
    <mergeCell ref="A891:A893"/>
    <mergeCell ref="B891:B893"/>
    <mergeCell ref="D891:D893"/>
    <mergeCell ref="E891:E893"/>
    <mergeCell ref="F891:F893"/>
    <mergeCell ref="G891:G893"/>
    <mergeCell ref="H891:H893"/>
    <mergeCell ref="H888:H890"/>
    <mergeCell ref="I888:I890"/>
    <mergeCell ref="J888:J890"/>
    <mergeCell ref="K888:K890"/>
    <mergeCell ref="L888:L890"/>
    <mergeCell ref="M888:M890"/>
    <mergeCell ref="A888:A890"/>
    <mergeCell ref="B888:B890"/>
    <mergeCell ref="D888:D890"/>
    <mergeCell ref="E888:E890"/>
    <mergeCell ref="F888:F890"/>
    <mergeCell ref="G888:G890"/>
    <mergeCell ref="K885:K887"/>
    <mergeCell ref="L885:L887"/>
    <mergeCell ref="M885:M887"/>
    <mergeCell ref="N885:N887"/>
    <mergeCell ref="O885:O887"/>
    <mergeCell ref="Q885:Q887"/>
    <mergeCell ref="Q882:Q884"/>
    <mergeCell ref="A885:A887"/>
    <mergeCell ref="B885:B887"/>
    <mergeCell ref="D885:D887"/>
    <mergeCell ref="E885:E887"/>
    <mergeCell ref="F885:F887"/>
    <mergeCell ref="G885:G887"/>
    <mergeCell ref="H885:H887"/>
    <mergeCell ref="I885:I887"/>
    <mergeCell ref="J885:J887"/>
    <mergeCell ref="J882:J883"/>
    <mergeCell ref="L882:L884"/>
    <mergeCell ref="M882:M884"/>
    <mergeCell ref="N882:N884"/>
    <mergeCell ref="O882:O884"/>
    <mergeCell ref="O879:O881"/>
    <mergeCell ref="Q879:Q881"/>
    <mergeCell ref="A882:A884"/>
    <mergeCell ref="B882:B883"/>
    <mergeCell ref="D882:D884"/>
    <mergeCell ref="E882:E883"/>
    <mergeCell ref="F882:F884"/>
    <mergeCell ref="G882:G884"/>
    <mergeCell ref="H882:H884"/>
    <mergeCell ref="I882:I883"/>
    <mergeCell ref="I879:I881"/>
    <mergeCell ref="J879:J881"/>
    <mergeCell ref="K879:K881"/>
    <mergeCell ref="L879:L881"/>
    <mergeCell ref="M879:M881"/>
    <mergeCell ref="N879:N881"/>
    <mergeCell ref="K882:K884"/>
    <mergeCell ref="N876:N878"/>
    <mergeCell ref="O876:O878"/>
    <mergeCell ref="Q876:Q878"/>
    <mergeCell ref="A879:A881"/>
    <mergeCell ref="B879:B881"/>
    <mergeCell ref="D879:D881"/>
    <mergeCell ref="E879:E881"/>
    <mergeCell ref="F879:F881"/>
    <mergeCell ref="G879:G881"/>
    <mergeCell ref="H879:H881"/>
    <mergeCell ref="H876:H878"/>
    <mergeCell ref="I876:I878"/>
    <mergeCell ref="J876:J878"/>
    <mergeCell ref="K876:K878"/>
    <mergeCell ref="L876:L878"/>
    <mergeCell ref="M876:M878"/>
    <mergeCell ref="A876:A878"/>
    <mergeCell ref="B876:B878"/>
    <mergeCell ref="D876:D878"/>
    <mergeCell ref="E876:E878"/>
    <mergeCell ref="F876:F878"/>
    <mergeCell ref="G876:G878"/>
    <mergeCell ref="K873:K875"/>
    <mergeCell ref="L873:L875"/>
    <mergeCell ref="M873:M875"/>
    <mergeCell ref="N873:N875"/>
    <mergeCell ref="O873:O875"/>
    <mergeCell ref="Q873:Q875"/>
    <mergeCell ref="Q870:Q872"/>
    <mergeCell ref="A873:A875"/>
    <mergeCell ref="B873:B875"/>
    <mergeCell ref="D873:D875"/>
    <mergeCell ref="E873:E875"/>
    <mergeCell ref="F873:F875"/>
    <mergeCell ref="G873:G875"/>
    <mergeCell ref="H873:H875"/>
    <mergeCell ref="I873:I875"/>
    <mergeCell ref="J873:J875"/>
    <mergeCell ref="J870:J872"/>
    <mergeCell ref="K870:K872"/>
    <mergeCell ref="L870:L872"/>
    <mergeCell ref="M870:M872"/>
    <mergeCell ref="N870:N872"/>
    <mergeCell ref="O870:O872"/>
    <mergeCell ref="O867:O869"/>
    <mergeCell ref="Q867:Q869"/>
    <mergeCell ref="A870:A872"/>
    <mergeCell ref="B870:B872"/>
    <mergeCell ref="D870:D872"/>
    <mergeCell ref="E870:E872"/>
    <mergeCell ref="F870:F872"/>
    <mergeCell ref="G870:G872"/>
    <mergeCell ref="H870:H872"/>
    <mergeCell ref="I870:I872"/>
    <mergeCell ref="I867:I869"/>
    <mergeCell ref="J867:J869"/>
    <mergeCell ref="K867:K869"/>
    <mergeCell ref="L867:L869"/>
    <mergeCell ref="M867:M869"/>
    <mergeCell ref="N867:N869"/>
    <mergeCell ref="N864:N866"/>
    <mergeCell ref="O864:O866"/>
    <mergeCell ref="Q864:Q866"/>
    <mergeCell ref="A867:A869"/>
    <mergeCell ref="B867:B869"/>
    <mergeCell ref="D867:D869"/>
    <mergeCell ref="E867:E869"/>
    <mergeCell ref="F867:F869"/>
    <mergeCell ref="G867:G869"/>
    <mergeCell ref="H867:H869"/>
    <mergeCell ref="H864:H866"/>
    <mergeCell ref="I864:I866"/>
    <mergeCell ref="J864:J866"/>
    <mergeCell ref="K864:K866"/>
    <mergeCell ref="L864:L866"/>
    <mergeCell ref="M864:M866"/>
    <mergeCell ref="A864:A866"/>
    <mergeCell ref="B864:B866"/>
    <mergeCell ref="D864:D866"/>
    <mergeCell ref="E864:E866"/>
    <mergeCell ref="F864:F866"/>
    <mergeCell ref="G864:G866"/>
    <mergeCell ref="K861:K863"/>
    <mergeCell ref="L861:L863"/>
    <mergeCell ref="M861:M863"/>
    <mergeCell ref="N861:N863"/>
    <mergeCell ref="O861:O863"/>
    <mergeCell ref="Q861:Q863"/>
    <mergeCell ref="Q858:Q860"/>
    <mergeCell ref="A861:A863"/>
    <mergeCell ref="B861:B863"/>
    <mergeCell ref="D861:D863"/>
    <mergeCell ref="E861:E863"/>
    <mergeCell ref="F861:F863"/>
    <mergeCell ref="G861:G863"/>
    <mergeCell ref="H861:H863"/>
    <mergeCell ref="I861:I863"/>
    <mergeCell ref="J861:J863"/>
    <mergeCell ref="J858:J860"/>
    <mergeCell ref="K858:K860"/>
    <mergeCell ref="L858:L860"/>
    <mergeCell ref="M858:M860"/>
    <mergeCell ref="N858:N860"/>
    <mergeCell ref="O858:O860"/>
    <mergeCell ref="O855:O857"/>
    <mergeCell ref="Q855:Q857"/>
    <mergeCell ref="A858:A860"/>
    <mergeCell ref="B858:B860"/>
    <mergeCell ref="D858:D860"/>
    <mergeCell ref="E858:E860"/>
    <mergeCell ref="F858:F860"/>
    <mergeCell ref="G858:G860"/>
    <mergeCell ref="H858:H860"/>
    <mergeCell ref="I858:I860"/>
    <mergeCell ref="I855:I857"/>
    <mergeCell ref="J855:J857"/>
    <mergeCell ref="K855:K857"/>
    <mergeCell ref="L855:L857"/>
    <mergeCell ref="M855:M857"/>
    <mergeCell ref="N855:N857"/>
    <mergeCell ref="N852:N854"/>
    <mergeCell ref="O852:O854"/>
    <mergeCell ref="Q852:Q854"/>
    <mergeCell ref="A855:A857"/>
    <mergeCell ref="B855:B857"/>
    <mergeCell ref="D855:D857"/>
    <mergeCell ref="E855:E857"/>
    <mergeCell ref="F855:F857"/>
    <mergeCell ref="G855:G857"/>
    <mergeCell ref="H855:H857"/>
    <mergeCell ref="H852:H854"/>
    <mergeCell ref="I852:I854"/>
    <mergeCell ref="J852:J854"/>
    <mergeCell ref="K852:K854"/>
    <mergeCell ref="L852:L854"/>
    <mergeCell ref="M852:M854"/>
    <mergeCell ref="A852:A854"/>
    <mergeCell ref="B852:B854"/>
    <mergeCell ref="D852:D854"/>
    <mergeCell ref="E852:E854"/>
    <mergeCell ref="F852:F854"/>
    <mergeCell ref="G852:G854"/>
    <mergeCell ref="K849:K851"/>
    <mergeCell ref="L849:L851"/>
    <mergeCell ref="M849:M851"/>
    <mergeCell ref="N849:N851"/>
    <mergeCell ref="O849:O851"/>
    <mergeCell ref="Q849:Q851"/>
    <mergeCell ref="Q846:Q848"/>
    <mergeCell ref="A849:A851"/>
    <mergeCell ref="B849:B851"/>
    <mergeCell ref="D849:D851"/>
    <mergeCell ref="E849:E851"/>
    <mergeCell ref="F849:F851"/>
    <mergeCell ref="G849:G851"/>
    <mergeCell ref="H849:H851"/>
    <mergeCell ref="I849:I851"/>
    <mergeCell ref="J849:J851"/>
    <mergeCell ref="J846:J848"/>
    <mergeCell ref="K846:K848"/>
    <mergeCell ref="L846:L848"/>
    <mergeCell ref="M846:M848"/>
    <mergeCell ref="N846:N848"/>
    <mergeCell ref="O846:O848"/>
    <mergeCell ref="O843:O845"/>
    <mergeCell ref="Q843:Q845"/>
    <mergeCell ref="A846:A848"/>
    <mergeCell ref="B846:B848"/>
    <mergeCell ref="D846:D848"/>
    <mergeCell ref="E846:E848"/>
    <mergeCell ref="F846:F848"/>
    <mergeCell ref="G846:G848"/>
    <mergeCell ref="H846:H848"/>
    <mergeCell ref="I846:I848"/>
    <mergeCell ref="I843:I845"/>
    <mergeCell ref="J843:J845"/>
    <mergeCell ref="K843:K845"/>
    <mergeCell ref="L843:L845"/>
    <mergeCell ref="M843:M845"/>
    <mergeCell ref="N843:N845"/>
    <mergeCell ref="N840:N842"/>
    <mergeCell ref="O840:O842"/>
    <mergeCell ref="Q840:Q842"/>
    <mergeCell ref="A843:A845"/>
    <mergeCell ref="B843:B845"/>
    <mergeCell ref="D843:D845"/>
    <mergeCell ref="E843:E845"/>
    <mergeCell ref="F843:F845"/>
    <mergeCell ref="G843:G845"/>
    <mergeCell ref="H843:H845"/>
    <mergeCell ref="H840:H842"/>
    <mergeCell ref="I840:I842"/>
    <mergeCell ref="J840:J842"/>
    <mergeCell ref="K840:K842"/>
    <mergeCell ref="L840:L842"/>
    <mergeCell ref="M840:M842"/>
    <mergeCell ref="A840:A842"/>
    <mergeCell ref="B840:B842"/>
    <mergeCell ref="D840:D842"/>
    <mergeCell ref="E840:E842"/>
    <mergeCell ref="F840:F842"/>
    <mergeCell ref="G840:G842"/>
    <mergeCell ref="K837:K839"/>
    <mergeCell ref="L837:L839"/>
    <mergeCell ref="M837:M839"/>
    <mergeCell ref="N837:N839"/>
    <mergeCell ref="O837:O839"/>
    <mergeCell ref="Q837:Q839"/>
    <mergeCell ref="Q834:Q836"/>
    <mergeCell ref="A837:A839"/>
    <mergeCell ref="B837:B839"/>
    <mergeCell ref="D837:D839"/>
    <mergeCell ref="E837:E839"/>
    <mergeCell ref="F837:F839"/>
    <mergeCell ref="G837:G839"/>
    <mergeCell ref="H837:H839"/>
    <mergeCell ref="I837:I839"/>
    <mergeCell ref="J837:J839"/>
    <mergeCell ref="J834:J836"/>
    <mergeCell ref="K834:K836"/>
    <mergeCell ref="L834:L836"/>
    <mergeCell ref="M834:M836"/>
    <mergeCell ref="N834:N836"/>
    <mergeCell ref="O834:O836"/>
    <mergeCell ref="O831:O833"/>
    <mergeCell ref="Q831:Q833"/>
    <mergeCell ref="A834:A836"/>
    <mergeCell ref="B834:B836"/>
    <mergeCell ref="D834:D836"/>
    <mergeCell ref="E834:E836"/>
    <mergeCell ref="F834:F836"/>
    <mergeCell ref="G834:G836"/>
    <mergeCell ref="H834:H836"/>
    <mergeCell ref="I834:I836"/>
    <mergeCell ref="I831:I833"/>
    <mergeCell ref="J831:J833"/>
    <mergeCell ref="K831:K833"/>
    <mergeCell ref="L831:L833"/>
    <mergeCell ref="M831:M833"/>
    <mergeCell ref="N831:N833"/>
    <mergeCell ref="N828:N830"/>
    <mergeCell ref="O828:O830"/>
    <mergeCell ref="Q828:Q830"/>
    <mergeCell ref="A831:A833"/>
    <mergeCell ref="B831:B833"/>
    <mergeCell ref="D831:D833"/>
    <mergeCell ref="E831:E833"/>
    <mergeCell ref="F831:F833"/>
    <mergeCell ref="G831:G833"/>
    <mergeCell ref="H831:H833"/>
    <mergeCell ref="H828:H830"/>
    <mergeCell ref="I828:I830"/>
    <mergeCell ref="J828:J830"/>
    <mergeCell ref="K828:K830"/>
    <mergeCell ref="L828:L830"/>
    <mergeCell ref="M828:M830"/>
    <mergeCell ref="A828:A830"/>
    <mergeCell ref="B828:B830"/>
    <mergeCell ref="D828:D830"/>
    <mergeCell ref="E828:E830"/>
    <mergeCell ref="F828:F830"/>
    <mergeCell ref="G828:G830"/>
    <mergeCell ref="K825:K827"/>
    <mergeCell ref="L825:L827"/>
    <mergeCell ref="M825:M827"/>
    <mergeCell ref="N825:N827"/>
    <mergeCell ref="O825:O827"/>
    <mergeCell ref="Q825:Q827"/>
    <mergeCell ref="Q822:Q824"/>
    <mergeCell ref="A825:A827"/>
    <mergeCell ref="B825:B827"/>
    <mergeCell ref="D825:D827"/>
    <mergeCell ref="E825:E827"/>
    <mergeCell ref="F825:F827"/>
    <mergeCell ref="G825:G827"/>
    <mergeCell ref="H825:H827"/>
    <mergeCell ref="I825:I827"/>
    <mergeCell ref="J825:J827"/>
    <mergeCell ref="J822:J824"/>
    <mergeCell ref="K822:K824"/>
    <mergeCell ref="L822:L824"/>
    <mergeCell ref="M822:M824"/>
    <mergeCell ref="N822:N824"/>
    <mergeCell ref="O822:O824"/>
    <mergeCell ref="O819:O821"/>
    <mergeCell ref="Q819:Q821"/>
    <mergeCell ref="A822:A824"/>
    <mergeCell ref="B822:B824"/>
    <mergeCell ref="D822:D824"/>
    <mergeCell ref="E822:E824"/>
    <mergeCell ref="F822:F824"/>
    <mergeCell ref="G822:G824"/>
    <mergeCell ref="H822:H824"/>
    <mergeCell ref="I822:I824"/>
    <mergeCell ref="I819:I821"/>
    <mergeCell ref="J819:J821"/>
    <mergeCell ref="K819:K821"/>
    <mergeCell ref="L819:L821"/>
    <mergeCell ref="M819:M821"/>
    <mergeCell ref="N819:N821"/>
    <mergeCell ref="N816:N818"/>
    <mergeCell ref="O816:O818"/>
    <mergeCell ref="Q816:Q818"/>
    <mergeCell ref="A819:A821"/>
    <mergeCell ref="B819:B821"/>
    <mergeCell ref="D819:D821"/>
    <mergeCell ref="E819:E821"/>
    <mergeCell ref="F819:F821"/>
    <mergeCell ref="G819:G821"/>
    <mergeCell ref="H819:H821"/>
    <mergeCell ref="H816:H818"/>
    <mergeCell ref="I816:I818"/>
    <mergeCell ref="J816:J818"/>
    <mergeCell ref="K816:K818"/>
    <mergeCell ref="L816:L818"/>
    <mergeCell ref="M816:M818"/>
    <mergeCell ref="A816:A818"/>
    <mergeCell ref="B816:B818"/>
    <mergeCell ref="D816:D818"/>
    <mergeCell ref="E816:E818"/>
    <mergeCell ref="F816:F818"/>
    <mergeCell ref="G816:G818"/>
    <mergeCell ref="K813:K815"/>
    <mergeCell ref="L813:L815"/>
    <mergeCell ref="M813:M815"/>
    <mergeCell ref="N813:N815"/>
    <mergeCell ref="O813:O815"/>
    <mergeCell ref="Q813:Q815"/>
    <mergeCell ref="Q810:Q811"/>
    <mergeCell ref="A813:A815"/>
    <mergeCell ref="B813:B815"/>
    <mergeCell ref="D813:D815"/>
    <mergeCell ref="E813:E815"/>
    <mergeCell ref="F813:F815"/>
    <mergeCell ref="G813:G815"/>
    <mergeCell ref="H813:H815"/>
    <mergeCell ref="I813:I815"/>
    <mergeCell ref="J813:J815"/>
    <mergeCell ref="J810:J811"/>
    <mergeCell ref="K810:K811"/>
    <mergeCell ref="L810:L812"/>
    <mergeCell ref="M810:M812"/>
    <mergeCell ref="N810:N812"/>
    <mergeCell ref="O810:O812"/>
    <mergeCell ref="O807:O809"/>
    <mergeCell ref="Q807:Q809"/>
    <mergeCell ref="A810:A812"/>
    <mergeCell ref="B810:B811"/>
    <mergeCell ref="D810:D812"/>
    <mergeCell ref="E810:E811"/>
    <mergeCell ref="F810:F812"/>
    <mergeCell ref="G810:G812"/>
    <mergeCell ref="H810:H812"/>
    <mergeCell ref="I810:I811"/>
    <mergeCell ref="I807:I809"/>
    <mergeCell ref="J807:J809"/>
    <mergeCell ref="K807:K809"/>
    <mergeCell ref="L807:L809"/>
    <mergeCell ref="M807:M809"/>
    <mergeCell ref="N807:N809"/>
    <mergeCell ref="N804:N806"/>
    <mergeCell ref="O804:O806"/>
    <mergeCell ref="Q804:Q806"/>
    <mergeCell ref="A807:A809"/>
    <mergeCell ref="B807:B809"/>
    <mergeCell ref="D807:D809"/>
    <mergeCell ref="E807:E809"/>
    <mergeCell ref="F807:F809"/>
    <mergeCell ref="G807:G809"/>
    <mergeCell ref="H807:H809"/>
    <mergeCell ref="H804:H806"/>
    <mergeCell ref="I804:I806"/>
    <mergeCell ref="J804:J806"/>
    <mergeCell ref="K804:K806"/>
    <mergeCell ref="L804:L806"/>
    <mergeCell ref="M804:M806"/>
    <mergeCell ref="A804:A806"/>
    <mergeCell ref="B804:B806"/>
    <mergeCell ref="D804:D806"/>
    <mergeCell ref="E804:E806"/>
    <mergeCell ref="F804:F806"/>
    <mergeCell ref="G804:G806"/>
    <mergeCell ref="K801:K803"/>
    <mergeCell ref="L801:L803"/>
    <mergeCell ref="M801:M803"/>
    <mergeCell ref="N801:N803"/>
    <mergeCell ref="O801:O803"/>
    <mergeCell ref="Q801:Q803"/>
    <mergeCell ref="Q798:Q800"/>
    <mergeCell ref="A801:A803"/>
    <mergeCell ref="B801:B803"/>
    <mergeCell ref="D801:D803"/>
    <mergeCell ref="E801:E803"/>
    <mergeCell ref="F801:F803"/>
    <mergeCell ref="G801:G803"/>
    <mergeCell ref="H801:H803"/>
    <mergeCell ref="I801:I803"/>
    <mergeCell ref="J801:J803"/>
    <mergeCell ref="J798:J800"/>
    <mergeCell ref="K798:K800"/>
    <mergeCell ref="L798:L800"/>
    <mergeCell ref="M798:M800"/>
    <mergeCell ref="N798:N800"/>
    <mergeCell ref="O798:O800"/>
    <mergeCell ref="O795:O797"/>
    <mergeCell ref="Q795:Q797"/>
    <mergeCell ref="A798:A800"/>
    <mergeCell ref="B798:B800"/>
    <mergeCell ref="D798:D800"/>
    <mergeCell ref="E798:E800"/>
    <mergeCell ref="F798:F800"/>
    <mergeCell ref="G798:G800"/>
    <mergeCell ref="H798:H800"/>
    <mergeCell ref="I798:I800"/>
    <mergeCell ref="I795:I797"/>
    <mergeCell ref="J795:J797"/>
    <mergeCell ref="K795:K797"/>
    <mergeCell ref="L795:L797"/>
    <mergeCell ref="M795:M797"/>
    <mergeCell ref="N795:N797"/>
    <mergeCell ref="N792:N794"/>
    <mergeCell ref="O792:O794"/>
    <mergeCell ref="Q792:Q794"/>
    <mergeCell ref="A795:A797"/>
    <mergeCell ref="B795:B797"/>
    <mergeCell ref="D795:D797"/>
    <mergeCell ref="E795:E797"/>
    <mergeCell ref="F795:F797"/>
    <mergeCell ref="G795:G797"/>
    <mergeCell ref="H795:H797"/>
    <mergeCell ref="H792:H794"/>
    <mergeCell ref="I792:I794"/>
    <mergeCell ref="J792:J794"/>
    <mergeCell ref="K792:K794"/>
    <mergeCell ref="L792:L794"/>
    <mergeCell ref="M792:M794"/>
    <mergeCell ref="A792:A794"/>
    <mergeCell ref="B792:B794"/>
    <mergeCell ref="D792:D794"/>
    <mergeCell ref="E792:E794"/>
    <mergeCell ref="F792:F794"/>
    <mergeCell ref="G792:G794"/>
    <mergeCell ref="K789:K791"/>
    <mergeCell ref="L789:L791"/>
    <mergeCell ref="M789:M791"/>
    <mergeCell ref="N789:N791"/>
    <mergeCell ref="O789:O791"/>
    <mergeCell ref="Q789:Q791"/>
    <mergeCell ref="Q786:Q788"/>
    <mergeCell ref="A789:A791"/>
    <mergeCell ref="B789:B791"/>
    <mergeCell ref="D789:D791"/>
    <mergeCell ref="E789:E791"/>
    <mergeCell ref="F789:F791"/>
    <mergeCell ref="G789:G791"/>
    <mergeCell ref="H789:H791"/>
    <mergeCell ref="I789:I791"/>
    <mergeCell ref="J789:J791"/>
    <mergeCell ref="J786:J788"/>
    <mergeCell ref="K786:K788"/>
    <mergeCell ref="L786:L788"/>
    <mergeCell ref="M786:M788"/>
    <mergeCell ref="N786:N788"/>
    <mergeCell ref="O786:O788"/>
    <mergeCell ref="O783:O785"/>
    <mergeCell ref="Q783:Q785"/>
    <mergeCell ref="A786:A788"/>
    <mergeCell ref="B786:B788"/>
    <mergeCell ref="D786:D788"/>
    <mergeCell ref="E786:E788"/>
    <mergeCell ref="F786:F788"/>
    <mergeCell ref="G786:G788"/>
    <mergeCell ref="H786:H788"/>
    <mergeCell ref="I786:I788"/>
    <mergeCell ref="I783:I785"/>
    <mergeCell ref="J783:J785"/>
    <mergeCell ref="K783:K785"/>
    <mergeCell ref="L783:L785"/>
    <mergeCell ref="M783:M785"/>
    <mergeCell ref="N783:N785"/>
    <mergeCell ref="N780:N782"/>
    <mergeCell ref="O780:O782"/>
    <mergeCell ref="Q780:Q782"/>
    <mergeCell ref="A783:A785"/>
    <mergeCell ref="B783:B785"/>
    <mergeCell ref="D783:D785"/>
    <mergeCell ref="E783:E785"/>
    <mergeCell ref="F783:F785"/>
    <mergeCell ref="G783:G785"/>
    <mergeCell ref="H783:H785"/>
    <mergeCell ref="H780:H782"/>
    <mergeCell ref="I780:I782"/>
    <mergeCell ref="J780:J782"/>
    <mergeCell ref="K780:K782"/>
    <mergeCell ref="L780:L782"/>
    <mergeCell ref="M780:M782"/>
    <mergeCell ref="A780:A782"/>
    <mergeCell ref="B780:B782"/>
    <mergeCell ref="D780:D782"/>
    <mergeCell ref="E780:E782"/>
    <mergeCell ref="F780:F782"/>
    <mergeCell ref="G780:G782"/>
    <mergeCell ref="K777:K779"/>
    <mergeCell ref="L777:L779"/>
    <mergeCell ref="M777:M779"/>
    <mergeCell ref="N777:N779"/>
    <mergeCell ref="O777:O779"/>
    <mergeCell ref="Q777:Q779"/>
    <mergeCell ref="Q774:Q776"/>
    <mergeCell ref="A777:A779"/>
    <mergeCell ref="B777:B779"/>
    <mergeCell ref="D777:D779"/>
    <mergeCell ref="E777:E779"/>
    <mergeCell ref="F777:F779"/>
    <mergeCell ref="G777:G779"/>
    <mergeCell ref="H777:H779"/>
    <mergeCell ref="I777:I779"/>
    <mergeCell ref="J777:J779"/>
    <mergeCell ref="J774:J776"/>
    <mergeCell ref="K774:K776"/>
    <mergeCell ref="L774:L776"/>
    <mergeCell ref="M774:M776"/>
    <mergeCell ref="N774:N776"/>
    <mergeCell ref="O774:O776"/>
    <mergeCell ref="O771:O773"/>
    <mergeCell ref="Q771:Q773"/>
    <mergeCell ref="A774:A776"/>
    <mergeCell ref="B774:B776"/>
    <mergeCell ref="D774:D776"/>
    <mergeCell ref="E774:E776"/>
    <mergeCell ref="F774:F776"/>
    <mergeCell ref="G774:G776"/>
    <mergeCell ref="H774:H776"/>
    <mergeCell ref="I774:I776"/>
    <mergeCell ref="I771:I773"/>
    <mergeCell ref="J771:J773"/>
    <mergeCell ref="K771:K773"/>
    <mergeCell ref="L771:L773"/>
    <mergeCell ref="M771:M773"/>
    <mergeCell ref="N771:N773"/>
    <mergeCell ref="N768:N770"/>
    <mergeCell ref="O768:O770"/>
    <mergeCell ref="Q768:Q770"/>
    <mergeCell ref="A771:A773"/>
    <mergeCell ref="B771:B773"/>
    <mergeCell ref="D771:D773"/>
    <mergeCell ref="E771:E773"/>
    <mergeCell ref="F771:F773"/>
    <mergeCell ref="G771:G773"/>
    <mergeCell ref="H771:H773"/>
    <mergeCell ref="H768:H770"/>
    <mergeCell ref="I768:I770"/>
    <mergeCell ref="J768:J770"/>
    <mergeCell ref="K768:K770"/>
    <mergeCell ref="L768:L770"/>
    <mergeCell ref="M768:M770"/>
    <mergeCell ref="A768:A770"/>
    <mergeCell ref="B768:B770"/>
    <mergeCell ref="D768:D770"/>
    <mergeCell ref="E768:E770"/>
    <mergeCell ref="F768:F770"/>
    <mergeCell ref="G768:G770"/>
    <mergeCell ref="K765:K767"/>
    <mergeCell ref="L765:L767"/>
    <mergeCell ref="M765:M767"/>
    <mergeCell ref="N765:N767"/>
    <mergeCell ref="O765:O767"/>
    <mergeCell ref="Q765:Q767"/>
    <mergeCell ref="Q762:Q764"/>
    <mergeCell ref="A765:A767"/>
    <mergeCell ref="B765:B767"/>
    <mergeCell ref="D765:D767"/>
    <mergeCell ref="E765:E767"/>
    <mergeCell ref="F765:F767"/>
    <mergeCell ref="G765:G767"/>
    <mergeCell ref="H765:H767"/>
    <mergeCell ref="I765:I767"/>
    <mergeCell ref="J765:J767"/>
    <mergeCell ref="J762:J764"/>
    <mergeCell ref="K762:K764"/>
    <mergeCell ref="L762:L764"/>
    <mergeCell ref="M762:M764"/>
    <mergeCell ref="N762:N764"/>
    <mergeCell ref="O762:O764"/>
    <mergeCell ref="O759:O761"/>
    <mergeCell ref="Q759:Q761"/>
    <mergeCell ref="A762:A764"/>
    <mergeCell ref="B762:B764"/>
    <mergeCell ref="D762:D764"/>
    <mergeCell ref="E762:E764"/>
    <mergeCell ref="F762:F764"/>
    <mergeCell ref="G762:G764"/>
    <mergeCell ref="H762:H764"/>
    <mergeCell ref="I762:I764"/>
    <mergeCell ref="I759:I761"/>
    <mergeCell ref="J759:J761"/>
    <mergeCell ref="K759:K761"/>
    <mergeCell ref="L759:L761"/>
    <mergeCell ref="M759:M761"/>
    <mergeCell ref="N759:N761"/>
    <mergeCell ref="N756:N758"/>
    <mergeCell ref="O756:O758"/>
    <mergeCell ref="Q756:Q758"/>
    <mergeCell ref="A759:A761"/>
    <mergeCell ref="B759:B761"/>
    <mergeCell ref="D759:D761"/>
    <mergeCell ref="E759:E761"/>
    <mergeCell ref="F759:F761"/>
    <mergeCell ref="G759:G761"/>
    <mergeCell ref="H759:H761"/>
    <mergeCell ref="H756:H758"/>
    <mergeCell ref="I756:I758"/>
    <mergeCell ref="J756:J758"/>
    <mergeCell ref="K756:K758"/>
    <mergeCell ref="L756:L758"/>
    <mergeCell ref="M756:M758"/>
    <mergeCell ref="A756:A758"/>
    <mergeCell ref="B756:B758"/>
    <mergeCell ref="D756:D758"/>
    <mergeCell ref="E756:E758"/>
    <mergeCell ref="F756:F758"/>
    <mergeCell ref="G756:G758"/>
    <mergeCell ref="K753:K755"/>
    <mergeCell ref="L753:L755"/>
    <mergeCell ref="M753:M755"/>
    <mergeCell ref="N753:N755"/>
    <mergeCell ref="O753:O755"/>
    <mergeCell ref="Q753:Q755"/>
    <mergeCell ref="Q750:Q752"/>
    <mergeCell ref="A753:A755"/>
    <mergeCell ref="B753:B755"/>
    <mergeCell ref="D753:D755"/>
    <mergeCell ref="E753:E755"/>
    <mergeCell ref="F753:F755"/>
    <mergeCell ref="G753:G755"/>
    <mergeCell ref="H753:H755"/>
    <mergeCell ref="I753:I755"/>
    <mergeCell ref="J753:J755"/>
    <mergeCell ref="J750:J752"/>
    <mergeCell ref="K750:K752"/>
    <mergeCell ref="L750:L752"/>
    <mergeCell ref="M750:M752"/>
    <mergeCell ref="N750:N752"/>
    <mergeCell ref="O750:O752"/>
    <mergeCell ref="O747:O749"/>
    <mergeCell ref="Q747:Q749"/>
    <mergeCell ref="A750:A752"/>
    <mergeCell ref="B750:B752"/>
    <mergeCell ref="D750:D752"/>
    <mergeCell ref="E750:E752"/>
    <mergeCell ref="F750:F752"/>
    <mergeCell ref="G750:G752"/>
    <mergeCell ref="H750:H752"/>
    <mergeCell ref="I750:I752"/>
    <mergeCell ref="Q744:Q746"/>
    <mergeCell ref="A747:A749"/>
    <mergeCell ref="D747:D749"/>
    <mergeCell ref="F747:F749"/>
    <mergeCell ref="G747:G749"/>
    <mergeCell ref="H747:H749"/>
    <mergeCell ref="L747:L749"/>
    <mergeCell ref="M747:M749"/>
    <mergeCell ref="N747:N749"/>
    <mergeCell ref="J744:J746"/>
    <mergeCell ref="K744:K746"/>
    <mergeCell ref="L744:L746"/>
    <mergeCell ref="M744:M746"/>
    <mergeCell ref="N744:N746"/>
    <mergeCell ref="O744:O746"/>
    <mergeCell ref="O741:O743"/>
    <mergeCell ref="Q741:Q743"/>
    <mergeCell ref="A744:A746"/>
    <mergeCell ref="B744:B746"/>
    <mergeCell ref="D744:D746"/>
    <mergeCell ref="E744:E746"/>
    <mergeCell ref="F744:F746"/>
    <mergeCell ref="G744:G746"/>
    <mergeCell ref="H744:H746"/>
    <mergeCell ref="I744:I746"/>
    <mergeCell ref="I741:I743"/>
    <mergeCell ref="J741:J743"/>
    <mergeCell ref="K741:K743"/>
    <mergeCell ref="L741:L743"/>
    <mergeCell ref="M741:M743"/>
    <mergeCell ref="N741:N743"/>
    <mergeCell ref="K747:K749"/>
    <mergeCell ref="N738:N740"/>
    <mergeCell ref="O738:O740"/>
    <mergeCell ref="Q738:Q740"/>
    <mergeCell ref="A741:A743"/>
    <mergeCell ref="B741:B743"/>
    <mergeCell ref="D741:D743"/>
    <mergeCell ref="E741:E743"/>
    <mergeCell ref="F741:F743"/>
    <mergeCell ref="G741:G743"/>
    <mergeCell ref="H741:H743"/>
    <mergeCell ref="H738:H740"/>
    <mergeCell ref="I738:I740"/>
    <mergeCell ref="J738:J740"/>
    <mergeCell ref="K738:K740"/>
    <mergeCell ref="L738:L740"/>
    <mergeCell ref="M738:M740"/>
    <mergeCell ref="A738:A740"/>
    <mergeCell ref="B738:B740"/>
    <mergeCell ref="D738:D740"/>
    <mergeCell ref="E738:E740"/>
    <mergeCell ref="F738:F740"/>
    <mergeCell ref="G738:G740"/>
    <mergeCell ref="K735:K737"/>
    <mergeCell ref="L735:L737"/>
    <mergeCell ref="M735:M737"/>
    <mergeCell ref="N735:N737"/>
    <mergeCell ref="O735:O737"/>
    <mergeCell ref="Q735:Q737"/>
    <mergeCell ref="Q732:Q734"/>
    <mergeCell ref="A735:A737"/>
    <mergeCell ref="B735:B737"/>
    <mergeCell ref="D735:D737"/>
    <mergeCell ref="E735:E737"/>
    <mergeCell ref="F735:F737"/>
    <mergeCell ref="G735:G737"/>
    <mergeCell ref="H735:H737"/>
    <mergeCell ref="I735:I737"/>
    <mergeCell ref="J735:J737"/>
    <mergeCell ref="J732:J734"/>
    <mergeCell ref="K732:K734"/>
    <mergeCell ref="L732:L734"/>
    <mergeCell ref="M732:M734"/>
    <mergeCell ref="N732:N734"/>
    <mergeCell ref="O732:O734"/>
    <mergeCell ref="O729:O731"/>
    <mergeCell ref="Q729:Q731"/>
    <mergeCell ref="A732:A734"/>
    <mergeCell ref="B732:B734"/>
    <mergeCell ref="D732:D734"/>
    <mergeCell ref="E732:E734"/>
    <mergeCell ref="F732:F734"/>
    <mergeCell ref="G732:G734"/>
    <mergeCell ref="H732:H734"/>
    <mergeCell ref="I732:I734"/>
    <mergeCell ref="I729:I731"/>
    <mergeCell ref="J729:J731"/>
    <mergeCell ref="K729:K731"/>
    <mergeCell ref="L729:L731"/>
    <mergeCell ref="M729:M731"/>
    <mergeCell ref="N729:N731"/>
    <mergeCell ref="N726:N728"/>
    <mergeCell ref="O726:O728"/>
    <mergeCell ref="Q726:Q728"/>
    <mergeCell ref="A729:A731"/>
    <mergeCell ref="B729:B731"/>
    <mergeCell ref="D729:D731"/>
    <mergeCell ref="E729:E731"/>
    <mergeCell ref="F729:F731"/>
    <mergeCell ref="G729:G731"/>
    <mergeCell ref="H729:H731"/>
    <mergeCell ref="H726:H728"/>
    <mergeCell ref="I726:I728"/>
    <mergeCell ref="J726:J728"/>
    <mergeCell ref="K726:K728"/>
    <mergeCell ref="L726:L728"/>
    <mergeCell ref="M726:M728"/>
    <mergeCell ref="A726:A728"/>
    <mergeCell ref="B726:B728"/>
    <mergeCell ref="D726:D728"/>
    <mergeCell ref="E726:E728"/>
    <mergeCell ref="F726:F728"/>
    <mergeCell ref="G726:G728"/>
    <mergeCell ref="K723:K725"/>
    <mergeCell ref="L723:L725"/>
    <mergeCell ref="M723:M725"/>
    <mergeCell ref="N723:N725"/>
    <mergeCell ref="O723:O725"/>
    <mergeCell ref="Q723:Q725"/>
    <mergeCell ref="Q720:Q722"/>
    <mergeCell ref="A723:A725"/>
    <mergeCell ref="B723:B725"/>
    <mergeCell ref="D723:D725"/>
    <mergeCell ref="E723:E725"/>
    <mergeCell ref="F723:F725"/>
    <mergeCell ref="G723:G725"/>
    <mergeCell ref="H723:H725"/>
    <mergeCell ref="I723:I725"/>
    <mergeCell ref="J723:J725"/>
    <mergeCell ref="J720:J722"/>
    <mergeCell ref="K720:K722"/>
    <mergeCell ref="L720:L722"/>
    <mergeCell ref="M720:M722"/>
    <mergeCell ref="N720:N722"/>
    <mergeCell ref="O720:O722"/>
    <mergeCell ref="O717:O719"/>
    <mergeCell ref="Q717:Q719"/>
    <mergeCell ref="A720:A722"/>
    <mergeCell ref="B720:B722"/>
    <mergeCell ref="D720:D722"/>
    <mergeCell ref="E720:E722"/>
    <mergeCell ref="F720:F722"/>
    <mergeCell ref="G720:G722"/>
    <mergeCell ref="H720:H722"/>
    <mergeCell ref="I720:I722"/>
    <mergeCell ref="I717:I719"/>
    <mergeCell ref="J717:J719"/>
    <mergeCell ref="K717:K719"/>
    <mergeCell ref="L717:L719"/>
    <mergeCell ref="M717:M719"/>
    <mergeCell ref="N717:N719"/>
    <mergeCell ref="N714:N716"/>
    <mergeCell ref="O714:O716"/>
    <mergeCell ref="Q714:Q716"/>
    <mergeCell ref="A717:A719"/>
    <mergeCell ref="B717:B719"/>
    <mergeCell ref="D717:D719"/>
    <mergeCell ref="E717:E719"/>
    <mergeCell ref="F717:F719"/>
    <mergeCell ref="G717:G719"/>
    <mergeCell ref="H717:H719"/>
    <mergeCell ref="H714:H716"/>
    <mergeCell ref="I714:I716"/>
    <mergeCell ref="J714:J716"/>
    <mergeCell ref="K714:K716"/>
    <mergeCell ref="L714:L716"/>
    <mergeCell ref="M714:M716"/>
    <mergeCell ref="A714:A716"/>
    <mergeCell ref="B714:B716"/>
    <mergeCell ref="D714:D716"/>
    <mergeCell ref="E714:E716"/>
    <mergeCell ref="F714:F716"/>
    <mergeCell ref="G714:G716"/>
    <mergeCell ref="K711:K713"/>
    <mergeCell ref="L711:L713"/>
    <mergeCell ref="M711:M713"/>
    <mergeCell ref="N711:N713"/>
    <mergeCell ref="O711:O713"/>
    <mergeCell ref="Q711:Q713"/>
    <mergeCell ref="Q708:Q710"/>
    <mergeCell ref="A711:A713"/>
    <mergeCell ref="B711:B713"/>
    <mergeCell ref="D711:D713"/>
    <mergeCell ref="E711:E713"/>
    <mergeCell ref="F711:F713"/>
    <mergeCell ref="G711:G713"/>
    <mergeCell ref="H711:H713"/>
    <mergeCell ref="I711:I713"/>
    <mergeCell ref="J711:J713"/>
    <mergeCell ref="J708:J710"/>
    <mergeCell ref="K708:K710"/>
    <mergeCell ref="L708:L710"/>
    <mergeCell ref="M708:M710"/>
    <mergeCell ref="N708:N710"/>
    <mergeCell ref="O708:O710"/>
    <mergeCell ref="O705:O707"/>
    <mergeCell ref="Q705:Q707"/>
    <mergeCell ref="A708:A710"/>
    <mergeCell ref="B708:B710"/>
    <mergeCell ref="D708:D710"/>
    <mergeCell ref="E708:E710"/>
    <mergeCell ref="F708:F710"/>
    <mergeCell ref="G708:G710"/>
    <mergeCell ref="H708:H710"/>
    <mergeCell ref="I708:I710"/>
    <mergeCell ref="I705:I707"/>
    <mergeCell ref="J705:J707"/>
    <mergeCell ref="K705:K707"/>
    <mergeCell ref="L705:L707"/>
    <mergeCell ref="M705:M707"/>
    <mergeCell ref="N705:N707"/>
    <mergeCell ref="N702:N704"/>
    <mergeCell ref="O702:O704"/>
    <mergeCell ref="Q702:Q704"/>
    <mergeCell ref="A705:A707"/>
    <mergeCell ref="B705:B707"/>
    <mergeCell ref="D705:D707"/>
    <mergeCell ref="E705:E707"/>
    <mergeCell ref="F705:F707"/>
    <mergeCell ref="G705:G707"/>
    <mergeCell ref="H705:H707"/>
    <mergeCell ref="H702:H704"/>
    <mergeCell ref="I702:I704"/>
    <mergeCell ref="J702:J704"/>
    <mergeCell ref="K702:K704"/>
    <mergeCell ref="L702:L704"/>
    <mergeCell ref="M702:M704"/>
    <mergeCell ref="A702:A704"/>
    <mergeCell ref="B702:B704"/>
    <mergeCell ref="D702:D704"/>
    <mergeCell ref="E702:E704"/>
    <mergeCell ref="F702:F704"/>
    <mergeCell ref="G702:G704"/>
    <mergeCell ref="K699:K701"/>
    <mergeCell ref="L699:L701"/>
    <mergeCell ref="M699:M701"/>
    <mergeCell ref="N699:N701"/>
    <mergeCell ref="O699:O701"/>
    <mergeCell ref="Q699:Q701"/>
    <mergeCell ref="Q696:Q698"/>
    <mergeCell ref="A699:A701"/>
    <mergeCell ref="B699:B701"/>
    <mergeCell ref="D699:D701"/>
    <mergeCell ref="E699:E701"/>
    <mergeCell ref="F699:F701"/>
    <mergeCell ref="G699:G701"/>
    <mergeCell ref="H699:H701"/>
    <mergeCell ref="I699:I701"/>
    <mergeCell ref="J699:J701"/>
    <mergeCell ref="J696:J698"/>
    <mergeCell ref="K696:K698"/>
    <mergeCell ref="L696:L698"/>
    <mergeCell ref="M696:M698"/>
    <mergeCell ref="N696:N698"/>
    <mergeCell ref="O696:O698"/>
    <mergeCell ref="O693:O695"/>
    <mergeCell ref="Q693:Q695"/>
    <mergeCell ref="A696:A698"/>
    <mergeCell ref="B696:B698"/>
    <mergeCell ref="D696:D698"/>
    <mergeCell ref="E696:E698"/>
    <mergeCell ref="F696:F698"/>
    <mergeCell ref="G696:G698"/>
    <mergeCell ref="H696:H698"/>
    <mergeCell ref="I696:I698"/>
    <mergeCell ref="I693:I695"/>
    <mergeCell ref="J693:J695"/>
    <mergeCell ref="K693:K695"/>
    <mergeCell ref="L693:L695"/>
    <mergeCell ref="M693:M695"/>
    <mergeCell ref="N693:N695"/>
    <mergeCell ref="N690:N692"/>
    <mergeCell ref="O690:O692"/>
    <mergeCell ref="Q690:Q692"/>
    <mergeCell ref="A693:A695"/>
    <mergeCell ref="B693:B695"/>
    <mergeCell ref="D693:D695"/>
    <mergeCell ref="E693:E695"/>
    <mergeCell ref="F693:F695"/>
    <mergeCell ref="G693:G695"/>
    <mergeCell ref="H693:H695"/>
    <mergeCell ref="H690:H692"/>
    <mergeCell ref="I690:I692"/>
    <mergeCell ref="J690:J692"/>
    <mergeCell ref="K690:K692"/>
    <mergeCell ref="L690:L692"/>
    <mergeCell ref="M690:M692"/>
    <mergeCell ref="A690:A692"/>
    <mergeCell ref="B690:B692"/>
    <mergeCell ref="D690:D692"/>
    <mergeCell ref="E690:E692"/>
    <mergeCell ref="F690:F692"/>
    <mergeCell ref="G690:G692"/>
    <mergeCell ref="K687:K689"/>
    <mergeCell ref="L687:L689"/>
    <mergeCell ref="M687:M689"/>
    <mergeCell ref="N687:N689"/>
    <mergeCell ref="O687:O689"/>
    <mergeCell ref="Q687:Q689"/>
    <mergeCell ref="Q684:Q686"/>
    <mergeCell ref="A687:A689"/>
    <mergeCell ref="B687:B689"/>
    <mergeCell ref="D687:D689"/>
    <mergeCell ref="E687:E689"/>
    <mergeCell ref="F687:F689"/>
    <mergeCell ref="G687:G689"/>
    <mergeCell ref="H687:H689"/>
    <mergeCell ref="I687:I689"/>
    <mergeCell ref="J687:J689"/>
    <mergeCell ref="J684:J686"/>
    <mergeCell ref="K684:K686"/>
    <mergeCell ref="L684:L686"/>
    <mergeCell ref="M684:M686"/>
    <mergeCell ref="N684:N686"/>
    <mergeCell ref="O684:O686"/>
    <mergeCell ref="O681:O683"/>
    <mergeCell ref="Q681:Q683"/>
    <mergeCell ref="A684:A686"/>
    <mergeCell ref="B684:B686"/>
    <mergeCell ref="D684:D686"/>
    <mergeCell ref="E684:E686"/>
    <mergeCell ref="F684:F686"/>
    <mergeCell ref="G684:G686"/>
    <mergeCell ref="H684:H686"/>
    <mergeCell ref="I684:I686"/>
    <mergeCell ref="I681:I683"/>
    <mergeCell ref="J681:J683"/>
    <mergeCell ref="K681:K683"/>
    <mergeCell ref="L681:L683"/>
    <mergeCell ref="M681:M683"/>
    <mergeCell ref="N681:N683"/>
    <mergeCell ref="N678:N680"/>
    <mergeCell ref="O678:O680"/>
    <mergeCell ref="Q678:Q680"/>
    <mergeCell ref="A681:A683"/>
    <mergeCell ref="B681:B683"/>
    <mergeCell ref="D681:D683"/>
    <mergeCell ref="E681:E683"/>
    <mergeCell ref="F681:F683"/>
    <mergeCell ref="G681:G683"/>
    <mergeCell ref="H681:H683"/>
    <mergeCell ref="H678:H680"/>
    <mergeCell ref="I678:I680"/>
    <mergeCell ref="J678:J680"/>
    <mergeCell ref="K678:K680"/>
    <mergeCell ref="L678:L680"/>
    <mergeCell ref="M678:M680"/>
    <mergeCell ref="A678:A680"/>
    <mergeCell ref="B678:B680"/>
    <mergeCell ref="D678:D680"/>
    <mergeCell ref="E678:E680"/>
    <mergeCell ref="F678:F680"/>
    <mergeCell ref="G678:G680"/>
    <mergeCell ref="K675:K677"/>
    <mergeCell ref="L675:L677"/>
    <mergeCell ref="M675:M677"/>
    <mergeCell ref="N675:N677"/>
    <mergeCell ref="O675:O677"/>
    <mergeCell ref="Q675:Q677"/>
    <mergeCell ref="Q672:Q674"/>
    <mergeCell ref="A675:A677"/>
    <mergeCell ref="B675:B677"/>
    <mergeCell ref="D675:D677"/>
    <mergeCell ref="E675:E677"/>
    <mergeCell ref="F675:F677"/>
    <mergeCell ref="G675:G677"/>
    <mergeCell ref="H675:H677"/>
    <mergeCell ref="I675:I677"/>
    <mergeCell ref="J675:J677"/>
    <mergeCell ref="J672:J674"/>
    <mergeCell ref="K672:K674"/>
    <mergeCell ref="L672:L674"/>
    <mergeCell ref="M672:M674"/>
    <mergeCell ref="N672:N674"/>
    <mergeCell ref="O672:O674"/>
    <mergeCell ref="O669:O671"/>
    <mergeCell ref="Q669:Q671"/>
    <mergeCell ref="A672:A674"/>
    <mergeCell ref="B672:B674"/>
    <mergeCell ref="D672:D674"/>
    <mergeCell ref="E672:E674"/>
    <mergeCell ref="F672:F674"/>
    <mergeCell ref="G672:G674"/>
    <mergeCell ref="H672:H674"/>
    <mergeCell ref="I672:I674"/>
    <mergeCell ref="I669:I671"/>
    <mergeCell ref="J669:J671"/>
    <mergeCell ref="K669:K671"/>
    <mergeCell ref="L669:L671"/>
    <mergeCell ref="M669:M671"/>
    <mergeCell ref="N669:N671"/>
    <mergeCell ref="N666:N668"/>
    <mergeCell ref="O666:O668"/>
    <mergeCell ref="Q666:Q668"/>
    <mergeCell ref="A669:A671"/>
    <mergeCell ref="B669:B671"/>
    <mergeCell ref="D669:D671"/>
    <mergeCell ref="E669:E671"/>
    <mergeCell ref="F669:F671"/>
    <mergeCell ref="G669:G671"/>
    <mergeCell ref="H669:H671"/>
    <mergeCell ref="H666:H668"/>
    <mergeCell ref="I666:I668"/>
    <mergeCell ref="J666:J668"/>
    <mergeCell ref="K666:K668"/>
    <mergeCell ref="L666:L668"/>
    <mergeCell ref="M666:M668"/>
    <mergeCell ref="A666:A668"/>
    <mergeCell ref="B666:B668"/>
    <mergeCell ref="D666:D668"/>
    <mergeCell ref="E666:E668"/>
    <mergeCell ref="F666:F668"/>
    <mergeCell ref="G666:G668"/>
    <mergeCell ref="K663:K665"/>
    <mergeCell ref="L663:L665"/>
    <mergeCell ref="M663:M665"/>
    <mergeCell ref="N663:N665"/>
    <mergeCell ref="O663:O665"/>
    <mergeCell ref="Q663:Q665"/>
    <mergeCell ref="Q660:Q662"/>
    <mergeCell ref="A663:A665"/>
    <mergeCell ref="B663:B665"/>
    <mergeCell ref="D663:D665"/>
    <mergeCell ref="E663:E665"/>
    <mergeCell ref="F663:F665"/>
    <mergeCell ref="G663:G665"/>
    <mergeCell ref="H663:H665"/>
    <mergeCell ref="I663:I665"/>
    <mergeCell ref="J663:J665"/>
    <mergeCell ref="J660:J662"/>
    <mergeCell ref="K660:K662"/>
    <mergeCell ref="L660:L662"/>
    <mergeCell ref="M660:M662"/>
    <mergeCell ref="N660:N662"/>
    <mergeCell ref="O660:O662"/>
    <mergeCell ref="O657:O659"/>
    <mergeCell ref="Q657:Q659"/>
    <mergeCell ref="A660:A662"/>
    <mergeCell ref="B660:B662"/>
    <mergeCell ref="D660:D662"/>
    <mergeCell ref="E660:E662"/>
    <mergeCell ref="F660:F662"/>
    <mergeCell ref="G660:G662"/>
    <mergeCell ref="H660:H662"/>
    <mergeCell ref="I660:I662"/>
    <mergeCell ref="I657:I659"/>
    <mergeCell ref="J657:J659"/>
    <mergeCell ref="K657:K659"/>
    <mergeCell ref="L657:L659"/>
    <mergeCell ref="M657:M659"/>
    <mergeCell ref="N657:N659"/>
    <mergeCell ref="N654:N656"/>
    <mergeCell ref="O654:O656"/>
    <mergeCell ref="Q654:Q656"/>
    <mergeCell ref="A657:A659"/>
    <mergeCell ref="B657:B659"/>
    <mergeCell ref="D657:D659"/>
    <mergeCell ref="E657:E659"/>
    <mergeCell ref="F657:F659"/>
    <mergeCell ref="G657:G659"/>
    <mergeCell ref="H657:H659"/>
    <mergeCell ref="H654:H656"/>
    <mergeCell ref="I654:I656"/>
    <mergeCell ref="J654:J656"/>
    <mergeCell ref="K654:K656"/>
    <mergeCell ref="L654:L656"/>
    <mergeCell ref="M654:M656"/>
    <mergeCell ref="A654:A656"/>
    <mergeCell ref="B654:B656"/>
    <mergeCell ref="D654:D656"/>
    <mergeCell ref="E654:E656"/>
    <mergeCell ref="F654:F656"/>
    <mergeCell ref="G654:G656"/>
    <mergeCell ref="K651:K653"/>
    <mergeCell ref="L651:L653"/>
    <mergeCell ref="M651:M653"/>
    <mergeCell ref="N651:N653"/>
    <mergeCell ref="O651:O653"/>
    <mergeCell ref="Q651:Q653"/>
    <mergeCell ref="Q648:Q650"/>
    <mergeCell ref="A651:A653"/>
    <mergeCell ref="B651:B653"/>
    <mergeCell ref="D651:D653"/>
    <mergeCell ref="E651:E653"/>
    <mergeCell ref="F651:F653"/>
    <mergeCell ref="G651:G653"/>
    <mergeCell ref="H651:H653"/>
    <mergeCell ref="I651:I653"/>
    <mergeCell ref="J651:J653"/>
    <mergeCell ref="J648:J650"/>
    <mergeCell ref="K648:K650"/>
    <mergeCell ref="L648:L650"/>
    <mergeCell ref="M648:M650"/>
    <mergeCell ref="N648:N650"/>
    <mergeCell ref="O648:O650"/>
    <mergeCell ref="O645:O647"/>
    <mergeCell ref="Q645:Q647"/>
    <mergeCell ref="A648:A650"/>
    <mergeCell ref="B648:B650"/>
    <mergeCell ref="D648:D650"/>
    <mergeCell ref="E648:E650"/>
    <mergeCell ref="F648:F650"/>
    <mergeCell ref="G648:G650"/>
    <mergeCell ref="H648:H650"/>
    <mergeCell ref="I648:I650"/>
    <mergeCell ref="I645:I647"/>
    <mergeCell ref="J645:J647"/>
    <mergeCell ref="K645:K647"/>
    <mergeCell ref="L645:L647"/>
    <mergeCell ref="M645:M647"/>
    <mergeCell ref="N645:N647"/>
    <mergeCell ref="N642:N644"/>
    <mergeCell ref="O642:O644"/>
    <mergeCell ref="Q642:Q644"/>
    <mergeCell ref="A645:A647"/>
    <mergeCell ref="B645:B647"/>
    <mergeCell ref="D645:D647"/>
    <mergeCell ref="E645:E647"/>
    <mergeCell ref="F645:F647"/>
    <mergeCell ref="G645:G647"/>
    <mergeCell ref="H645:H647"/>
    <mergeCell ref="H642:H644"/>
    <mergeCell ref="I642:I644"/>
    <mergeCell ref="J642:J644"/>
    <mergeCell ref="K642:K644"/>
    <mergeCell ref="L642:L644"/>
    <mergeCell ref="M642:M644"/>
    <mergeCell ref="A642:A644"/>
    <mergeCell ref="B642:B644"/>
    <mergeCell ref="D642:D644"/>
    <mergeCell ref="E642:E644"/>
    <mergeCell ref="F642:F644"/>
    <mergeCell ref="G642:G644"/>
    <mergeCell ref="K639:K641"/>
    <mergeCell ref="L639:L641"/>
    <mergeCell ref="M639:M641"/>
    <mergeCell ref="N639:N641"/>
    <mergeCell ref="O639:O641"/>
    <mergeCell ref="Q639:Q641"/>
    <mergeCell ref="Q636:Q638"/>
    <mergeCell ref="A639:A641"/>
    <mergeCell ref="B639:B641"/>
    <mergeCell ref="D639:D641"/>
    <mergeCell ref="E639:E641"/>
    <mergeCell ref="F639:F641"/>
    <mergeCell ref="G639:G641"/>
    <mergeCell ref="H639:H641"/>
    <mergeCell ref="I639:I641"/>
    <mergeCell ref="J639:J641"/>
    <mergeCell ref="J636:J638"/>
    <mergeCell ref="K636:K638"/>
    <mergeCell ref="L636:L638"/>
    <mergeCell ref="M636:M638"/>
    <mergeCell ref="N636:N638"/>
    <mergeCell ref="O636:O638"/>
    <mergeCell ref="O633:O635"/>
    <mergeCell ref="Q633:Q635"/>
    <mergeCell ref="A636:A638"/>
    <mergeCell ref="B636:B638"/>
    <mergeCell ref="D636:D638"/>
    <mergeCell ref="E636:E638"/>
    <mergeCell ref="F636:F638"/>
    <mergeCell ref="G636:G638"/>
    <mergeCell ref="H636:H638"/>
    <mergeCell ref="I636:I638"/>
    <mergeCell ref="I633:I635"/>
    <mergeCell ref="J633:J635"/>
    <mergeCell ref="K633:K635"/>
    <mergeCell ref="L633:L635"/>
    <mergeCell ref="M633:M635"/>
    <mergeCell ref="N633:N635"/>
    <mergeCell ref="N630:N632"/>
    <mergeCell ref="O630:O632"/>
    <mergeCell ref="Q630:Q632"/>
    <mergeCell ref="A633:A635"/>
    <mergeCell ref="B633:B635"/>
    <mergeCell ref="D633:D635"/>
    <mergeCell ref="E633:E635"/>
    <mergeCell ref="F633:F635"/>
    <mergeCell ref="G633:G635"/>
    <mergeCell ref="H633:H635"/>
    <mergeCell ref="H630:H632"/>
    <mergeCell ref="I630:I632"/>
    <mergeCell ref="J630:J632"/>
    <mergeCell ref="K630:K632"/>
    <mergeCell ref="L630:L632"/>
    <mergeCell ref="M630:M632"/>
    <mergeCell ref="A630:A632"/>
    <mergeCell ref="B630:B632"/>
    <mergeCell ref="D630:D632"/>
    <mergeCell ref="E630:E632"/>
    <mergeCell ref="F630:F632"/>
    <mergeCell ref="G630:G632"/>
    <mergeCell ref="K627:K629"/>
    <mergeCell ref="L627:L629"/>
    <mergeCell ref="M627:M629"/>
    <mergeCell ref="N627:N629"/>
    <mergeCell ref="O627:O629"/>
    <mergeCell ref="Q627:Q629"/>
    <mergeCell ref="Q624:Q626"/>
    <mergeCell ref="A627:A629"/>
    <mergeCell ref="B627:B629"/>
    <mergeCell ref="D627:D629"/>
    <mergeCell ref="E627:E629"/>
    <mergeCell ref="F627:F629"/>
    <mergeCell ref="G627:G629"/>
    <mergeCell ref="H627:H629"/>
    <mergeCell ref="I627:I629"/>
    <mergeCell ref="J627:J629"/>
    <mergeCell ref="J624:J626"/>
    <mergeCell ref="K624:K626"/>
    <mergeCell ref="L624:L626"/>
    <mergeCell ref="M624:M626"/>
    <mergeCell ref="N624:N626"/>
    <mergeCell ref="O624:O626"/>
    <mergeCell ref="O621:O623"/>
    <mergeCell ref="Q621:Q623"/>
    <mergeCell ref="A624:A626"/>
    <mergeCell ref="B624:B626"/>
    <mergeCell ref="D624:D626"/>
    <mergeCell ref="E624:E626"/>
    <mergeCell ref="F624:F626"/>
    <mergeCell ref="G624:G626"/>
    <mergeCell ref="H624:H626"/>
    <mergeCell ref="I624:I626"/>
    <mergeCell ref="I621:I623"/>
    <mergeCell ref="J621:J623"/>
    <mergeCell ref="K621:K623"/>
    <mergeCell ref="L621:L623"/>
    <mergeCell ref="M621:M623"/>
    <mergeCell ref="N621:N623"/>
    <mergeCell ref="N618:N620"/>
    <mergeCell ref="O618:O620"/>
    <mergeCell ref="Q618:Q620"/>
    <mergeCell ref="A621:A623"/>
    <mergeCell ref="B621:B623"/>
    <mergeCell ref="D621:D623"/>
    <mergeCell ref="E621:E623"/>
    <mergeCell ref="F621:F623"/>
    <mergeCell ref="G621:G623"/>
    <mergeCell ref="H621:H623"/>
    <mergeCell ref="H618:H620"/>
    <mergeCell ref="I618:I620"/>
    <mergeCell ref="J618:J620"/>
    <mergeCell ref="K618:K620"/>
    <mergeCell ref="L618:L620"/>
    <mergeCell ref="M618:M620"/>
    <mergeCell ref="A618:A620"/>
    <mergeCell ref="B618:B620"/>
    <mergeCell ref="D618:D620"/>
    <mergeCell ref="E618:E620"/>
    <mergeCell ref="F618:F620"/>
    <mergeCell ref="G618:G620"/>
    <mergeCell ref="K615:K617"/>
    <mergeCell ref="L615:L617"/>
    <mergeCell ref="M615:M617"/>
    <mergeCell ref="N615:N617"/>
    <mergeCell ref="O615:O617"/>
    <mergeCell ref="Q615:Q617"/>
    <mergeCell ref="Q612:Q614"/>
    <mergeCell ref="A615:A617"/>
    <mergeCell ref="B615:B617"/>
    <mergeCell ref="D615:D617"/>
    <mergeCell ref="E615:E617"/>
    <mergeCell ref="F615:F617"/>
    <mergeCell ref="G615:G617"/>
    <mergeCell ref="H615:H617"/>
    <mergeCell ref="I615:I617"/>
    <mergeCell ref="J615:J617"/>
    <mergeCell ref="J612:J614"/>
    <mergeCell ref="K612:K614"/>
    <mergeCell ref="L612:L614"/>
    <mergeCell ref="M612:M614"/>
    <mergeCell ref="N612:N614"/>
    <mergeCell ref="O612:O614"/>
    <mergeCell ref="O609:O611"/>
    <mergeCell ref="Q609:Q611"/>
    <mergeCell ref="A612:A614"/>
    <mergeCell ref="B612:B614"/>
    <mergeCell ref="D612:D614"/>
    <mergeCell ref="E612:E614"/>
    <mergeCell ref="F612:F614"/>
    <mergeCell ref="G612:G614"/>
    <mergeCell ref="H612:H614"/>
    <mergeCell ref="I612:I614"/>
    <mergeCell ref="I609:I611"/>
    <mergeCell ref="J609:J611"/>
    <mergeCell ref="K609:K611"/>
    <mergeCell ref="L609:L611"/>
    <mergeCell ref="M609:M611"/>
    <mergeCell ref="N609:N611"/>
    <mergeCell ref="N606:N608"/>
    <mergeCell ref="O606:O608"/>
    <mergeCell ref="Q606:Q608"/>
    <mergeCell ref="A609:A611"/>
    <mergeCell ref="B609:B611"/>
    <mergeCell ref="D609:D611"/>
    <mergeCell ref="E609:E611"/>
    <mergeCell ref="F609:F611"/>
    <mergeCell ref="G609:G611"/>
    <mergeCell ref="H609:H611"/>
    <mergeCell ref="H606:H608"/>
    <mergeCell ref="I606:I608"/>
    <mergeCell ref="J606:J608"/>
    <mergeCell ref="K606:K608"/>
    <mergeCell ref="L606:L608"/>
    <mergeCell ref="M606:M608"/>
    <mergeCell ref="A606:A608"/>
    <mergeCell ref="B606:B608"/>
    <mergeCell ref="D606:D608"/>
    <mergeCell ref="E606:E608"/>
    <mergeCell ref="F606:F608"/>
    <mergeCell ref="G606:G608"/>
    <mergeCell ref="K603:K605"/>
    <mergeCell ref="L603:L605"/>
    <mergeCell ref="M603:M605"/>
    <mergeCell ref="N603:N605"/>
    <mergeCell ref="O603:O605"/>
    <mergeCell ref="Q603:Q605"/>
    <mergeCell ref="Q600:Q602"/>
    <mergeCell ref="A603:A605"/>
    <mergeCell ref="B603:B605"/>
    <mergeCell ref="D603:D605"/>
    <mergeCell ref="E603:E605"/>
    <mergeCell ref="F603:F605"/>
    <mergeCell ref="G603:G605"/>
    <mergeCell ref="H603:H605"/>
    <mergeCell ref="I603:I605"/>
    <mergeCell ref="J603:J605"/>
    <mergeCell ref="J600:J602"/>
    <mergeCell ref="K600:K602"/>
    <mergeCell ref="L600:L602"/>
    <mergeCell ref="M600:M602"/>
    <mergeCell ref="N600:N602"/>
    <mergeCell ref="O600:O602"/>
    <mergeCell ref="O597:O599"/>
    <mergeCell ref="Q597:Q599"/>
    <mergeCell ref="A600:A602"/>
    <mergeCell ref="B600:B602"/>
    <mergeCell ref="D600:D602"/>
    <mergeCell ref="E600:E602"/>
    <mergeCell ref="F600:F602"/>
    <mergeCell ref="G600:G602"/>
    <mergeCell ref="H600:H602"/>
    <mergeCell ref="I600:I602"/>
    <mergeCell ref="I597:I599"/>
    <mergeCell ref="J597:J599"/>
    <mergeCell ref="K597:K599"/>
    <mergeCell ref="L597:L599"/>
    <mergeCell ref="M597:M599"/>
    <mergeCell ref="N597:N599"/>
    <mergeCell ref="N594:N596"/>
    <mergeCell ref="O594:O596"/>
    <mergeCell ref="Q594:Q596"/>
    <mergeCell ref="A597:A599"/>
    <mergeCell ref="B597:B599"/>
    <mergeCell ref="D597:D599"/>
    <mergeCell ref="E597:E599"/>
    <mergeCell ref="F597:F599"/>
    <mergeCell ref="G597:G599"/>
    <mergeCell ref="H597:H599"/>
    <mergeCell ref="H594:H596"/>
    <mergeCell ref="I594:I596"/>
    <mergeCell ref="J594:J596"/>
    <mergeCell ref="K594:K596"/>
    <mergeCell ref="L594:L596"/>
    <mergeCell ref="M594:M596"/>
    <mergeCell ref="N590:N592"/>
    <mergeCell ref="O590:O592"/>
    <mergeCell ref="Q590:Q592"/>
    <mergeCell ref="A593:Q593"/>
    <mergeCell ref="A594:A596"/>
    <mergeCell ref="B594:B596"/>
    <mergeCell ref="D594:D596"/>
    <mergeCell ref="E594:E596"/>
    <mergeCell ref="F594:F596"/>
    <mergeCell ref="G594:G596"/>
    <mergeCell ref="H590:H592"/>
    <mergeCell ref="I590:I592"/>
    <mergeCell ref="J590:J592"/>
    <mergeCell ref="K590:K592"/>
    <mergeCell ref="L590:L592"/>
    <mergeCell ref="M590:M592"/>
    <mergeCell ref="A590:A592"/>
    <mergeCell ref="B590:B592"/>
    <mergeCell ref="D590:D592"/>
    <mergeCell ref="E590:E592"/>
    <mergeCell ref="F590:F592"/>
    <mergeCell ref="G590:G592"/>
    <mergeCell ref="K587:K589"/>
    <mergeCell ref="L587:L589"/>
    <mergeCell ref="M587:M589"/>
    <mergeCell ref="N587:N589"/>
    <mergeCell ref="O587:O589"/>
    <mergeCell ref="Q587:Q589"/>
    <mergeCell ref="Q584:Q586"/>
    <mergeCell ref="A587:A589"/>
    <mergeCell ref="B587:B589"/>
    <mergeCell ref="D587:D589"/>
    <mergeCell ref="E587:E589"/>
    <mergeCell ref="F587:F589"/>
    <mergeCell ref="G587:G589"/>
    <mergeCell ref="H587:H589"/>
    <mergeCell ref="I587:I589"/>
    <mergeCell ref="J587:J589"/>
    <mergeCell ref="J584:J586"/>
    <mergeCell ref="K584:K586"/>
    <mergeCell ref="L584:L586"/>
    <mergeCell ref="M584:M586"/>
    <mergeCell ref="N584:N586"/>
    <mergeCell ref="O584:O586"/>
    <mergeCell ref="O581:O583"/>
    <mergeCell ref="Q581:Q583"/>
    <mergeCell ref="A584:A586"/>
    <mergeCell ref="B584:B586"/>
    <mergeCell ref="D584:D586"/>
    <mergeCell ref="E584:E586"/>
    <mergeCell ref="F584:F586"/>
    <mergeCell ref="G584:G586"/>
    <mergeCell ref="H584:H586"/>
    <mergeCell ref="I584:I586"/>
    <mergeCell ref="I581:I583"/>
    <mergeCell ref="J581:J583"/>
    <mergeCell ref="K581:K583"/>
    <mergeCell ref="L581:L583"/>
    <mergeCell ref="M581:M583"/>
    <mergeCell ref="N581:N583"/>
    <mergeCell ref="N578:N580"/>
    <mergeCell ref="O578:O580"/>
    <mergeCell ref="Q578:Q580"/>
    <mergeCell ref="A581:A583"/>
    <mergeCell ref="B581:B583"/>
    <mergeCell ref="D581:D583"/>
    <mergeCell ref="E581:E583"/>
    <mergeCell ref="F581:F583"/>
    <mergeCell ref="G581:G583"/>
    <mergeCell ref="H581:H583"/>
    <mergeCell ref="H578:H580"/>
    <mergeCell ref="I578:I579"/>
    <mergeCell ref="J578:J579"/>
    <mergeCell ref="K578:K580"/>
    <mergeCell ref="L578:L580"/>
    <mergeCell ref="M578:M580"/>
    <mergeCell ref="A578:A580"/>
    <mergeCell ref="B578:B579"/>
    <mergeCell ref="D578:D580"/>
    <mergeCell ref="E578:E579"/>
    <mergeCell ref="F578:F580"/>
    <mergeCell ref="G578:G580"/>
    <mergeCell ref="K575:K577"/>
    <mergeCell ref="L575:L577"/>
    <mergeCell ref="M575:M577"/>
    <mergeCell ref="N575:N577"/>
    <mergeCell ref="O575:O577"/>
    <mergeCell ref="Q575:Q577"/>
    <mergeCell ref="Q572:Q574"/>
    <mergeCell ref="A575:A577"/>
    <mergeCell ref="B575:B577"/>
    <mergeCell ref="D575:D577"/>
    <mergeCell ref="E575:E577"/>
    <mergeCell ref="F575:F577"/>
    <mergeCell ref="G575:G577"/>
    <mergeCell ref="H575:H577"/>
    <mergeCell ref="I575:I577"/>
    <mergeCell ref="J575:J577"/>
    <mergeCell ref="J572:J574"/>
    <mergeCell ref="K572:K574"/>
    <mergeCell ref="L572:L574"/>
    <mergeCell ref="M572:M574"/>
    <mergeCell ref="N572:N574"/>
    <mergeCell ref="O572:O574"/>
    <mergeCell ref="O569:O571"/>
    <mergeCell ref="Q569:Q571"/>
    <mergeCell ref="A572:A574"/>
    <mergeCell ref="B572:B574"/>
    <mergeCell ref="D572:D574"/>
    <mergeCell ref="E572:E574"/>
    <mergeCell ref="F572:F574"/>
    <mergeCell ref="G572:G574"/>
    <mergeCell ref="H572:H574"/>
    <mergeCell ref="I572:I574"/>
    <mergeCell ref="I569:I571"/>
    <mergeCell ref="J569:J571"/>
    <mergeCell ref="K569:K571"/>
    <mergeCell ref="L569:L571"/>
    <mergeCell ref="M569:M571"/>
    <mergeCell ref="N569:N571"/>
    <mergeCell ref="N566:N568"/>
    <mergeCell ref="O566:O568"/>
    <mergeCell ref="Q566:Q568"/>
    <mergeCell ref="A569:A571"/>
    <mergeCell ref="B569:B571"/>
    <mergeCell ref="D569:D571"/>
    <mergeCell ref="E569:E571"/>
    <mergeCell ref="F569:F571"/>
    <mergeCell ref="G569:G571"/>
    <mergeCell ref="H569:H571"/>
    <mergeCell ref="H566:H568"/>
    <mergeCell ref="I566:I568"/>
    <mergeCell ref="J566:J568"/>
    <mergeCell ref="K566:K568"/>
    <mergeCell ref="L566:L568"/>
    <mergeCell ref="M566:M568"/>
    <mergeCell ref="A566:A568"/>
    <mergeCell ref="B566:B568"/>
    <mergeCell ref="D566:D568"/>
    <mergeCell ref="E566:E568"/>
    <mergeCell ref="F566:F568"/>
    <mergeCell ref="G566:G568"/>
    <mergeCell ref="K563:K565"/>
    <mergeCell ref="L563:L565"/>
    <mergeCell ref="M563:M565"/>
    <mergeCell ref="N563:N565"/>
    <mergeCell ref="O563:O565"/>
    <mergeCell ref="Q563:Q565"/>
    <mergeCell ref="Q560:Q562"/>
    <mergeCell ref="A563:A565"/>
    <mergeCell ref="B563:B565"/>
    <mergeCell ref="D563:D565"/>
    <mergeCell ref="E563:E565"/>
    <mergeCell ref="F563:F565"/>
    <mergeCell ref="G563:G565"/>
    <mergeCell ref="H563:H565"/>
    <mergeCell ref="I563:I565"/>
    <mergeCell ref="J563:J565"/>
    <mergeCell ref="J560:J562"/>
    <mergeCell ref="K560:K562"/>
    <mergeCell ref="L560:L562"/>
    <mergeCell ref="M560:M562"/>
    <mergeCell ref="N560:N562"/>
    <mergeCell ref="O560:O562"/>
    <mergeCell ref="O557:O559"/>
    <mergeCell ref="Q557:Q559"/>
    <mergeCell ref="A560:A562"/>
    <mergeCell ref="B560:B562"/>
    <mergeCell ref="D560:D562"/>
    <mergeCell ref="E560:E562"/>
    <mergeCell ref="F560:F562"/>
    <mergeCell ref="G560:G562"/>
    <mergeCell ref="H560:H562"/>
    <mergeCell ref="I560:I562"/>
    <mergeCell ref="I557:I559"/>
    <mergeCell ref="J557:J559"/>
    <mergeCell ref="K557:K559"/>
    <mergeCell ref="L557:L559"/>
    <mergeCell ref="M557:M559"/>
    <mergeCell ref="N557:N559"/>
    <mergeCell ref="O553:O555"/>
    <mergeCell ref="Q553:Q555"/>
    <mergeCell ref="A556:Q556"/>
    <mergeCell ref="A557:A559"/>
    <mergeCell ref="B557:B559"/>
    <mergeCell ref="D557:D559"/>
    <mergeCell ref="E557:E559"/>
    <mergeCell ref="F557:F559"/>
    <mergeCell ref="G557:G559"/>
    <mergeCell ref="H557:H559"/>
    <mergeCell ref="I553:I555"/>
    <mergeCell ref="J553:J555"/>
    <mergeCell ref="K553:K555"/>
    <mergeCell ref="L553:L555"/>
    <mergeCell ref="M553:M555"/>
    <mergeCell ref="N553:N555"/>
    <mergeCell ref="N550:N552"/>
    <mergeCell ref="O550:O552"/>
    <mergeCell ref="Q550:Q552"/>
    <mergeCell ref="A553:A555"/>
    <mergeCell ref="B553:B555"/>
    <mergeCell ref="D553:D555"/>
    <mergeCell ref="E553:E555"/>
    <mergeCell ref="F553:F555"/>
    <mergeCell ref="G553:G555"/>
    <mergeCell ref="H553:H555"/>
    <mergeCell ref="H550:H552"/>
    <mergeCell ref="I550:I551"/>
    <mergeCell ref="J550:J551"/>
    <mergeCell ref="K550:K552"/>
    <mergeCell ref="L550:L552"/>
    <mergeCell ref="M550:M552"/>
    <mergeCell ref="A550:A552"/>
    <mergeCell ref="B550:B551"/>
    <mergeCell ref="D550:D552"/>
    <mergeCell ref="E550:E551"/>
    <mergeCell ref="F550:F552"/>
    <mergeCell ref="G550:G552"/>
    <mergeCell ref="K547:K549"/>
    <mergeCell ref="L547:L549"/>
    <mergeCell ref="M547:M549"/>
    <mergeCell ref="N547:N549"/>
    <mergeCell ref="O547:O549"/>
    <mergeCell ref="Q547:Q549"/>
    <mergeCell ref="Q544:Q546"/>
    <mergeCell ref="A547:A549"/>
    <mergeCell ref="B547:B549"/>
    <mergeCell ref="D547:D549"/>
    <mergeCell ref="E547:E549"/>
    <mergeCell ref="F547:F549"/>
    <mergeCell ref="G547:G549"/>
    <mergeCell ref="H547:H549"/>
    <mergeCell ref="I547:I549"/>
    <mergeCell ref="J547:J549"/>
    <mergeCell ref="J544:J546"/>
    <mergeCell ref="K544:K546"/>
    <mergeCell ref="L544:L546"/>
    <mergeCell ref="M544:M546"/>
    <mergeCell ref="N544:N546"/>
    <mergeCell ref="O544:O546"/>
    <mergeCell ref="O541:O543"/>
    <mergeCell ref="Q541:Q543"/>
    <mergeCell ref="A544:A546"/>
    <mergeCell ref="B544:B546"/>
    <mergeCell ref="D544:D546"/>
    <mergeCell ref="E544:E546"/>
    <mergeCell ref="F544:F546"/>
    <mergeCell ref="G544:G546"/>
    <mergeCell ref="H544:H546"/>
    <mergeCell ref="I544:I546"/>
    <mergeCell ref="I541:I543"/>
    <mergeCell ref="J541:J543"/>
    <mergeCell ref="K541:K543"/>
    <mergeCell ref="L541:L543"/>
    <mergeCell ref="M541:M543"/>
    <mergeCell ref="N541:N543"/>
    <mergeCell ref="N538:N540"/>
    <mergeCell ref="O538:O540"/>
    <mergeCell ref="Q538:Q540"/>
    <mergeCell ref="A541:A543"/>
    <mergeCell ref="B541:B543"/>
    <mergeCell ref="D541:D543"/>
    <mergeCell ref="E541:E543"/>
    <mergeCell ref="F541:F543"/>
    <mergeCell ref="G541:G543"/>
    <mergeCell ref="H541:H543"/>
    <mergeCell ref="H538:H540"/>
    <mergeCell ref="I538:I540"/>
    <mergeCell ref="J538:J540"/>
    <mergeCell ref="K538:K540"/>
    <mergeCell ref="L538:L540"/>
    <mergeCell ref="M538:M540"/>
    <mergeCell ref="A538:A540"/>
    <mergeCell ref="B538:B540"/>
    <mergeCell ref="D538:D540"/>
    <mergeCell ref="E538:E540"/>
    <mergeCell ref="F538:F540"/>
    <mergeCell ref="G538:G540"/>
    <mergeCell ref="K535:K537"/>
    <mergeCell ref="L535:L537"/>
    <mergeCell ref="M535:M537"/>
    <mergeCell ref="N535:N537"/>
    <mergeCell ref="O535:O537"/>
    <mergeCell ref="Q535:Q537"/>
    <mergeCell ref="Q532:Q534"/>
    <mergeCell ref="A535:A537"/>
    <mergeCell ref="B535:B537"/>
    <mergeCell ref="D535:D537"/>
    <mergeCell ref="E535:E537"/>
    <mergeCell ref="F535:F537"/>
    <mergeCell ref="G535:G537"/>
    <mergeCell ref="H535:H537"/>
    <mergeCell ref="I535:I537"/>
    <mergeCell ref="J535:J537"/>
    <mergeCell ref="J532:J534"/>
    <mergeCell ref="K532:K534"/>
    <mergeCell ref="L532:L534"/>
    <mergeCell ref="M532:M534"/>
    <mergeCell ref="N532:N534"/>
    <mergeCell ref="O532:O534"/>
    <mergeCell ref="O529:O531"/>
    <mergeCell ref="Q529:Q531"/>
    <mergeCell ref="A532:A534"/>
    <mergeCell ref="B532:B534"/>
    <mergeCell ref="D532:D534"/>
    <mergeCell ref="E532:E534"/>
    <mergeCell ref="F532:F534"/>
    <mergeCell ref="G532:G534"/>
    <mergeCell ref="H532:H534"/>
    <mergeCell ref="I532:I534"/>
    <mergeCell ref="I529:I531"/>
    <mergeCell ref="J529:J531"/>
    <mergeCell ref="K529:K531"/>
    <mergeCell ref="L529:L531"/>
    <mergeCell ref="M529:M531"/>
    <mergeCell ref="N529:N531"/>
    <mergeCell ref="N526:N528"/>
    <mergeCell ref="O526:O528"/>
    <mergeCell ref="Q526:Q528"/>
    <mergeCell ref="A529:A531"/>
    <mergeCell ref="B529:B531"/>
    <mergeCell ref="D529:D531"/>
    <mergeCell ref="E529:E531"/>
    <mergeCell ref="F529:F531"/>
    <mergeCell ref="G529:G531"/>
    <mergeCell ref="H529:H531"/>
    <mergeCell ref="H526:H528"/>
    <mergeCell ref="I526:I528"/>
    <mergeCell ref="J526:J528"/>
    <mergeCell ref="K526:K528"/>
    <mergeCell ref="L526:L528"/>
    <mergeCell ref="M526:M528"/>
    <mergeCell ref="A526:A528"/>
    <mergeCell ref="B526:B528"/>
    <mergeCell ref="D526:D528"/>
    <mergeCell ref="E526:E528"/>
    <mergeCell ref="F526:F528"/>
    <mergeCell ref="G526:G528"/>
    <mergeCell ref="K523:K525"/>
    <mergeCell ref="L523:L525"/>
    <mergeCell ref="M523:M525"/>
    <mergeCell ref="N523:N525"/>
    <mergeCell ref="O523:O525"/>
    <mergeCell ref="Q523:Q525"/>
    <mergeCell ref="Q520:Q522"/>
    <mergeCell ref="A523:A525"/>
    <mergeCell ref="B523:B525"/>
    <mergeCell ref="D523:D525"/>
    <mergeCell ref="E523:E525"/>
    <mergeCell ref="F523:F525"/>
    <mergeCell ref="G523:G525"/>
    <mergeCell ref="H523:H525"/>
    <mergeCell ref="I523:I525"/>
    <mergeCell ref="J523:J525"/>
    <mergeCell ref="J520:J522"/>
    <mergeCell ref="K520:K522"/>
    <mergeCell ref="L520:L522"/>
    <mergeCell ref="M520:M522"/>
    <mergeCell ref="N520:N522"/>
    <mergeCell ref="O520:O522"/>
    <mergeCell ref="O517:O519"/>
    <mergeCell ref="Q517:Q519"/>
    <mergeCell ref="A520:A522"/>
    <mergeCell ref="B520:B522"/>
    <mergeCell ref="D520:D522"/>
    <mergeCell ref="E520:E522"/>
    <mergeCell ref="F520:F522"/>
    <mergeCell ref="G520:G522"/>
    <mergeCell ref="H520:H522"/>
    <mergeCell ref="I520:I522"/>
    <mergeCell ref="I517:I519"/>
    <mergeCell ref="J517:J519"/>
    <mergeCell ref="K517:K519"/>
    <mergeCell ref="L517:L519"/>
    <mergeCell ref="M517:M519"/>
    <mergeCell ref="N517:N519"/>
    <mergeCell ref="N514:N516"/>
    <mergeCell ref="O514:O516"/>
    <mergeCell ref="Q514:Q516"/>
    <mergeCell ref="A517:A519"/>
    <mergeCell ref="B517:B519"/>
    <mergeCell ref="D517:D519"/>
    <mergeCell ref="E517:E519"/>
    <mergeCell ref="F517:F519"/>
    <mergeCell ref="G517:G519"/>
    <mergeCell ref="H517:H519"/>
    <mergeCell ref="H514:H516"/>
    <mergeCell ref="I514:I516"/>
    <mergeCell ref="J514:J516"/>
    <mergeCell ref="K514:K516"/>
    <mergeCell ref="L514:L516"/>
    <mergeCell ref="M514:M516"/>
    <mergeCell ref="A514:A516"/>
    <mergeCell ref="B514:B516"/>
    <mergeCell ref="D514:D516"/>
    <mergeCell ref="E514:E516"/>
    <mergeCell ref="F514:F516"/>
    <mergeCell ref="G514:G516"/>
    <mergeCell ref="K511:K513"/>
    <mergeCell ref="L511:L513"/>
    <mergeCell ref="M511:M513"/>
    <mergeCell ref="N511:N513"/>
    <mergeCell ref="O511:O513"/>
    <mergeCell ref="Q511:Q513"/>
    <mergeCell ref="Q508:Q510"/>
    <mergeCell ref="A511:A513"/>
    <mergeCell ref="B511:B513"/>
    <mergeCell ref="D511:D513"/>
    <mergeCell ref="E511:E513"/>
    <mergeCell ref="F511:F513"/>
    <mergeCell ref="G511:G513"/>
    <mergeCell ref="H511:H513"/>
    <mergeCell ref="I511:I513"/>
    <mergeCell ref="J511:J513"/>
    <mergeCell ref="J508:J510"/>
    <mergeCell ref="K508:K510"/>
    <mergeCell ref="L508:L510"/>
    <mergeCell ref="M508:M510"/>
    <mergeCell ref="N508:N510"/>
    <mergeCell ref="O508:O510"/>
    <mergeCell ref="O505:O507"/>
    <mergeCell ref="Q505:Q507"/>
    <mergeCell ref="A508:A510"/>
    <mergeCell ref="B508:B510"/>
    <mergeCell ref="D508:D510"/>
    <mergeCell ref="E508:E510"/>
    <mergeCell ref="F508:F510"/>
    <mergeCell ref="G508:G510"/>
    <mergeCell ref="H508:H510"/>
    <mergeCell ref="I508:I510"/>
    <mergeCell ref="I505:I507"/>
    <mergeCell ref="J505:J507"/>
    <mergeCell ref="K505:K507"/>
    <mergeCell ref="L505:L507"/>
    <mergeCell ref="M505:M507"/>
    <mergeCell ref="N505:N507"/>
    <mergeCell ref="N502:N504"/>
    <mergeCell ref="O502:O504"/>
    <mergeCell ref="Q502:Q504"/>
    <mergeCell ref="A505:A507"/>
    <mergeCell ref="B505:B507"/>
    <mergeCell ref="D505:D507"/>
    <mergeCell ref="E505:E507"/>
    <mergeCell ref="F505:F507"/>
    <mergeCell ref="G505:G507"/>
    <mergeCell ref="H505:H507"/>
    <mergeCell ref="H502:H504"/>
    <mergeCell ref="I502:I504"/>
    <mergeCell ref="J502:J504"/>
    <mergeCell ref="K502:K504"/>
    <mergeCell ref="L502:L504"/>
    <mergeCell ref="M502:M504"/>
    <mergeCell ref="M498:M501"/>
    <mergeCell ref="N498:N501"/>
    <mergeCell ref="O498:O501"/>
    <mergeCell ref="Q498:Q501"/>
    <mergeCell ref="A502:A504"/>
    <mergeCell ref="B502:B504"/>
    <mergeCell ref="D502:D504"/>
    <mergeCell ref="E502:E504"/>
    <mergeCell ref="F502:F504"/>
    <mergeCell ref="G502:G504"/>
    <mergeCell ref="N495:N497"/>
    <mergeCell ref="O495:O497"/>
    <mergeCell ref="Q495:Q497"/>
    <mergeCell ref="A498:A501"/>
    <mergeCell ref="D498:D501"/>
    <mergeCell ref="F498:F501"/>
    <mergeCell ref="G498:G501"/>
    <mergeCell ref="H498:H501"/>
    <mergeCell ref="K498:K501"/>
    <mergeCell ref="L498:L501"/>
    <mergeCell ref="H495:H497"/>
    <mergeCell ref="I495:I496"/>
    <mergeCell ref="J495:J496"/>
    <mergeCell ref="L495:L497"/>
    <mergeCell ref="M495:M497"/>
    <mergeCell ref="O491:O493"/>
    <mergeCell ref="A494:Q494"/>
    <mergeCell ref="A495:A497"/>
    <mergeCell ref="B495:B496"/>
    <mergeCell ref="D495:D497"/>
    <mergeCell ref="E495:E496"/>
    <mergeCell ref="F495:F497"/>
    <mergeCell ref="G495:G497"/>
    <mergeCell ref="H491:H493"/>
    <mergeCell ref="I491:I493"/>
    <mergeCell ref="J491:J493"/>
    <mergeCell ref="K491:K493"/>
    <mergeCell ref="L491:L493"/>
    <mergeCell ref="M491:M493"/>
    <mergeCell ref="A491:A493"/>
    <mergeCell ref="B491:B493"/>
    <mergeCell ref="D491:D493"/>
    <mergeCell ref="E491:E493"/>
    <mergeCell ref="F491:F493"/>
    <mergeCell ref="G491:G493"/>
    <mergeCell ref="N491:N493"/>
    <mergeCell ref="Q491:Q493"/>
    <mergeCell ref="K495:K497"/>
    <mergeCell ref="K488:K490"/>
    <mergeCell ref="L488:L490"/>
    <mergeCell ref="M488:M490"/>
    <mergeCell ref="N488:N490"/>
    <mergeCell ref="O488:O490"/>
    <mergeCell ref="Q488:Q490"/>
    <mergeCell ref="Q485:Q487"/>
    <mergeCell ref="A488:A490"/>
    <mergeCell ref="B488:B490"/>
    <mergeCell ref="D488:D490"/>
    <mergeCell ref="E488:E490"/>
    <mergeCell ref="F488:F490"/>
    <mergeCell ref="G488:G490"/>
    <mergeCell ref="H488:H490"/>
    <mergeCell ref="I488:I490"/>
    <mergeCell ref="J488:J490"/>
    <mergeCell ref="J485:J487"/>
    <mergeCell ref="K485:K487"/>
    <mergeCell ref="L485:L487"/>
    <mergeCell ref="M485:M487"/>
    <mergeCell ref="N485:N487"/>
    <mergeCell ref="O485:O487"/>
    <mergeCell ref="O482:O484"/>
    <mergeCell ref="Q482:Q484"/>
    <mergeCell ref="A485:A487"/>
    <mergeCell ref="B485:B487"/>
    <mergeCell ref="D485:D487"/>
    <mergeCell ref="E485:E487"/>
    <mergeCell ref="F485:F487"/>
    <mergeCell ref="G485:G487"/>
    <mergeCell ref="H485:H487"/>
    <mergeCell ref="I485:I487"/>
    <mergeCell ref="I482:I484"/>
    <mergeCell ref="J482:J484"/>
    <mergeCell ref="K482:K484"/>
    <mergeCell ref="L482:L484"/>
    <mergeCell ref="M482:M484"/>
    <mergeCell ref="N482:N484"/>
    <mergeCell ref="N479:N481"/>
    <mergeCell ref="O479:O481"/>
    <mergeCell ref="Q479:Q481"/>
    <mergeCell ref="A482:A484"/>
    <mergeCell ref="B482:B484"/>
    <mergeCell ref="D482:D484"/>
    <mergeCell ref="E482:E484"/>
    <mergeCell ref="F482:F484"/>
    <mergeCell ref="G482:G484"/>
    <mergeCell ref="H482:H484"/>
    <mergeCell ref="H479:H481"/>
    <mergeCell ref="I479:I481"/>
    <mergeCell ref="J479:J481"/>
    <mergeCell ref="K479:K481"/>
    <mergeCell ref="L479:L481"/>
    <mergeCell ref="M479:M481"/>
    <mergeCell ref="A479:A481"/>
    <mergeCell ref="B479:B481"/>
    <mergeCell ref="D479:D481"/>
    <mergeCell ref="E479:E481"/>
    <mergeCell ref="F479:F481"/>
    <mergeCell ref="G479:G481"/>
    <mergeCell ref="K476:K478"/>
    <mergeCell ref="L476:L478"/>
    <mergeCell ref="M476:M478"/>
    <mergeCell ref="N476:N478"/>
    <mergeCell ref="O476:O478"/>
    <mergeCell ref="Q476:Q478"/>
    <mergeCell ref="Q473:Q475"/>
    <mergeCell ref="A476:A478"/>
    <mergeCell ref="B476:B478"/>
    <mergeCell ref="D476:D478"/>
    <mergeCell ref="E476:E478"/>
    <mergeCell ref="F476:F478"/>
    <mergeCell ref="G476:G478"/>
    <mergeCell ref="H476:H478"/>
    <mergeCell ref="I476:I478"/>
    <mergeCell ref="J476:J478"/>
    <mergeCell ref="J473:J475"/>
    <mergeCell ref="K473:K475"/>
    <mergeCell ref="L473:L475"/>
    <mergeCell ref="M473:M475"/>
    <mergeCell ref="N473:N475"/>
    <mergeCell ref="O473:O475"/>
    <mergeCell ref="O470:O472"/>
    <mergeCell ref="Q470:Q472"/>
    <mergeCell ref="A473:A475"/>
    <mergeCell ref="B473:B475"/>
    <mergeCell ref="D473:D475"/>
    <mergeCell ref="E473:E475"/>
    <mergeCell ref="F473:F475"/>
    <mergeCell ref="G473:G475"/>
    <mergeCell ref="H473:H475"/>
    <mergeCell ref="I473:I475"/>
    <mergeCell ref="I470:I472"/>
    <mergeCell ref="J470:J472"/>
    <mergeCell ref="K470:K472"/>
    <mergeCell ref="L470:L472"/>
    <mergeCell ref="M470:M472"/>
    <mergeCell ref="N470:N472"/>
    <mergeCell ref="N467:N469"/>
    <mergeCell ref="O467:O469"/>
    <mergeCell ref="Q467:Q469"/>
    <mergeCell ref="A470:A472"/>
    <mergeCell ref="B470:B472"/>
    <mergeCell ref="D470:D472"/>
    <mergeCell ref="E470:E472"/>
    <mergeCell ref="F470:F472"/>
    <mergeCell ref="G470:G472"/>
    <mergeCell ref="H470:H472"/>
    <mergeCell ref="H467:H469"/>
    <mergeCell ref="I467:I469"/>
    <mergeCell ref="J467:J469"/>
    <mergeCell ref="K467:K469"/>
    <mergeCell ref="L467:L469"/>
    <mergeCell ref="M467:M469"/>
    <mergeCell ref="O462:O464"/>
    <mergeCell ref="Q462:Q464"/>
    <mergeCell ref="A465:Q465"/>
    <mergeCell ref="A466:Q466"/>
    <mergeCell ref="A467:A469"/>
    <mergeCell ref="B467:B469"/>
    <mergeCell ref="D467:D469"/>
    <mergeCell ref="E467:E469"/>
    <mergeCell ref="F467:F469"/>
    <mergeCell ref="G467:G469"/>
    <mergeCell ref="I462:I464"/>
    <mergeCell ref="J462:J464"/>
    <mergeCell ref="K462:K464"/>
    <mergeCell ref="L462:L464"/>
    <mergeCell ref="M462:M464"/>
    <mergeCell ref="N462:N464"/>
    <mergeCell ref="A459:Q459"/>
    <mergeCell ref="A460:Q460"/>
    <mergeCell ref="A461:Q461"/>
    <mergeCell ref="A462:A464"/>
    <mergeCell ref="B462:B464"/>
    <mergeCell ref="D462:D464"/>
    <mergeCell ref="E462:E464"/>
    <mergeCell ref="F462:F464"/>
    <mergeCell ref="G462:G464"/>
    <mergeCell ref="H462:H464"/>
    <mergeCell ref="K456:K458"/>
    <mergeCell ref="L456:L458"/>
    <mergeCell ref="M456:M458"/>
    <mergeCell ref="N456:N458"/>
    <mergeCell ref="O456:O458"/>
    <mergeCell ref="Q456:Q458"/>
    <mergeCell ref="Q453:Q455"/>
    <mergeCell ref="A456:A458"/>
    <mergeCell ref="B456:B458"/>
    <mergeCell ref="D456:D458"/>
    <mergeCell ref="E456:E458"/>
    <mergeCell ref="F456:F458"/>
    <mergeCell ref="G456:G458"/>
    <mergeCell ref="H456:H458"/>
    <mergeCell ref="I456:I458"/>
    <mergeCell ref="J456:J458"/>
    <mergeCell ref="J453:J455"/>
    <mergeCell ref="K453:K455"/>
    <mergeCell ref="L453:L455"/>
    <mergeCell ref="M453:M455"/>
    <mergeCell ref="N453:N455"/>
    <mergeCell ref="O453:O455"/>
    <mergeCell ref="O450:O452"/>
    <mergeCell ref="Q450:Q452"/>
    <mergeCell ref="A453:A455"/>
    <mergeCell ref="B453:B455"/>
    <mergeCell ref="D453:D455"/>
    <mergeCell ref="E453:E455"/>
    <mergeCell ref="F453:F455"/>
    <mergeCell ref="G453:G455"/>
    <mergeCell ref="H453:H455"/>
    <mergeCell ref="I453:I455"/>
    <mergeCell ref="I450:I452"/>
    <mergeCell ref="J450:J452"/>
    <mergeCell ref="K450:K452"/>
    <mergeCell ref="L450:L452"/>
    <mergeCell ref="M450:M452"/>
    <mergeCell ref="N450:N452"/>
    <mergeCell ref="N447:N449"/>
    <mergeCell ref="O447:O449"/>
    <mergeCell ref="Q447:Q449"/>
    <mergeCell ref="A450:A452"/>
    <mergeCell ref="B450:B452"/>
    <mergeCell ref="D450:D452"/>
    <mergeCell ref="E450:E452"/>
    <mergeCell ref="F450:F452"/>
    <mergeCell ref="G450:G452"/>
    <mergeCell ref="H450:H452"/>
    <mergeCell ref="H447:H449"/>
    <mergeCell ref="I447:I449"/>
    <mergeCell ref="J447:J449"/>
    <mergeCell ref="K447:K449"/>
    <mergeCell ref="L447:L449"/>
    <mergeCell ref="M447:M449"/>
    <mergeCell ref="A447:A449"/>
    <mergeCell ref="B447:B449"/>
    <mergeCell ref="D447:D449"/>
    <mergeCell ref="E447:E449"/>
    <mergeCell ref="F447:F449"/>
    <mergeCell ref="G447:G449"/>
    <mergeCell ref="K444:K446"/>
    <mergeCell ref="L444:L446"/>
    <mergeCell ref="M444:M446"/>
    <mergeCell ref="N444:N446"/>
    <mergeCell ref="O444:O446"/>
    <mergeCell ref="Q444:Q446"/>
    <mergeCell ref="Q441:Q443"/>
    <mergeCell ref="A444:A446"/>
    <mergeCell ref="B444:B446"/>
    <mergeCell ref="D444:D446"/>
    <mergeCell ref="E444:E446"/>
    <mergeCell ref="F444:F446"/>
    <mergeCell ref="G444:G446"/>
    <mergeCell ref="H444:H446"/>
    <mergeCell ref="I444:I446"/>
    <mergeCell ref="J444:J446"/>
    <mergeCell ref="J441:J443"/>
    <mergeCell ref="K441:K443"/>
    <mergeCell ref="L441:L443"/>
    <mergeCell ref="M441:M443"/>
    <mergeCell ref="N441:N443"/>
    <mergeCell ref="O441:O443"/>
    <mergeCell ref="G422:G424"/>
    <mergeCell ref="H422:H424"/>
    <mergeCell ref="O438:O440"/>
    <mergeCell ref="Q438:Q440"/>
    <mergeCell ref="A441:A443"/>
    <mergeCell ref="B441:B443"/>
    <mergeCell ref="D441:D443"/>
    <mergeCell ref="E441:E443"/>
    <mergeCell ref="F441:F443"/>
    <mergeCell ref="G441:G443"/>
    <mergeCell ref="H441:H443"/>
    <mergeCell ref="I441:I443"/>
    <mergeCell ref="I438:I440"/>
    <mergeCell ref="J438:J440"/>
    <mergeCell ref="K438:K440"/>
    <mergeCell ref="L438:L440"/>
    <mergeCell ref="M438:M440"/>
    <mergeCell ref="N438:N440"/>
    <mergeCell ref="N435:N437"/>
    <mergeCell ref="O435:O437"/>
    <mergeCell ref="Q435:Q437"/>
    <mergeCell ref="A438:A440"/>
    <mergeCell ref="B438:B440"/>
    <mergeCell ref="D438:D440"/>
    <mergeCell ref="E438:E440"/>
    <mergeCell ref="F438:F440"/>
    <mergeCell ref="G438:G440"/>
    <mergeCell ref="H438:H440"/>
    <mergeCell ref="H435:H437"/>
    <mergeCell ref="I435:I437"/>
    <mergeCell ref="J435:J437"/>
    <mergeCell ref="K435:K437"/>
    <mergeCell ref="L435:L437"/>
    <mergeCell ref="M435:M437"/>
    <mergeCell ref="A434:Q434"/>
    <mergeCell ref="A435:A437"/>
    <mergeCell ref="B435:B437"/>
    <mergeCell ref="D435:D437"/>
    <mergeCell ref="E435:E437"/>
    <mergeCell ref="F435:F437"/>
    <mergeCell ref="G435:G437"/>
    <mergeCell ref="N413:N415"/>
    <mergeCell ref="O413:O415"/>
    <mergeCell ref="N431:N433"/>
    <mergeCell ref="O431:O433"/>
    <mergeCell ref="Q431:Q433"/>
    <mergeCell ref="A406:Q406"/>
    <mergeCell ref="H431:H433"/>
    <mergeCell ref="I431:I433"/>
    <mergeCell ref="J431:J433"/>
    <mergeCell ref="K431:K433"/>
    <mergeCell ref="L431:L433"/>
    <mergeCell ref="M431:M433"/>
    <mergeCell ref="A431:A433"/>
    <mergeCell ref="B431:B433"/>
    <mergeCell ref="D431:D433"/>
    <mergeCell ref="E431:E433"/>
    <mergeCell ref="F431:F433"/>
    <mergeCell ref="G431:G433"/>
    <mergeCell ref="K428:K430"/>
    <mergeCell ref="L428:L430"/>
    <mergeCell ref="M428:M430"/>
    <mergeCell ref="N428:N430"/>
    <mergeCell ref="O428:O430"/>
    <mergeCell ref="Q428:Q430"/>
    <mergeCell ref="Q425:Q427"/>
    <mergeCell ref="A428:A430"/>
    <mergeCell ref="B428:B430"/>
    <mergeCell ref="D428:D430"/>
    <mergeCell ref="E428:E430"/>
    <mergeCell ref="F428:F430"/>
    <mergeCell ref="G428:G430"/>
    <mergeCell ref="H428:H430"/>
    <mergeCell ref="I428:I430"/>
    <mergeCell ref="J428:J430"/>
    <mergeCell ref="J425:J427"/>
    <mergeCell ref="K425:K427"/>
    <mergeCell ref="L425:L427"/>
    <mergeCell ref="M425:M427"/>
    <mergeCell ref="N425:N427"/>
    <mergeCell ref="O425:O427"/>
    <mergeCell ref="O422:O424"/>
    <mergeCell ref="Q422:Q424"/>
    <mergeCell ref="A425:A427"/>
    <mergeCell ref="B425:B427"/>
    <mergeCell ref="D425:D427"/>
    <mergeCell ref="E425:E427"/>
    <mergeCell ref="F425:F427"/>
    <mergeCell ref="G425:G427"/>
    <mergeCell ref="H425:H427"/>
    <mergeCell ref="I425:I427"/>
    <mergeCell ref="I422:I424"/>
    <mergeCell ref="J422:J424"/>
    <mergeCell ref="K422:K424"/>
    <mergeCell ref="L422:L424"/>
    <mergeCell ref="M422:M424"/>
    <mergeCell ref="N422:N424"/>
    <mergeCell ref="N419:N421"/>
    <mergeCell ref="O419:O421"/>
    <mergeCell ref="Q419:Q421"/>
    <mergeCell ref="A422:A424"/>
    <mergeCell ref="B422:B424"/>
    <mergeCell ref="D422:D424"/>
    <mergeCell ref="E422:E424"/>
    <mergeCell ref="F422:F424"/>
    <mergeCell ref="O410:O412"/>
    <mergeCell ref="Q410:Q412"/>
    <mergeCell ref="A413:A415"/>
    <mergeCell ref="B413:B415"/>
    <mergeCell ref="D413:D415"/>
    <mergeCell ref="E413:E415"/>
    <mergeCell ref="F413:F415"/>
    <mergeCell ref="G413:G415"/>
    <mergeCell ref="H413:H415"/>
    <mergeCell ref="I413:I415"/>
    <mergeCell ref="I410:I412"/>
    <mergeCell ref="J410:J412"/>
    <mergeCell ref="K410:K412"/>
    <mergeCell ref="L410:L412"/>
    <mergeCell ref="M410:M412"/>
    <mergeCell ref="N410:N412"/>
    <mergeCell ref="A407:Q407"/>
    <mergeCell ref="A408:Q408"/>
    <mergeCell ref="A409:Q409"/>
    <mergeCell ref="A410:A412"/>
    <mergeCell ref="B410:B412"/>
    <mergeCell ref="D410:D412"/>
    <mergeCell ref="E410:E412"/>
    <mergeCell ref="F410:F412"/>
    <mergeCell ref="G410:G412"/>
    <mergeCell ref="H410:H412"/>
    <mergeCell ref="K403:K405"/>
    <mergeCell ref="L403:L405"/>
    <mergeCell ref="M403:M405"/>
    <mergeCell ref="N403:N405"/>
    <mergeCell ref="O403:O405"/>
    <mergeCell ref="Q403:Q405"/>
    <mergeCell ref="H419:H421"/>
    <mergeCell ref="I419:I421"/>
    <mergeCell ref="J419:J421"/>
    <mergeCell ref="K419:K421"/>
    <mergeCell ref="L419:L421"/>
    <mergeCell ref="M419:M421"/>
    <mergeCell ref="A419:A421"/>
    <mergeCell ref="B419:B421"/>
    <mergeCell ref="D419:D421"/>
    <mergeCell ref="E419:E421"/>
    <mergeCell ref="F419:F421"/>
    <mergeCell ref="G419:G421"/>
    <mergeCell ref="K416:K418"/>
    <mergeCell ref="L416:L418"/>
    <mergeCell ref="M416:M418"/>
    <mergeCell ref="N416:N418"/>
    <mergeCell ref="O416:O418"/>
    <mergeCell ref="Q416:Q418"/>
    <mergeCell ref="Q413:Q415"/>
    <mergeCell ref="A416:A418"/>
    <mergeCell ref="B416:B418"/>
    <mergeCell ref="D416:D418"/>
    <mergeCell ref="E416:E418"/>
    <mergeCell ref="F416:F418"/>
    <mergeCell ref="G416:G418"/>
    <mergeCell ref="H416:H418"/>
    <mergeCell ref="I416:I418"/>
    <mergeCell ref="J416:J418"/>
    <mergeCell ref="J413:J415"/>
    <mergeCell ref="K413:K415"/>
    <mergeCell ref="L413:L415"/>
    <mergeCell ref="M413:M415"/>
    <mergeCell ref="A402:Q402"/>
    <mergeCell ref="A403:A405"/>
    <mergeCell ref="B403:B405"/>
    <mergeCell ref="D403:D405"/>
    <mergeCell ref="E403:E405"/>
    <mergeCell ref="F403:F405"/>
    <mergeCell ref="G403:G405"/>
    <mergeCell ref="H403:H405"/>
    <mergeCell ref="I403:I405"/>
    <mergeCell ref="J403:J405"/>
    <mergeCell ref="K399:K401"/>
    <mergeCell ref="L399:L401"/>
    <mergeCell ref="M399:M401"/>
    <mergeCell ref="N399:N401"/>
    <mergeCell ref="O399:O401"/>
    <mergeCell ref="Q399:Q401"/>
    <mergeCell ref="Q396:Q398"/>
    <mergeCell ref="A399:A401"/>
    <mergeCell ref="B399:B401"/>
    <mergeCell ref="D399:D401"/>
    <mergeCell ref="E399:E401"/>
    <mergeCell ref="F399:F401"/>
    <mergeCell ref="G399:G401"/>
    <mergeCell ref="H399:H401"/>
    <mergeCell ref="I399:I401"/>
    <mergeCell ref="J399:J401"/>
    <mergeCell ref="J396:J398"/>
    <mergeCell ref="K396:K398"/>
    <mergeCell ref="L396:L398"/>
    <mergeCell ref="M396:M398"/>
    <mergeCell ref="N396:N398"/>
    <mergeCell ref="O396:O398"/>
    <mergeCell ref="O393:O395"/>
    <mergeCell ref="Q393:Q395"/>
    <mergeCell ref="A396:A398"/>
    <mergeCell ref="B396:B398"/>
    <mergeCell ref="D396:D398"/>
    <mergeCell ref="E396:E398"/>
    <mergeCell ref="F396:F398"/>
    <mergeCell ref="G396:G398"/>
    <mergeCell ref="H396:H398"/>
    <mergeCell ref="I396:I398"/>
    <mergeCell ref="I393:I395"/>
    <mergeCell ref="J393:J395"/>
    <mergeCell ref="K393:K395"/>
    <mergeCell ref="L393:L395"/>
    <mergeCell ref="M393:M395"/>
    <mergeCell ref="N393:N395"/>
    <mergeCell ref="N390:N392"/>
    <mergeCell ref="O390:O392"/>
    <mergeCell ref="Q390:Q392"/>
    <mergeCell ref="A393:A395"/>
    <mergeCell ref="B393:B395"/>
    <mergeCell ref="D393:D395"/>
    <mergeCell ref="E393:E395"/>
    <mergeCell ref="F393:F395"/>
    <mergeCell ref="G393:G395"/>
    <mergeCell ref="H393:H395"/>
    <mergeCell ref="H390:H392"/>
    <mergeCell ref="I390:I392"/>
    <mergeCell ref="J390:J392"/>
    <mergeCell ref="K390:K392"/>
    <mergeCell ref="L390:L392"/>
    <mergeCell ref="M390:M392"/>
    <mergeCell ref="A390:A392"/>
    <mergeCell ref="B390:B392"/>
    <mergeCell ref="D390:D392"/>
    <mergeCell ref="E390:E392"/>
    <mergeCell ref="F390:F392"/>
    <mergeCell ref="G390:G392"/>
    <mergeCell ref="K387:K389"/>
    <mergeCell ref="L387:L389"/>
    <mergeCell ref="M387:M389"/>
    <mergeCell ref="N387:N389"/>
    <mergeCell ref="O387:O389"/>
    <mergeCell ref="Q387:Q389"/>
    <mergeCell ref="Q384:Q386"/>
    <mergeCell ref="A387:A389"/>
    <mergeCell ref="B387:B389"/>
    <mergeCell ref="D387:D389"/>
    <mergeCell ref="E387:E389"/>
    <mergeCell ref="F387:F389"/>
    <mergeCell ref="G387:G389"/>
    <mergeCell ref="H387:H389"/>
    <mergeCell ref="I387:I389"/>
    <mergeCell ref="J387:J389"/>
    <mergeCell ref="J384:J386"/>
    <mergeCell ref="K384:K386"/>
    <mergeCell ref="L384:L386"/>
    <mergeCell ref="M384:M386"/>
    <mergeCell ref="N384:N386"/>
    <mergeCell ref="O384:O386"/>
    <mergeCell ref="Q380:Q382"/>
    <mergeCell ref="A383:Q383"/>
    <mergeCell ref="A384:A386"/>
    <mergeCell ref="B384:B386"/>
    <mergeCell ref="D384:D386"/>
    <mergeCell ref="E384:E386"/>
    <mergeCell ref="F384:F386"/>
    <mergeCell ref="G384:G386"/>
    <mergeCell ref="H384:H386"/>
    <mergeCell ref="I384:I386"/>
    <mergeCell ref="J380:J382"/>
    <mergeCell ref="K380:K382"/>
    <mergeCell ref="L380:L382"/>
    <mergeCell ref="M380:M382"/>
    <mergeCell ref="N380:N382"/>
    <mergeCell ref="O380:O382"/>
    <mergeCell ref="O377:O379"/>
    <mergeCell ref="Q377:Q379"/>
    <mergeCell ref="A380:A382"/>
    <mergeCell ref="B380:B382"/>
    <mergeCell ref="D380:D382"/>
    <mergeCell ref="E380:E382"/>
    <mergeCell ref="F380:F382"/>
    <mergeCell ref="G380:G382"/>
    <mergeCell ref="H380:H382"/>
    <mergeCell ref="I380:I382"/>
    <mergeCell ref="I377:I379"/>
    <mergeCell ref="J377:J379"/>
    <mergeCell ref="K377:K379"/>
    <mergeCell ref="L377:L379"/>
    <mergeCell ref="M377:M379"/>
    <mergeCell ref="N377:N379"/>
    <mergeCell ref="N374:N376"/>
    <mergeCell ref="O374:O376"/>
    <mergeCell ref="Q374:Q376"/>
    <mergeCell ref="A377:A379"/>
    <mergeCell ref="B377:B379"/>
    <mergeCell ref="D377:D379"/>
    <mergeCell ref="E377:E379"/>
    <mergeCell ref="F377:F379"/>
    <mergeCell ref="G377:G379"/>
    <mergeCell ref="H377:H379"/>
    <mergeCell ref="H374:H376"/>
    <mergeCell ref="I374:I376"/>
    <mergeCell ref="J374:J376"/>
    <mergeCell ref="K374:K376"/>
    <mergeCell ref="L374:L376"/>
    <mergeCell ref="M374:M376"/>
    <mergeCell ref="A374:A376"/>
    <mergeCell ref="B374:B376"/>
    <mergeCell ref="D374:D376"/>
    <mergeCell ref="E374:E376"/>
    <mergeCell ref="F374:F376"/>
    <mergeCell ref="G374:G376"/>
    <mergeCell ref="K371:K373"/>
    <mergeCell ref="L371:L373"/>
    <mergeCell ref="M371:M373"/>
    <mergeCell ref="N371:N373"/>
    <mergeCell ref="O371:O373"/>
    <mergeCell ref="Q371:Q373"/>
    <mergeCell ref="Q368:Q370"/>
    <mergeCell ref="A371:A373"/>
    <mergeCell ref="B371:B373"/>
    <mergeCell ref="D371:D373"/>
    <mergeCell ref="E371:E373"/>
    <mergeCell ref="F371:F373"/>
    <mergeCell ref="G371:G373"/>
    <mergeCell ref="H371:H373"/>
    <mergeCell ref="I371:I373"/>
    <mergeCell ref="J371:J373"/>
    <mergeCell ref="J368:J370"/>
    <mergeCell ref="K368:K370"/>
    <mergeCell ref="L368:L370"/>
    <mergeCell ref="M368:M370"/>
    <mergeCell ref="N368:N370"/>
    <mergeCell ref="O368:O370"/>
    <mergeCell ref="O365:O367"/>
    <mergeCell ref="Q365:Q367"/>
    <mergeCell ref="A368:A370"/>
    <mergeCell ref="B368:B370"/>
    <mergeCell ref="D368:D370"/>
    <mergeCell ref="E368:E370"/>
    <mergeCell ref="F368:F370"/>
    <mergeCell ref="G368:G370"/>
    <mergeCell ref="H368:H370"/>
    <mergeCell ref="I368:I370"/>
    <mergeCell ref="I365:I367"/>
    <mergeCell ref="J365:J367"/>
    <mergeCell ref="K365:K367"/>
    <mergeCell ref="L365:L367"/>
    <mergeCell ref="M365:M367"/>
    <mergeCell ref="N365:N367"/>
    <mergeCell ref="N362:N364"/>
    <mergeCell ref="O362:O364"/>
    <mergeCell ref="Q362:Q364"/>
    <mergeCell ref="A365:A367"/>
    <mergeCell ref="B365:B367"/>
    <mergeCell ref="D365:D367"/>
    <mergeCell ref="E365:E367"/>
    <mergeCell ref="F365:F367"/>
    <mergeCell ref="G365:G367"/>
    <mergeCell ref="H365:H367"/>
    <mergeCell ref="H362:H364"/>
    <mergeCell ref="I362:I364"/>
    <mergeCell ref="J362:J364"/>
    <mergeCell ref="K362:K364"/>
    <mergeCell ref="L362:L364"/>
    <mergeCell ref="M362:M364"/>
    <mergeCell ref="A362:A364"/>
    <mergeCell ref="B362:B364"/>
    <mergeCell ref="D362:D364"/>
    <mergeCell ref="E362:E364"/>
    <mergeCell ref="F362:F364"/>
    <mergeCell ref="G362:G364"/>
    <mergeCell ref="K359:K361"/>
    <mergeCell ref="L359:L361"/>
    <mergeCell ref="M359:M361"/>
    <mergeCell ref="N359:N361"/>
    <mergeCell ref="O359:O361"/>
    <mergeCell ref="Q359:Q361"/>
    <mergeCell ref="Q356:Q358"/>
    <mergeCell ref="A359:A361"/>
    <mergeCell ref="B359:B361"/>
    <mergeCell ref="D359:D361"/>
    <mergeCell ref="E359:E361"/>
    <mergeCell ref="F359:F361"/>
    <mergeCell ref="G359:G361"/>
    <mergeCell ref="H359:H361"/>
    <mergeCell ref="I359:I361"/>
    <mergeCell ref="J359:J361"/>
    <mergeCell ref="J356:J358"/>
    <mergeCell ref="K356:K358"/>
    <mergeCell ref="L356:L358"/>
    <mergeCell ref="M356:M358"/>
    <mergeCell ref="N356:N358"/>
    <mergeCell ref="O356:O358"/>
    <mergeCell ref="O353:O355"/>
    <mergeCell ref="Q353:Q355"/>
    <mergeCell ref="A356:A358"/>
    <mergeCell ref="B356:B358"/>
    <mergeCell ref="D356:D358"/>
    <mergeCell ref="E356:E358"/>
    <mergeCell ref="F356:F358"/>
    <mergeCell ref="G356:G358"/>
    <mergeCell ref="H356:H358"/>
    <mergeCell ref="I356:I358"/>
    <mergeCell ref="I353:I355"/>
    <mergeCell ref="J353:J355"/>
    <mergeCell ref="K353:K355"/>
    <mergeCell ref="L353:L355"/>
    <mergeCell ref="M353:M355"/>
    <mergeCell ref="N353:N355"/>
    <mergeCell ref="N350:N352"/>
    <mergeCell ref="O350:O352"/>
    <mergeCell ref="Q350:Q352"/>
    <mergeCell ref="A353:A355"/>
    <mergeCell ref="B353:B355"/>
    <mergeCell ref="D353:D355"/>
    <mergeCell ref="E353:E355"/>
    <mergeCell ref="F353:F355"/>
    <mergeCell ref="G353:G355"/>
    <mergeCell ref="H353:H355"/>
    <mergeCell ref="H350:H352"/>
    <mergeCell ref="I350:I352"/>
    <mergeCell ref="J350:J352"/>
    <mergeCell ref="K350:K352"/>
    <mergeCell ref="L350:L352"/>
    <mergeCell ref="M350:M352"/>
    <mergeCell ref="A350:A352"/>
    <mergeCell ref="B350:B352"/>
    <mergeCell ref="D350:D352"/>
    <mergeCell ref="E350:E352"/>
    <mergeCell ref="F350:F352"/>
    <mergeCell ref="G350:G352"/>
    <mergeCell ref="K347:K349"/>
    <mergeCell ref="L347:L349"/>
    <mergeCell ref="M347:M349"/>
    <mergeCell ref="N347:N349"/>
    <mergeCell ref="O347:O349"/>
    <mergeCell ref="Q347:Q349"/>
    <mergeCell ref="Q344:Q346"/>
    <mergeCell ref="A347:A349"/>
    <mergeCell ref="B347:B349"/>
    <mergeCell ref="D347:D349"/>
    <mergeCell ref="E347:E349"/>
    <mergeCell ref="F347:F349"/>
    <mergeCell ref="G347:G349"/>
    <mergeCell ref="H347:H349"/>
    <mergeCell ref="I347:I349"/>
    <mergeCell ref="J347:J349"/>
    <mergeCell ref="J344:J346"/>
    <mergeCell ref="K344:K346"/>
    <mergeCell ref="L344:L346"/>
    <mergeCell ref="M344:M346"/>
    <mergeCell ref="N344:N346"/>
    <mergeCell ref="O344:O346"/>
    <mergeCell ref="O341:O343"/>
    <mergeCell ref="Q341:Q343"/>
    <mergeCell ref="A344:A346"/>
    <mergeCell ref="B344:B346"/>
    <mergeCell ref="D344:D346"/>
    <mergeCell ref="E344:E346"/>
    <mergeCell ref="F344:F346"/>
    <mergeCell ref="G344:G346"/>
    <mergeCell ref="H344:H346"/>
    <mergeCell ref="I344:I346"/>
    <mergeCell ref="I341:I343"/>
    <mergeCell ref="J341:J343"/>
    <mergeCell ref="K341:K343"/>
    <mergeCell ref="L341:L343"/>
    <mergeCell ref="M341:M343"/>
    <mergeCell ref="N341:N343"/>
    <mergeCell ref="N338:N340"/>
    <mergeCell ref="O338:O340"/>
    <mergeCell ref="Q338:Q340"/>
    <mergeCell ref="A341:A343"/>
    <mergeCell ref="B341:B343"/>
    <mergeCell ref="D341:D343"/>
    <mergeCell ref="E341:E343"/>
    <mergeCell ref="F341:F343"/>
    <mergeCell ref="G341:G343"/>
    <mergeCell ref="H341:H343"/>
    <mergeCell ref="H338:H340"/>
    <mergeCell ref="I338:I340"/>
    <mergeCell ref="J338:J340"/>
    <mergeCell ref="K338:K340"/>
    <mergeCell ref="L338:L340"/>
    <mergeCell ref="M338:M340"/>
    <mergeCell ref="A338:A340"/>
    <mergeCell ref="B338:B340"/>
    <mergeCell ref="D338:D340"/>
    <mergeCell ref="E338:E340"/>
    <mergeCell ref="F338:F340"/>
    <mergeCell ref="G338:G340"/>
    <mergeCell ref="K335:K337"/>
    <mergeCell ref="L335:L337"/>
    <mergeCell ref="M335:M337"/>
    <mergeCell ref="N335:N337"/>
    <mergeCell ref="O335:O337"/>
    <mergeCell ref="Q335:Q337"/>
    <mergeCell ref="Q332:Q334"/>
    <mergeCell ref="A335:A337"/>
    <mergeCell ref="B335:B337"/>
    <mergeCell ref="D335:D337"/>
    <mergeCell ref="E335:E337"/>
    <mergeCell ref="F335:F337"/>
    <mergeCell ref="G335:G337"/>
    <mergeCell ref="H335:H337"/>
    <mergeCell ref="I335:I337"/>
    <mergeCell ref="J335:J337"/>
    <mergeCell ref="J332:J334"/>
    <mergeCell ref="K332:K334"/>
    <mergeCell ref="L332:L334"/>
    <mergeCell ref="M332:M334"/>
    <mergeCell ref="N332:N334"/>
    <mergeCell ref="O332:O334"/>
    <mergeCell ref="O329:O331"/>
    <mergeCell ref="Q329:Q331"/>
    <mergeCell ref="A332:A334"/>
    <mergeCell ref="B332:B334"/>
    <mergeCell ref="D332:D334"/>
    <mergeCell ref="E332:E334"/>
    <mergeCell ref="F332:F334"/>
    <mergeCell ref="G332:G334"/>
    <mergeCell ref="H332:H334"/>
    <mergeCell ref="I332:I334"/>
    <mergeCell ref="I329:I331"/>
    <mergeCell ref="J329:J331"/>
    <mergeCell ref="K329:K331"/>
    <mergeCell ref="L329:L331"/>
    <mergeCell ref="M329:M331"/>
    <mergeCell ref="N329:N331"/>
    <mergeCell ref="N326:N328"/>
    <mergeCell ref="O326:O328"/>
    <mergeCell ref="Q326:Q328"/>
    <mergeCell ref="A329:A331"/>
    <mergeCell ref="B329:B331"/>
    <mergeCell ref="D329:D331"/>
    <mergeCell ref="E329:E331"/>
    <mergeCell ref="F329:F331"/>
    <mergeCell ref="G329:G331"/>
    <mergeCell ref="H329:H331"/>
    <mergeCell ref="H326:H328"/>
    <mergeCell ref="I326:I328"/>
    <mergeCell ref="J326:J328"/>
    <mergeCell ref="K326:K328"/>
    <mergeCell ref="L326:L328"/>
    <mergeCell ref="M326:M328"/>
    <mergeCell ref="A326:A328"/>
    <mergeCell ref="B326:B328"/>
    <mergeCell ref="D326:D328"/>
    <mergeCell ref="E326:E328"/>
    <mergeCell ref="F326:F328"/>
    <mergeCell ref="G326:G328"/>
    <mergeCell ref="K323:K325"/>
    <mergeCell ref="L323:L325"/>
    <mergeCell ref="M323:M325"/>
    <mergeCell ref="N323:N325"/>
    <mergeCell ref="O323:O325"/>
    <mergeCell ref="Q323:Q325"/>
    <mergeCell ref="Q320:Q322"/>
    <mergeCell ref="A323:A325"/>
    <mergeCell ref="B323:B325"/>
    <mergeCell ref="D323:D325"/>
    <mergeCell ref="E323:E325"/>
    <mergeCell ref="F323:F325"/>
    <mergeCell ref="G323:G325"/>
    <mergeCell ref="H323:H325"/>
    <mergeCell ref="I323:I325"/>
    <mergeCell ref="J323:J325"/>
    <mergeCell ref="J320:J322"/>
    <mergeCell ref="K320:K322"/>
    <mergeCell ref="L320:L322"/>
    <mergeCell ref="M320:M322"/>
    <mergeCell ref="N320:N322"/>
    <mergeCell ref="O320:O322"/>
    <mergeCell ref="O317:O319"/>
    <mergeCell ref="Q317:Q319"/>
    <mergeCell ref="A320:A322"/>
    <mergeCell ref="B320:B322"/>
    <mergeCell ref="D320:D322"/>
    <mergeCell ref="E320:E322"/>
    <mergeCell ref="F320:F322"/>
    <mergeCell ref="G320:G322"/>
    <mergeCell ref="H320:H322"/>
    <mergeCell ref="I320:I322"/>
    <mergeCell ref="I317:I319"/>
    <mergeCell ref="J317:J319"/>
    <mergeCell ref="K317:K319"/>
    <mergeCell ref="L317:L319"/>
    <mergeCell ref="M317:M319"/>
    <mergeCell ref="N317:N319"/>
    <mergeCell ref="N314:N316"/>
    <mergeCell ref="O314:O316"/>
    <mergeCell ref="Q314:Q316"/>
    <mergeCell ref="A317:A319"/>
    <mergeCell ref="B317:B319"/>
    <mergeCell ref="D317:D319"/>
    <mergeCell ref="E317:E319"/>
    <mergeCell ref="F317:F319"/>
    <mergeCell ref="G317:G319"/>
    <mergeCell ref="H317:H319"/>
    <mergeCell ref="H314:H316"/>
    <mergeCell ref="I314:I316"/>
    <mergeCell ref="J314:J316"/>
    <mergeCell ref="K314:K316"/>
    <mergeCell ref="L314:L316"/>
    <mergeCell ref="M314:M316"/>
    <mergeCell ref="A314:A316"/>
    <mergeCell ref="B314:B316"/>
    <mergeCell ref="D314:D316"/>
    <mergeCell ref="E314:E316"/>
    <mergeCell ref="F314:F316"/>
    <mergeCell ref="G314:G316"/>
    <mergeCell ref="K311:K313"/>
    <mergeCell ref="L311:L313"/>
    <mergeCell ref="M311:M313"/>
    <mergeCell ref="N311:N313"/>
    <mergeCell ref="O311:O313"/>
    <mergeCell ref="Q311:Q313"/>
    <mergeCell ref="Q308:Q310"/>
    <mergeCell ref="A311:A313"/>
    <mergeCell ref="B311:B313"/>
    <mergeCell ref="D311:D313"/>
    <mergeCell ref="E311:E313"/>
    <mergeCell ref="F311:F313"/>
    <mergeCell ref="G311:G313"/>
    <mergeCell ref="H311:H313"/>
    <mergeCell ref="I311:I313"/>
    <mergeCell ref="J311:J313"/>
    <mergeCell ref="J308:J310"/>
    <mergeCell ref="K308:K310"/>
    <mergeCell ref="L308:L310"/>
    <mergeCell ref="M308:M310"/>
    <mergeCell ref="N308:N310"/>
    <mergeCell ref="O308:O310"/>
    <mergeCell ref="O305:O307"/>
    <mergeCell ref="Q305:Q307"/>
    <mergeCell ref="A308:A310"/>
    <mergeCell ref="B308:B310"/>
    <mergeCell ref="D308:D310"/>
    <mergeCell ref="E308:E310"/>
    <mergeCell ref="F308:F310"/>
    <mergeCell ref="G308:G310"/>
    <mergeCell ref="H308:H310"/>
    <mergeCell ref="I308:I310"/>
    <mergeCell ref="I305:I307"/>
    <mergeCell ref="J305:J307"/>
    <mergeCell ref="K305:K307"/>
    <mergeCell ref="L305:L307"/>
    <mergeCell ref="M305:M307"/>
    <mergeCell ref="N305:N307"/>
    <mergeCell ref="N302:N304"/>
    <mergeCell ref="O302:O304"/>
    <mergeCell ref="Q302:Q304"/>
    <mergeCell ref="A305:A307"/>
    <mergeCell ref="B305:B307"/>
    <mergeCell ref="D305:D307"/>
    <mergeCell ref="E305:E307"/>
    <mergeCell ref="F305:F307"/>
    <mergeCell ref="G305:G307"/>
    <mergeCell ref="H305:H307"/>
    <mergeCell ref="H302:H304"/>
    <mergeCell ref="I302:I304"/>
    <mergeCell ref="J302:J304"/>
    <mergeCell ref="K302:K304"/>
    <mergeCell ref="L302:L304"/>
    <mergeCell ref="M302:M304"/>
    <mergeCell ref="A302:A304"/>
    <mergeCell ref="B302:B304"/>
    <mergeCell ref="D302:D304"/>
    <mergeCell ref="E302:E304"/>
    <mergeCell ref="F302:F304"/>
    <mergeCell ref="G302:G304"/>
    <mergeCell ref="K299:K301"/>
    <mergeCell ref="L299:L301"/>
    <mergeCell ref="M299:M301"/>
    <mergeCell ref="N299:N301"/>
    <mergeCell ref="O299:O301"/>
    <mergeCell ref="Q299:Q301"/>
    <mergeCell ref="Q296:Q298"/>
    <mergeCell ref="A299:A301"/>
    <mergeCell ref="B299:B301"/>
    <mergeCell ref="D299:D301"/>
    <mergeCell ref="E299:E301"/>
    <mergeCell ref="F299:F301"/>
    <mergeCell ref="G299:G301"/>
    <mergeCell ref="H299:H301"/>
    <mergeCell ref="I299:I301"/>
    <mergeCell ref="J299:J301"/>
    <mergeCell ref="J296:J298"/>
    <mergeCell ref="K296:K298"/>
    <mergeCell ref="L296:L298"/>
    <mergeCell ref="M296:M298"/>
    <mergeCell ref="N296:N298"/>
    <mergeCell ref="O296:O298"/>
    <mergeCell ref="O293:O295"/>
    <mergeCell ref="Q293:Q295"/>
    <mergeCell ref="A296:A298"/>
    <mergeCell ref="B296:B298"/>
    <mergeCell ref="D296:D298"/>
    <mergeCell ref="E296:E298"/>
    <mergeCell ref="F296:F298"/>
    <mergeCell ref="G296:G298"/>
    <mergeCell ref="H296:H298"/>
    <mergeCell ref="I296:I298"/>
    <mergeCell ref="I293:I295"/>
    <mergeCell ref="J293:J295"/>
    <mergeCell ref="K293:K295"/>
    <mergeCell ref="L293:L295"/>
    <mergeCell ref="M293:M295"/>
    <mergeCell ref="N293:N295"/>
    <mergeCell ref="N290:N292"/>
    <mergeCell ref="O290:O292"/>
    <mergeCell ref="Q290:Q292"/>
    <mergeCell ref="A293:A295"/>
    <mergeCell ref="B293:B295"/>
    <mergeCell ref="D293:D295"/>
    <mergeCell ref="E293:E295"/>
    <mergeCell ref="F293:F295"/>
    <mergeCell ref="G293:G295"/>
    <mergeCell ref="H293:H295"/>
    <mergeCell ref="H290:H292"/>
    <mergeCell ref="I290:I292"/>
    <mergeCell ref="J290:J292"/>
    <mergeCell ref="K290:K292"/>
    <mergeCell ref="L290:L292"/>
    <mergeCell ref="M290:M292"/>
    <mergeCell ref="A290:A292"/>
    <mergeCell ref="B290:B292"/>
    <mergeCell ref="D290:D292"/>
    <mergeCell ref="E290:E292"/>
    <mergeCell ref="F290:F292"/>
    <mergeCell ref="G290:G292"/>
    <mergeCell ref="K287:K289"/>
    <mergeCell ref="L287:L289"/>
    <mergeCell ref="M287:M289"/>
    <mergeCell ref="N287:N289"/>
    <mergeCell ref="O287:O289"/>
    <mergeCell ref="Q287:Q289"/>
    <mergeCell ref="Q284:Q286"/>
    <mergeCell ref="A287:A289"/>
    <mergeCell ref="B287:B289"/>
    <mergeCell ref="D287:D289"/>
    <mergeCell ref="E287:E289"/>
    <mergeCell ref="F287:F289"/>
    <mergeCell ref="G287:G289"/>
    <mergeCell ref="H287:H289"/>
    <mergeCell ref="I287:I289"/>
    <mergeCell ref="J287:J289"/>
    <mergeCell ref="J284:J286"/>
    <mergeCell ref="K284:K286"/>
    <mergeCell ref="L284:L286"/>
    <mergeCell ref="M284:M286"/>
    <mergeCell ref="N284:N286"/>
    <mergeCell ref="O284:O286"/>
    <mergeCell ref="O281:O283"/>
    <mergeCell ref="Q281:Q283"/>
    <mergeCell ref="A284:A286"/>
    <mergeCell ref="B284:B286"/>
    <mergeCell ref="D284:D286"/>
    <mergeCell ref="E284:E286"/>
    <mergeCell ref="F284:F286"/>
    <mergeCell ref="G284:G286"/>
    <mergeCell ref="H284:H286"/>
    <mergeCell ref="I284:I286"/>
    <mergeCell ref="I281:I283"/>
    <mergeCell ref="J281:J283"/>
    <mergeCell ref="K281:K283"/>
    <mergeCell ref="L281:L283"/>
    <mergeCell ref="M281:M283"/>
    <mergeCell ref="N281:N283"/>
    <mergeCell ref="N278:N280"/>
    <mergeCell ref="O278:O280"/>
    <mergeCell ref="Q278:Q280"/>
    <mergeCell ref="A281:A283"/>
    <mergeCell ref="B281:B283"/>
    <mergeCell ref="D281:D283"/>
    <mergeCell ref="E281:E283"/>
    <mergeCell ref="F281:F283"/>
    <mergeCell ref="G281:G283"/>
    <mergeCell ref="H281:H283"/>
    <mergeCell ref="H278:H280"/>
    <mergeCell ref="I278:I280"/>
    <mergeCell ref="J278:J280"/>
    <mergeCell ref="K278:K280"/>
    <mergeCell ref="L278:L280"/>
    <mergeCell ref="M278:M280"/>
    <mergeCell ref="A278:A280"/>
    <mergeCell ref="B278:B280"/>
    <mergeCell ref="D278:D280"/>
    <mergeCell ref="E278:E280"/>
    <mergeCell ref="F278:F280"/>
    <mergeCell ref="G278:G280"/>
    <mergeCell ref="K275:K277"/>
    <mergeCell ref="L275:L277"/>
    <mergeCell ref="M275:M277"/>
    <mergeCell ref="N275:N277"/>
    <mergeCell ref="O275:O277"/>
    <mergeCell ref="Q275:Q277"/>
    <mergeCell ref="Q272:Q274"/>
    <mergeCell ref="A275:A277"/>
    <mergeCell ref="B275:B277"/>
    <mergeCell ref="D275:D277"/>
    <mergeCell ref="E275:E277"/>
    <mergeCell ref="F275:F277"/>
    <mergeCell ref="G275:G277"/>
    <mergeCell ref="H275:H277"/>
    <mergeCell ref="I275:I277"/>
    <mergeCell ref="J275:J277"/>
    <mergeCell ref="J272:J274"/>
    <mergeCell ref="K272:K274"/>
    <mergeCell ref="L272:L274"/>
    <mergeCell ref="M272:M274"/>
    <mergeCell ref="N272:N274"/>
    <mergeCell ref="O272:O274"/>
    <mergeCell ref="O269:O271"/>
    <mergeCell ref="Q269:Q271"/>
    <mergeCell ref="A272:A274"/>
    <mergeCell ref="B272:B274"/>
    <mergeCell ref="D272:D274"/>
    <mergeCell ref="E272:E274"/>
    <mergeCell ref="F272:F274"/>
    <mergeCell ref="G272:G274"/>
    <mergeCell ref="H272:H274"/>
    <mergeCell ref="I272:I274"/>
    <mergeCell ref="I269:I271"/>
    <mergeCell ref="J269:J271"/>
    <mergeCell ref="K269:K271"/>
    <mergeCell ref="L269:L271"/>
    <mergeCell ref="M269:M271"/>
    <mergeCell ref="N269:N271"/>
    <mergeCell ref="N266:N268"/>
    <mergeCell ref="O266:O268"/>
    <mergeCell ref="Q266:Q268"/>
    <mergeCell ref="A269:A271"/>
    <mergeCell ref="B269:B271"/>
    <mergeCell ref="D269:D271"/>
    <mergeCell ref="E269:E271"/>
    <mergeCell ref="F269:F271"/>
    <mergeCell ref="G269:G271"/>
    <mergeCell ref="H269:H271"/>
    <mergeCell ref="H266:H268"/>
    <mergeCell ref="I266:I268"/>
    <mergeCell ref="J266:J268"/>
    <mergeCell ref="K266:K268"/>
    <mergeCell ref="L266:L268"/>
    <mergeCell ref="M266:M268"/>
    <mergeCell ref="N262:N264"/>
    <mergeCell ref="O262:O264"/>
    <mergeCell ref="Q262:Q264"/>
    <mergeCell ref="A265:Q265"/>
    <mergeCell ref="A266:A268"/>
    <mergeCell ref="B266:B268"/>
    <mergeCell ref="D266:D268"/>
    <mergeCell ref="E266:E268"/>
    <mergeCell ref="F266:F268"/>
    <mergeCell ref="G266:G268"/>
    <mergeCell ref="H262:H264"/>
    <mergeCell ref="I262:I264"/>
    <mergeCell ref="J262:J264"/>
    <mergeCell ref="K262:K264"/>
    <mergeCell ref="L262:L264"/>
    <mergeCell ref="M262:M264"/>
    <mergeCell ref="A262:A264"/>
    <mergeCell ref="B262:B264"/>
    <mergeCell ref="D262:D264"/>
    <mergeCell ref="E262:E264"/>
    <mergeCell ref="F262:F264"/>
    <mergeCell ref="G262:G264"/>
    <mergeCell ref="K259:K261"/>
    <mergeCell ref="L259:L261"/>
    <mergeCell ref="M259:M261"/>
    <mergeCell ref="N259:N261"/>
    <mergeCell ref="O259:O261"/>
    <mergeCell ref="Q259:Q261"/>
    <mergeCell ref="Q256:Q258"/>
    <mergeCell ref="A259:A261"/>
    <mergeCell ref="B259:B261"/>
    <mergeCell ref="D259:D261"/>
    <mergeCell ref="E259:E261"/>
    <mergeCell ref="F259:F261"/>
    <mergeCell ref="G259:G261"/>
    <mergeCell ref="H259:H261"/>
    <mergeCell ref="I259:I261"/>
    <mergeCell ref="J259:J261"/>
    <mergeCell ref="J256:J258"/>
    <mergeCell ref="K256:K258"/>
    <mergeCell ref="L256:L258"/>
    <mergeCell ref="M256:M258"/>
    <mergeCell ref="N256:N258"/>
    <mergeCell ref="O256:O258"/>
    <mergeCell ref="O253:O255"/>
    <mergeCell ref="Q253:Q255"/>
    <mergeCell ref="A256:A258"/>
    <mergeCell ref="B256:B258"/>
    <mergeCell ref="D256:D258"/>
    <mergeCell ref="E256:E258"/>
    <mergeCell ref="F256:F258"/>
    <mergeCell ref="G256:G258"/>
    <mergeCell ref="H256:H258"/>
    <mergeCell ref="I256:I258"/>
    <mergeCell ref="I253:I255"/>
    <mergeCell ref="J253:J255"/>
    <mergeCell ref="K253:K255"/>
    <mergeCell ref="L253:L255"/>
    <mergeCell ref="M253:M255"/>
    <mergeCell ref="N253:N255"/>
    <mergeCell ref="N250:N252"/>
    <mergeCell ref="O250:O252"/>
    <mergeCell ref="Q250:Q252"/>
    <mergeCell ref="A253:A255"/>
    <mergeCell ref="B253:B255"/>
    <mergeCell ref="D253:D255"/>
    <mergeCell ref="E253:E255"/>
    <mergeCell ref="F253:F255"/>
    <mergeCell ref="G253:G255"/>
    <mergeCell ref="H253:H255"/>
    <mergeCell ref="H250:H252"/>
    <mergeCell ref="I250:I252"/>
    <mergeCell ref="J250:J252"/>
    <mergeCell ref="K250:K252"/>
    <mergeCell ref="L250:L252"/>
    <mergeCell ref="M250:M252"/>
    <mergeCell ref="A250:A252"/>
    <mergeCell ref="B250:B252"/>
    <mergeCell ref="D250:D252"/>
    <mergeCell ref="E250:E252"/>
    <mergeCell ref="F250:F252"/>
    <mergeCell ref="G250:G252"/>
    <mergeCell ref="K247:K249"/>
    <mergeCell ref="L247:L249"/>
    <mergeCell ref="M247:M249"/>
    <mergeCell ref="N247:N249"/>
    <mergeCell ref="O247:O249"/>
    <mergeCell ref="Q247:Q249"/>
    <mergeCell ref="Q244:Q246"/>
    <mergeCell ref="A247:A249"/>
    <mergeCell ref="B247:B249"/>
    <mergeCell ref="D247:D249"/>
    <mergeCell ref="E247:E249"/>
    <mergeCell ref="F247:F249"/>
    <mergeCell ref="G247:G249"/>
    <mergeCell ref="H247:H249"/>
    <mergeCell ref="I247:I249"/>
    <mergeCell ref="J247:J249"/>
    <mergeCell ref="J244:J246"/>
    <mergeCell ref="K244:K246"/>
    <mergeCell ref="L244:L246"/>
    <mergeCell ref="M244:M246"/>
    <mergeCell ref="N244:N246"/>
    <mergeCell ref="O244:O246"/>
    <mergeCell ref="Q240:Q242"/>
    <mergeCell ref="A243:Q243"/>
    <mergeCell ref="A244:A246"/>
    <mergeCell ref="B244:B246"/>
    <mergeCell ref="D244:D246"/>
    <mergeCell ref="E244:E246"/>
    <mergeCell ref="F244:F246"/>
    <mergeCell ref="G244:G246"/>
    <mergeCell ref="H244:H246"/>
    <mergeCell ref="I244:I246"/>
    <mergeCell ref="J240:J242"/>
    <mergeCell ref="K240:K242"/>
    <mergeCell ref="L240:L242"/>
    <mergeCell ref="M240:M242"/>
    <mergeCell ref="N240:N242"/>
    <mergeCell ref="O240:O242"/>
    <mergeCell ref="Q236:Q238"/>
    <mergeCell ref="A239:Q239"/>
    <mergeCell ref="A240:A242"/>
    <mergeCell ref="B240:B242"/>
    <mergeCell ref="D240:D242"/>
    <mergeCell ref="E240:E242"/>
    <mergeCell ref="F240:F242"/>
    <mergeCell ref="G240:G242"/>
    <mergeCell ref="H240:H242"/>
    <mergeCell ref="I240:I242"/>
    <mergeCell ref="J236:J238"/>
    <mergeCell ref="K236:K238"/>
    <mergeCell ref="L236:L238"/>
    <mergeCell ref="M236:M238"/>
    <mergeCell ref="N236:N238"/>
    <mergeCell ref="O236:O238"/>
    <mergeCell ref="O233:O235"/>
    <mergeCell ref="Q233:Q235"/>
    <mergeCell ref="A236:A238"/>
    <mergeCell ref="B236:B238"/>
    <mergeCell ref="D236:D238"/>
    <mergeCell ref="E236:E238"/>
    <mergeCell ref="F236:F238"/>
    <mergeCell ref="G236:G238"/>
    <mergeCell ref="H236:H238"/>
    <mergeCell ref="I236:I238"/>
    <mergeCell ref="I233:I235"/>
    <mergeCell ref="J233:J235"/>
    <mergeCell ref="K233:K235"/>
    <mergeCell ref="L233:L235"/>
    <mergeCell ref="M233:M235"/>
    <mergeCell ref="N233:N235"/>
    <mergeCell ref="N230:N232"/>
    <mergeCell ref="O230:O232"/>
    <mergeCell ref="Q230:Q232"/>
    <mergeCell ref="A233:A235"/>
    <mergeCell ref="B233:B235"/>
    <mergeCell ref="D233:D235"/>
    <mergeCell ref="E233:E235"/>
    <mergeCell ref="F233:F235"/>
    <mergeCell ref="G233:G235"/>
    <mergeCell ref="H233:H235"/>
    <mergeCell ref="H230:H232"/>
    <mergeCell ref="I230:I232"/>
    <mergeCell ref="J230:J232"/>
    <mergeCell ref="K230:K232"/>
    <mergeCell ref="L230:L232"/>
    <mergeCell ref="M230:M232"/>
    <mergeCell ref="A230:A232"/>
    <mergeCell ref="B230:B232"/>
    <mergeCell ref="D230:D232"/>
    <mergeCell ref="E230:E232"/>
    <mergeCell ref="F230:F232"/>
    <mergeCell ref="G230:G232"/>
    <mergeCell ref="K227:K229"/>
    <mergeCell ref="L227:L229"/>
    <mergeCell ref="M227:M229"/>
    <mergeCell ref="N227:N229"/>
    <mergeCell ref="O227:O229"/>
    <mergeCell ref="Q227:Q229"/>
    <mergeCell ref="Q224:Q226"/>
    <mergeCell ref="A227:A229"/>
    <mergeCell ref="B227:B229"/>
    <mergeCell ref="D227:D229"/>
    <mergeCell ref="E227:E229"/>
    <mergeCell ref="F227:F229"/>
    <mergeCell ref="G227:G229"/>
    <mergeCell ref="H227:H229"/>
    <mergeCell ref="I227:I229"/>
    <mergeCell ref="J227:J229"/>
    <mergeCell ref="J224:J226"/>
    <mergeCell ref="K224:K226"/>
    <mergeCell ref="L224:L226"/>
    <mergeCell ref="M224:M226"/>
    <mergeCell ref="N224:N226"/>
    <mergeCell ref="O224:O226"/>
    <mergeCell ref="O221:O223"/>
    <mergeCell ref="Q221:Q223"/>
    <mergeCell ref="A224:A226"/>
    <mergeCell ref="B224:B226"/>
    <mergeCell ref="D224:D226"/>
    <mergeCell ref="E224:E226"/>
    <mergeCell ref="F224:F226"/>
    <mergeCell ref="G224:G226"/>
    <mergeCell ref="H224:H226"/>
    <mergeCell ref="I224:I226"/>
    <mergeCell ref="I221:I223"/>
    <mergeCell ref="J221:J223"/>
    <mergeCell ref="K221:K223"/>
    <mergeCell ref="L221:L223"/>
    <mergeCell ref="M221:M223"/>
    <mergeCell ref="N221:N223"/>
    <mergeCell ref="O217:O219"/>
    <mergeCell ref="Q217:Q219"/>
    <mergeCell ref="A220:Q220"/>
    <mergeCell ref="A221:A223"/>
    <mergeCell ref="B221:B223"/>
    <mergeCell ref="D221:D223"/>
    <mergeCell ref="E221:E223"/>
    <mergeCell ref="F221:F223"/>
    <mergeCell ref="G221:G223"/>
    <mergeCell ref="H221:H223"/>
    <mergeCell ref="I217:I219"/>
    <mergeCell ref="J217:J219"/>
    <mergeCell ref="K217:K219"/>
    <mergeCell ref="L217:L219"/>
    <mergeCell ref="M217:M219"/>
    <mergeCell ref="N217:N219"/>
    <mergeCell ref="N214:N216"/>
    <mergeCell ref="O214:O216"/>
    <mergeCell ref="Q214:Q216"/>
    <mergeCell ref="A217:A219"/>
    <mergeCell ref="B217:B219"/>
    <mergeCell ref="D217:D219"/>
    <mergeCell ref="E217:E219"/>
    <mergeCell ref="F217:F219"/>
    <mergeCell ref="G217:G219"/>
    <mergeCell ref="H217:H219"/>
    <mergeCell ref="H214:H216"/>
    <mergeCell ref="I214:I216"/>
    <mergeCell ref="J214:J216"/>
    <mergeCell ref="K214:K216"/>
    <mergeCell ref="L214:L216"/>
    <mergeCell ref="M214:M216"/>
    <mergeCell ref="Q208:Q210"/>
    <mergeCell ref="A211:Q211"/>
    <mergeCell ref="A212:Q212"/>
    <mergeCell ref="A213:Q213"/>
    <mergeCell ref="A214:A216"/>
    <mergeCell ref="B214:B216"/>
    <mergeCell ref="D214:D216"/>
    <mergeCell ref="E214:E216"/>
    <mergeCell ref="F214:F216"/>
    <mergeCell ref="G214:G216"/>
    <mergeCell ref="J208:J210"/>
    <mergeCell ref="K208:K210"/>
    <mergeCell ref="L208:L210"/>
    <mergeCell ref="M208:M210"/>
    <mergeCell ref="N208:N210"/>
    <mergeCell ref="O208:O210"/>
    <mergeCell ref="O205:O207"/>
    <mergeCell ref="Q205:Q207"/>
    <mergeCell ref="A208:A210"/>
    <mergeCell ref="B208:B210"/>
    <mergeCell ref="D208:D210"/>
    <mergeCell ref="E208:E210"/>
    <mergeCell ref="F208:F210"/>
    <mergeCell ref="G208:G210"/>
    <mergeCell ref="H208:H210"/>
    <mergeCell ref="I208:I210"/>
    <mergeCell ref="I205:I207"/>
    <mergeCell ref="J205:J207"/>
    <mergeCell ref="K205:K207"/>
    <mergeCell ref="L205:L207"/>
    <mergeCell ref="M205:M207"/>
    <mergeCell ref="N205:N207"/>
    <mergeCell ref="N202:N204"/>
    <mergeCell ref="O202:O204"/>
    <mergeCell ref="Q202:Q204"/>
    <mergeCell ref="A205:A207"/>
    <mergeCell ref="B205:B207"/>
    <mergeCell ref="D205:D207"/>
    <mergeCell ref="E205:E207"/>
    <mergeCell ref="F205:F207"/>
    <mergeCell ref="G205:G207"/>
    <mergeCell ref="H205:H207"/>
    <mergeCell ref="H202:H204"/>
    <mergeCell ref="I202:I204"/>
    <mergeCell ref="J202:J204"/>
    <mergeCell ref="K202:K204"/>
    <mergeCell ref="L202:L204"/>
    <mergeCell ref="M202:M204"/>
    <mergeCell ref="A202:A204"/>
    <mergeCell ref="B202:B204"/>
    <mergeCell ref="D202:D204"/>
    <mergeCell ref="E202:E204"/>
    <mergeCell ref="F202:F204"/>
    <mergeCell ref="G202:G204"/>
    <mergeCell ref="K199:K201"/>
    <mergeCell ref="L199:L201"/>
    <mergeCell ref="M199:M201"/>
    <mergeCell ref="N199:N201"/>
    <mergeCell ref="O199:O201"/>
    <mergeCell ref="Q199:Q201"/>
    <mergeCell ref="Q196:Q198"/>
    <mergeCell ref="A199:A201"/>
    <mergeCell ref="B199:B201"/>
    <mergeCell ref="D199:D201"/>
    <mergeCell ref="E199:E201"/>
    <mergeCell ref="F199:F201"/>
    <mergeCell ref="G199:G201"/>
    <mergeCell ref="H199:H201"/>
    <mergeCell ref="I199:I201"/>
    <mergeCell ref="J199:J201"/>
    <mergeCell ref="J196:J198"/>
    <mergeCell ref="K196:K198"/>
    <mergeCell ref="L196:L198"/>
    <mergeCell ref="M196:M198"/>
    <mergeCell ref="N196:N198"/>
    <mergeCell ref="O196:O198"/>
    <mergeCell ref="O193:O195"/>
    <mergeCell ref="Q193:Q195"/>
    <mergeCell ref="A196:A198"/>
    <mergeCell ref="B196:B198"/>
    <mergeCell ref="D196:D198"/>
    <mergeCell ref="E196:E198"/>
    <mergeCell ref="F196:F198"/>
    <mergeCell ref="G196:G198"/>
    <mergeCell ref="H196:H198"/>
    <mergeCell ref="I196:I198"/>
    <mergeCell ref="I193:I195"/>
    <mergeCell ref="J193:J195"/>
    <mergeCell ref="K193:K195"/>
    <mergeCell ref="L193:L195"/>
    <mergeCell ref="M193:M195"/>
    <mergeCell ref="N193:N195"/>
    <mergeCell ref="A190:Q190"/>
    <mergeCell ref="A191:Q191"/>
    <mergeCell ref="A192:Q192"/>
    <mergeCell ref="A193:A195"/>
    <mergeCell ref="B193:B195"/>
    <mergeCell ref="D193:D195"/>
    <mergeCell ref="E193:E195"/>
    <mergeCell ref="F193:F195"/>
    <mergeCell ref="G193:G195"/>
    <mergeCell ref="H193:H195"/>
    <mergeCell ref="K187:K189"/>
    <mergeCell ref="L187:L189"/>
    <mergeCell ref="M187:M189"/>
    <mergeCell ref="N187:N189"/>
    <mergeCell ref="O187:O189"/>
    <mergeCell ref="Q187:Q189"/>
    <mergeCell ref="Q184:Q186"/>
    <mergeCell ref="A187:A189"/>
    <mergeCell ref="B187:B189"/>
    <mergeCell ref="D187:D189"/>
    <mergeCell ref="E187:E189"/>
    <mergeCell ref="F187:F189"/>
    <mergeCell ref="G187:G189"/>
    <mergeCell ref="H187:H189"/>
    <mergeCell ref="I187:I189"/>
    <mergeCell ref="J187:J189"/>
    <mergeCell ref="J184:J186"/>
    <mergeCell ref="K184:K186"/>
    <mergeCell ref="L184:L186"/>
    <mergeCell ref="M184:M186"/>
    <mergeCell ref="N184:N186"/>
    <mergeCell ref="O184:O186"/>
    <mergeCell ref="O181:O183"/>
    <mergeCell ref="Q181:Q183"/>
    <mergeCell ref="A184:A186"/>
    <mergeCell ref="B184:B186"/>
    <mergeCell ref="D184:D186"/>
    <mergeCell ref="E184:E186"/>
    <mergeCell ref="F184:F186"/>
    <mergeCell ref="G184:G186"/>
    <mergeCell ref="H184:H186"/>
    <mergeCell ref="I184:I186"/>
    <mergeCell ref="I181:I183"/>
    <mergeCell ref="J181:J183"/>
    <mergeCell ref="K181:K183"/>
    <mergeCell ref="L181:L183"/>
    <mergeCell ref="M181:M183"/>
    <mergeCell ref="N181:N183"/>
    <mergeCell ref="O177:O179"/>
    <mergeCell ref="Q177:Q179"/>
    <mergeCell ref="A180:Q180"/>
    <mergeCell ref="A181:A183"/>
    <mergeCell ref="B181:B183"/>
    <mergeCell ref="D181:D183"/>
    <mergeCell ref="E181:E183"/>
    <mergeCell ref="F181:F183"/>
    <mergeCell ref="G181:G183"/>
    <mergeCell ref="H181:H183"/>
    <mergeCell ref="I177:I179"/>
    <mergeCell ref="J177:J179"/>
    <mergeCell ref="K177:K179"/>
    <mergeCell ref="L177:L179"/>
    <mergeCell ref="M177:M179"/>
    <mergeCell ref="N177:N179"/>
    <mergeCell ref="N174:N176"/>
    <mergeCell ref="O174:O176"/>
    <mergeCell ref="Q174:Q176"/>
    <mergeCell ref="A177:A179"/>
    <mergeCell ref="B177:B179"/>
    <mergeCell ref="D177:D179"/>
    <mergeCell ref="E177:E179"/>
    <mergeCell ref="F177:F179"/>
    <mergeCell ref="G177:G179"/>
    <mergeCell ref="H177:H179"/>
    <mergeCell ref="H174:H176"/>
    <mergeCell ref="I174:I176"/>
    <mergeCell ref="J174:J176"/>
    <mergeCell ref="K174:K176"/>
    <mergeCell ref="L174:L176"/>
    <mergeCell ref="M174:M176"/>
    <mergeCell ref="A174:A176"/>
    <mergeCell ref="B174:B176"/>
    <mergeCell ref="D174:D176"/>
    <mergeCell ref="E174:E176"/>
    <mergeCell ref="F174:F176"/>
    <mergeCell ref="G174:G176"/>
    <mergeCell ref="K171:K173"/>
    <mergeCell ref="L171:L173"/>
    <mergeCell ref="M171:M173"/>
    <mergeCell ref="N171:N173"/>
    <mergeCell ref="O171:O173"/>
    <mergeCell ref="Q171:Q173"/>
    <mergeCell ref="A170:Q170"/>
    <mergeCell ref="A171:A173"/>
    <mergeCell ref="B171:B173"/>
    <mergeCell ref="D171:D173"/>
    <mergeCell ref="E171:E173"/>
    <mergeCell ref="F171:F173"/>
    <mergeCell ref="G171:G173"/>
    <mergeCell ref="H171:H173"/>
    <mergeCell ref="I171:I173"/>
    <mergeCell ref="J171:J173"/>
    <mergeCell ref="K167:K169"/>
    <mergeCell ref="L167:L169"/>
    <mergeCell ref="M167:M169"/>
    <mergeCell ref="N167:N169"/>
    <mergeCell ref="O167:O169"/>
    <mergeCell ref="Q167:Q169"/>
    <mergeCell ref="Q164:Q166"/>
    <mergeCell ref="A167:A169"/>
    <mergeCell ref="B167:B169"/>
    <mergeCell ref="D167:D169"/>
    <mergeCell ref="E167:E169"/>
    <mergeCell ref="F167:F169"/>
    <mergeCell ref="G167:G169"/>
    <mergeCell ref="H167:H169"/>
    <mergeCell ref="I167:I169"/>
    <mergeCell ref="J167:J169"/>
    <mergeCell ref="J164:J166"/>
    <mergeCell ref="K164:K166"/>
    <mergeCell ref="L164:L166"/>
    <mergeCell ref="M164:M166"/>
    <mergeCell ref="N164:N166"/>
    <mergeCell ref="O164:O166"/>
    <mergeCell ref="O161:O163"/>
    <mergeCell ref="Q161:Q163"/>
    <mergeCell ref="A164:A166"/>
    <mergeCell ref="B164:B166"/>
    <mergeCell ref="D164:D166"/>
    <mergeCell ref="E164:E166"/>
    <mergeCell ref="F164:F166"/>
    <mergeCell ref="G164:G166"/>
    <mergeCell ref="H164:H166"/>
    <mergeCell ref="I164:I166"/>
    <mergeCell ref="I161:I163"/>
    <mergeCell ref="J161:J163"/>
    <mergeCell ref="K161:K163"/>
    <mergeCell ref="L161:L163"/>
    <mergeCell ref="M161:M163"/>
    <mergeCell ref="N161:N163"/>
    <mergeCell ref="N158:N160"/>
    <mergeCell ref="O158:O160"/>
    <mergeCell ref="Q158:Q160"/>
    <mergeCell ref="A161:A163"/>
    <mergeCell ref="B161:B163"/>
    <mergeCell ref="D161:D163"/>
    <mergeCell ref="E161:E163"/>
    <mergeCell ref="F161:F163"/>
    <mergeCell ref="G161:G163"/>
    <mergeCell ref="H161:H163"/>
    <mergeCell ref="H158:H160"/>
    <mergeCell ref="I158:I160"/>
    <mergeCell ref="J158:J160"/>
    <mergeCell ref="K158:K160"/>
    <mergeCell ref="L158:L160"/>
    <mergeCell ref="M158:M160"/>
    <mergeCell ref="A158:A160"/>
    <mergeCell ref="B158:B160"/>
    <mergeCell ref="D158:D160"/>
    <mergeCell ref="E158:E160"/>
    <mergeCell ref="F158:F160"/>
    <mergeCell ref="G158:G160"/>
    <mergeCell ref="K155:K157"/>
    <mergeCell ref="L155:L157"/>
    <mergeCell ref="M155:M157"/>
    <mergeCell ref="N155:N157"/>
    <mergeCell ref="O155:O157"/>
    <mergeCell ref="Q155:Q157"/>
    <mergeCell ref="Q152:Q154"/>
    <mergeCell ref="A155:A157"/>
    <mergeCell ref="B155:B157"/>
    <mergeCell ref="D155:D157"/>
    <mergeCell ref="E155:E157"/>
    <mergeCell ref="F155:F157"/>
    <mergeCell ref="G155:G157"/>
    <mergeCell ref="H155:H157"/>
    <mergeCell ref="I155:I157"/>
    <mergeCell ref="J155:J157"/>
    <mergeCell ref="J152:J154"/>
    <mergeCell ref="K152:K154"/>
    <mergeCell ref="L152:L154"/>
    <mergeCell ref="M152:M154"/>
    <mergeCell ref="N152:N154"/>
    <mergeCell ref="O152:O154"/>
    <mergeCell ref="Q148:Q150"/>
    <mergeCell ref="A151:Q151"/>
    <mergeCell ref="A152:A154"/>
    <mergeCell ref="B152:B154"/>
    <mergeCell ref="D152:D154"/>
    <mergeCell ref="E152:E154"/>
    <mergeCell ref="F152:F154"/>
    <mergeCell ref="G152:G154"/>
    <mergeCell ref="H152:H154"/>
    <mergeCell ref="I152:I154"/>
    <mergeCell ref="J148:J150"/>
    <mergeCell ref="K148:K150"/>
    <mergeCell ref="L148:L150"/>
    <mergeCell ref="M148:M150"/>
    <mergeCell ref="N148:N150"/>
    <mergeCell ref="O148:O150"/>
    <mergeCell ref="O145:O147"/>
    <mergeCell ref="Q145:Q147"/>
    <mergeCell ref="A148:A150"/>
    <mergeCell ref="B148:B150"/>
    <mergeCell ref="D148:D150"/>
    <mergeCell ref="E148:E150"/>
    <mergeCell ref="F148:F150"/>
    <mergeCell ref="G148:G150"/>
    <mergeCell ref="H148:H150"/>
    <mergeCell ref="I148:I150"/>
    <mergeCell ref="I145:I147"/>
    <mergeCell ref="J145:J147"/>
    <mergeCell ref="K145:K147"/>
    <mergeCell ref="L145:L147"/>
    <mergeCell ref="M145:M147"/>
    <mergeCell ref="N145:N147"/>
    <mergeCell ref="N142:N144"/>
    <mergeCell ref="O142:O144"/>
    <mergeCell ref="Q142:Q144"/>
    <mergeCell ref="A145:A147"/>
    <mergeCell ref="B145:B147"/>
    <mergeCell ref="D145:D147"/>
    <mergeCell ref="E145:E147"/>
    <mergeCell ref="F145:F147"/>
    <mergeCell ref="G145:G147"/>
    <mergeCell ref="H145:H147"/>
    <mergeCell ref="H142:H144"/>
    <mergeCell ref="I142:I144"/>
    <mergeCell ref="J142:J144"/>
    <mergeCell ref="K142:K144"/>
    <mergeCell ref="L142:L144"/>
    <mergeCell ref="M142:M144"/>
    <mergeCell ref="A142:A144"/>
    <mergeCell ref="B142:B144"/>
    <mergeCell ref="D142:D144"/>
    <mergeCell ref="E142:E144"/>
    <mergeCell ref="F142:F144"/>
    <mergeCell ref="G142:G144"/>
    <mergeCell ref="K139:K141"/>
    <mergeCell ref="L139:L141"/>
    <mergeCell ref="M139:M141"/>
    <mergeCell ref="N139:N141"/>
    <mergeCell ref="O139:O141"/>
    <mergeCell ref="Q139:Q141"/>
    <mergeCell ref="Q136:Q138"/>
    <mergeCell ref="A139:A141"/>
    <mergeCell ref="B139:B141"/>
    <mergeCell ref="D139:D141"/>
    <mergeCell ref="E139:E141"/>
    <mergeCell ref="F139:F141"/>
    <mergeCell ref="G139:G141"/>
    <mergeCell ref="H139:H141"/>
    <mergeCell ref="I139:I141"/>
    <mergeCell ref="J139:J141"/>
    <mergeCell ref="J136:J138"/>
    <mergeCell ref="K136:K138"/>
    <mergeCell ref="L136:L138"/>
    <mergeCell ref="M136:M138"/>
    <mergeCell ref="N136:N138"/>
    <mergeCell ref="O136:O138"/>
    <mergeCell ref="O133:O135"/>
    <mergeCell ref="Q133:Q135"/>
    <mergeCell ref="A136:A138"/>
    <mergeCell ref="B136:B138"/>
    <mergeCell ref="D136:D138"/>
    <mergeCell ref="E136:E138"/>
    <mergeCell ref="F136:F138"/>
    <mergeCell ref="G136:G138"/>
    <mergeCell ref="H136:H138"/>
    <mergeCell ref="I136:I138"/>
    <mergeCell ref="I133:I135"/>
    <mergeCell ref="J133:J135"/>
    <mergeCell ref="K133:K135"/>
    <mergeCell ref="L133:L135"/>
    <mergeCell ref="M133:M135"/>
    <mergeCell ref="N133:N135"/>
    <mergeCell ref="A130:Q130"/>
    <mergeCell ref="A131:Q131"/>
    <mergeCell ref="A132:Q132"/>
    <mergeCell ref="A133:A135"/>
    <mergeCell ref="B133:B135"/>
    <mergeCell ref="D133:D135"/>
    <mergeCell ref="E133:E135"/>
    <mergeCell ref="F133:F135"/>
    <mergeCell ref="G133:G135"/>
    <mergeCell ref="H133:H135"/>
    <mergeCell ref="A124:Q124"/>
    <mergeCell ref="A125:Q125"/>
    <mergeCell ref="A126:Q126"/>
    <mergeCell ref="A127:Q127"/>
    <mergeCell ref="A128:Q128"/>
    <mergeCell ref="A129:Q129"/>
    <mergeCell ref="K121:K123"/>
    <mergeCell ref="L121:L123"/>
    <mergeCell ref="M121:M123"/>
    <mergeCell ref="N121:N123"/>
    <mergeCell ref="O121:O123"/>
    <mergeCell ref="Q121:Q123"/>
    <mergeCell ref="Q118:Q120"/>
    <mergeCell ref="A121:A123"/>
    <mergeCell ref="B121:B123"/>
    <mergeCell ref="D121:D123"/>
    <mergeCell ref="E121:E123"/>
    <mergeCell ref="F121:F123"/>
    <mergeCell ref="G121:G123"/>
    <mergeCell ref="H121:H123"/>
    <mergeCell ref="I121:I123"/>
    <mergeCell ref="J121:J123"/>
    <mergeCell ref="J118:J120"/>
    <mergeCell ref="K118:K120"/>
    <mergeCell ref="L118:L120"/>
    <mergeCell ref="M118:M120"/>
    <mergeCell ref="N118:N120"/>
    <mergeCell ref="O118:O120"/>
    <mergeCell ref="O115:O117"/>
    <mergeCell ref="Q115:Q117"/>
    <mergeCell ref="A118:A120"/>
    <mergeCell ref="B118:B120"/>
    <mergeCell ref="D118:D120"/>
    <mergeCell ref="E118:E120"/>
    <mergeCell ref="F118:F120"/>
    <mergeCell ref="G118:G120"/>
    <mergeCell ref="H118:H120"/>
    <mergeCell ref="I118:I120"/>
    <mergeCell ref="I115:I117"/>
    <mergeCell ref="J115:J117"/>
    <mergeCell ref="K115:K117"/>
    <mergeCell ref="L115:L117"/>
    <mergeCell ref="M115:M117"/>
    <mergeCell ref="N115:N117"/>
    <mergeCell ref="N112:N114"/>
    <mergeCell ref="O112:O114"/>
    <mergeCell ref="Q112:Q114"/>
    <mergeCell ref="A115:A117"/>
    <mergeCell ref="B115:B117"/>
    <mergeCell ref="D115:D117"/>
    <mergeCell ref="E115:E117"/>
    <mergeCell ref="F115:F117"/>
    <mergeCell ref="G115:G117"/>
    <mergeCell ref="H115:H117"/>
    <mergeCell ref="H112:H114"/>
    <mergeCell ref="I112:I114"/>
    <mergeCell ref="J112:J114"/>
    <mergeCell ref="K112:K114"/>
    <mergeCell ref="L112:L114"/>
    <mergeCell ref="M112:M114"/>
    <mergeCell ref="A112:A114"/>
    <mergeCell ref="B112:B114"/>
    <mergeCell ref="D112:D114"/>
    <mergeCell ref="E112:E114"/>
    <mergeCell ref="F112:F114"/>
    <mergeCell ref="G112:G114"/>
    <mergeCell ref="K109:K111"/>
    <mergeCell ref="L109:L111"/>
    <mergeCell ref="M109:M111"/>
    <mergeCell ref="N109:N111"/>
    <mergeCell ref="O109:O111"/>
    <mergeCell ref="Q109:Q111"/>
    <mergeCell ref="Q106:Q108"/>
    <mergeCell ref="A109:A111"/>
    <mergeCell ref="B109:B111"/>
    <mergeCell ref="D109:D111"/>
    <mergeCell ref="E109:E111"/>
    <mergeCell ref="F109:F111"/>
    <mergeCell ref="G109:G111"/>
    <mergeCell ref="H109:H111"/>
    <mergeCell ref="I109:I111"/>
    <mergeCell ref="J109:J111"/>
    <mergeCell ref="J106:J108"/>
    <mergeCell ref="K106:K108"/>
    <mergeCell ref="L106:L108"/>
    <mergeCell ref="M106:M108"/>
    <mergeCell ref="N106:N108"/>
    <mergeCell ref="O106:O108"/>
    <mergeCell ref="O103:O105"/>
    <mergeCell ref="Q103:Q105"/>
    <mergeCell ref="A106:A108"/>
    <mergeCell ref="B106:B108"/>
    <mergeCell ref="D106:D108"/>
    <mergeCell ref="E106:E108"/>
    <mergeCell ref="F106:F108"/>
    <mergeCell ref="G106:G108"/>
    <mergeCell ref="H106:H108"/>
    <mergeCell ref="I106:I108"/>
    <mergeCell ref="I103:I105"/>
    <mergeCell ref="J103:J105"/>
    <mergeCell ref="K103:K105"/>
    <mergeCell ref="L103:L105"/>
    <mergeCell ref="M103:M105"/>
    <mergeCell ref="N103:N105"/>
    <mergeCell ref="N100:N102"/>
    <mergeCell ref="O100:O102"/>
    <mergeCell ref="Q100:Q102"/>
    <mergeCell ref="A103:A105"/>
    <mergeCell ref="B103:B105"/>
    <mergeCell ref="D103:D105"/>
    <mergeCell ref="E103:E105"/>
    <mergeCell ref="F103:F105"/>
    <mergeCell ref="G103:G105"/>
    <mergeCell ref="H103:H105"/>
    <mergeCell ref="H100:H102"/>
    <mergeCell ref="I100:I102"/>
    <mergeCell ref="J100:J102"/>
    <mergeCell ref="K100:K102"/>
    <mergeCell ref="L100:L102"/>
    <mergeCell ref="M100:M102"/>
    <mergeCell ref="A100:A102"/>
    <mergeCell ref="B100:B102"/>
    <mergeCell ref="D100:D102"/>
    <mergeCell ref="E100:E102"/>
    <mergeCell ref="F100:F102"/>
    <mergeCell ref="G100:G102"/>
    <mergeCell ref="K97:K99"/>
    <mergeCell ref="L97:L99"/>
    <mergeCell ref="M97:M99"/>
    <mergeCell ref="N97:N99"/>
    <mergeCell ref="O97:O99"/>
    <mergeCell ref="Q97:Q99"/>
    <mergeCell ref="Q94:Q96"/>
    <mergeCell ref="A97:A99"/>
    <mergeCell ref="B97:B99"/>
    <mergeCell ref="D97:D99"/>
    <mergeCell ref="E97:E99"/>
    <mergeCell ref="F97:F99"/>
    <mergeCell ref="G97:G99"/>
    <mergeCell ref="H97:H99"/>
    <mergeCell ref="I97:I99"/>
    <mergeCell ref="J97:J99"/>
    <mergeCell ref="J94:J96"/>
    <mergeCell ref="K94:K96"/>
    <mergeCell ref="L94:L96"/>
    <mergeCell ref="M94:M96"/>
    <mergeCell ref="N94:N96"/>
    <mergeCell ref="O94:O96"/>
    <mergeCell ref="O91:O93"/>
    <mergeCell ref="Q91:Q93"/>
    <mergeCell ref="A94:A96"/>
    <mergeCell ref="B94:B96"/>
    <mergeCell ref="D94:D96"/>
    <mergeCell ref="E94:E96"/>
    <mergeCell ref="F94:F96"/>
    <mergeCell ref="G94:G96"/>
    <mergeCell ref="H94:H96"/>
    <mergeCell ref="I94:I96"/>
    <mergeCell ref="I91:I93"/>
    <mergeCell ref="J91:J93"/>
    <mergeCell ref="K91:K93"/>
    <mergeCell ref="L91:L93"/>
    <mergeCell ref="M91:M93"/>
    <mergeCell ref="N91:N93"/>
    <mergeCell ref="N88:N90"/>
    <mergeCell ref="O88:O90"/>
    <mergeCell ref="Q88:Q90"/>
    <mergeCell ref="A91:A93"/>
    <mergeCell ref="B91:B93"/>
    <mergeCell ref="D91:D93"/>
    <mergeCell ref="E91:E93"/>
    <mergeCell ref="F91:F93"/>
    <mergeCell ref="G91:G93"/>
    <mergeCell ref="H91:H93"/>
    <mergeCell ref="H88:H90"/>
    <mergeCell ref="I88:I90"/>
    <mergeCell ref="J88:J90"/>
    <mergeCell ref="K88:K90"/>
    <mergeCell ref="L88:L90"/>
    <mergeCell ref="M88:M90"/>
    <mergeCell ref="A88:A90"/>
    <mergeCell ref="B88:B90"/>
    <mergeCell ref="D88:D90"/>
    <mergeCell ref="E88:E90"/>
    <mergeCell ref="F88:F90"/>
    <mergeCell ref="G88:G90"/>
    <mergeCell ref="K85:K87"/>
    <mergeCell ref="L85:L87"/>
    <mergeCell ref="M85:M87"/>
    <mergeCell ref="N85:N87"/>
    <mergeCell ref="O85:O87"/>
    <mergeCell ref="Q85:Q87"/>
    <mergeCell ref="Q82:Q84"/>
    <mergeCell ref="A85:A87"/>
    <mergeCell ref="B85:B87"/>
    <mergeCell ref="D85:D87"/>
    <mergeCell ref="E85:E87"/>
    <mergeCell ref="F85:F87"/>
    <mergeCell ref="G85:G87"/>
    <mergeCell ref="H85:H87"/>
    <mergeCell ref="I85:I87"/>
    <mergeCell ref="J85:J87"/>
    <mergeCell ref="J82:J84"/>
    <mergeCell ref="K82:K84"/>
    <mergeCell ref="L82:L84"/>
    <mergeCell ref="M82:M84"/>
    <mergeCell ref="N82:N84"/>
    <mergeCell ref="O82:O84"/>
    <mergeCell ref="O79:O81"/>
    <mergeCell ref="Q79:Q81"/>
    <mergeCell ref="A82:A84"/>
    <mergeCell ref="B82:B84"/>
    <mergeCell ref="D82:D84"/>
    <mergeCell ref="E82:E84"/>
    <mergeCell ref="F82:F84"/>
    <mergeCell ref="G82:G84"/>
    <mergeCell ref="H82:H84"/>
    <mergeCell ref="I82:I84"/>
    <mergeCell ref="I79:I81"/>
    <mergeCell ref="J79:J81"/>
    <mergeCell ref="K79:K81"/>
    <mergeCell ref="L79:L81"/>
    <mergeCell ref="M79:M81"/>
    <mergeCell ref="N79:N81"/>
    <mergeCell ref="N76:N78"/>
    <mergeCell ref="O76:O78"/>
    <mergeCell ref="Q76:Q78"/>
    <mergeCell ref="A79:A81"/>
    <mergeCell ref="B79:B81"/>
    <mergeCell ref="D79:D81"/>
    <mergeCell ref="E79:E81"/>
    <mergeCell ref="F79:F81"/>
    <mergeCell ref="G79:G81"/>
    <mergeCell ref="H79:H81"/>
    <mergeCell ref="H76:H78"/>
    <mergeCell ref="I76:I78"/>
    <mergeCell ref="J76:J78"/>
    <mergeCell ref="K76:K78"/>
    <mergeCell ref="L76:L78"/>
    <mergeCell ref="M76:M78"/>
    <mergeCell ref="A76:A78"/>
    <mergeCell ref="B76:B78"/>
    <mergeCell ref="D76:D78"/>
    <mergeCell ref="E76:E78"/>
    <mergeCell ref="F76:F78"/>
    <mergeCell ref="G76:G78"/>
    <mergeCell ref="K73:K75"/>
    <mergeCell ref="L73:L75"/>
    <mergeCell ref="M73:M75"/>
    <mergeCell ref="N73:N75"/>
    <mergeCell ref="O73:O75"/>
    <mergeCell ref="Q73:Q75"/>
    <mergeCell ref="Q70:Q72"/>
    <mergeCell ref="A73:A75"/>
    <mergeCell ref="B73:B75"/>
    <mergeCell ref="D73:D75"/>
    <mergeCell ref="E73:E75"/>
    <mergeCell ref="F73:F75"/>
    <mergeCell ref="G73:G75"/>
    <mergeCell ref="H73:H75"/>
    <mergeCell ref="I73:I75"/>
    <mergeCell ref="J73:J75"/>
    <mergeCell ref="J70:J72"/>
    <mergeCell ref="K70:K72"/>
    <mergeCell ref="L70:L72"/>
    <mergeCell ref="M70:M72"/>
    <mergeCell ref="N70:N72"/>
    <mergeCell ref="O70:O72"/>
    <mergeCell ref="O67:O69"/>
    <mergeCell ref="Q67:Q69"/>
    <mergeCell ref="A70:A72"/>
    <mergeCell ref="B70:B72"/>
    <mergeCell ref="D70:D72"/>
    <mergeCell ref="E70:E72"/>
    <mergeCell ref="F70:F72"/>
    <mergeCell ref="G70:G72"/>
    <mergeCell ref="H70:H72"/>
    <mergeCell ref="I70:I72"/>
    <mergeCell ref="I67:I69"/>
    <mergeCell ref="J67:J69"/>
    <mergeCell ref="K67:K69"/>
    <mergeCell ref="L67:L69"/>
    <mergeCell ref="M67:M69"/>
    <mergeCell ref="N67:N69"/>
    <mergeCell ref="N64:N66"/>
    <mergeCell ref="O64:O66"/>
    <mergeCell ref="Q64:Q66"/>
    <mergeCell ref="A67:A69"/>
    <mergeCell ref="B67:B69"/>
    <mergeCell ref="D67:D69"/>
    <mergeCell ref="E67:E69"/>
    <mergeCell ref="F67:F69"/>
    <mergeCell ref="G67:G69"/>
    <mergeCell ref="H67:H69"/>
    <mergeCell ref="H64:H66"/>
    <mergeCell ref="I64:I66"/>
    <mergeCell ref="J64:J66"/>
    <mergeCell ref="K64:K66"/>
    <mergeCell ref="L64:L66"/>
    <mergeCell ref="M64:M66"/>
    <mergeCell ref="A64:A66"/>
    <mergeCell ref="B64:B66"/>
    <mergeCell ref="D64:D66"/>
    <mergeCell ref="E64:E66"/>
    <mergeCell ref="F64:F66"/>
    <mergeCell ref="G64:G66"/>
    <mergeCell ref="K61:K63"/>
    <mergeCell ref="L61:L63"/>
    <mergeCell ref="M61:M63"/>
    <mergeCell ref="N61:N63"/>
    <mergeCell ref="O61:O63"/>
    <mergeCell ref="Q61:Q63"/>
    <mergeCell ref="Q58:Q60"/>
    <mergeCell ref="A61:A63"/>
    <mergeCell ref="B61:B63"/>
    <mergeCell ref="D61:D63"/>
    <mergeCell ref="E61:E63"/>
    <mergeCell ref="F61:F63"/>
    <mergeCell ref="G61:G63"/>
    <mergeCell ref="H61:H63"/>
    <mergeCell ref="I61:I63"/>
    <mergeCell ref="J61:J63"/>
    <mergeCell ref="J58:J60"/>
    <mergeCell ref="K58:K60"/>
    <mergeCell ref="L58:L60"/>
    <mergeCell ref="M58:M60"/>
    <mergeCell ref="N58:N60"/>
    <mergeCell ref="O58:O60"/>
    <mergeCell ref="O55:O57"/>
    <mergeCell ref="Q55:Q57"/>
    <mergeCell ref="A58:A60"/>
    <mergeCell ref="B58:B60"/>
    <mergeCell ref="D58:D60"/>
    <mergeCell ref="E58:E60"/>
    <mergeCell ref="F58:F60"/>
    <mergeCell ref="G58:G60"/>
    <mergeCell ref="H58:H60"/>
    <mergeCell ref="I58:I60"/>
    <mergeCell ref="I55:I57"/>
    <mergeCell ref="J55:J57"/>
    <mergeCell ref="K55:K57"/>
    <mergeCell ref="L55:L57"/>
    <mergeCell ref="M55:M57"/>
    <mergeCell ref="N55:N57"/>
    <mergeCell ref="N52:N54"/>
    <mergeCell ref="O52:O54"/>
    <mergeCell ref="Q52:Q54"/>
    <mergeCell ref="A55:A57"/>
    <mergeCell ref="B55:B57"/>
    <mergeCell ref="D55:D57"/>
    <mergeCell ref="E55:E57"/>
    <mergeCell ref="F55:F57"/>
    <mergeCell ref="G55:G57"/>
    <mergeCell ref="H55:H57"/>
    <mergeCell ref="H52:H54"/>
    <mergeCell ref="I52:I54"/>
    <mergeCell ref="J52:J54"/>
    <mergeCell ref="K52:K54"/>
    <mergeCell ref="L52:L54"/>
    <mergeCell ref="M52:M54"/>
    <mergeCell ref="A52:A54"/>
    <mergeCell ref="B52:B54"/>
    <mergeCell ref="D52:D54"/>
    <mergeCell ref="E52:E54"/>
    <mergeCell ref="F52:F54"/>
    <mergeCell ref="G52:G54"/>
    <mergeCell ref="K49:K51"/>
    <mergeCell ref="L49:L51"/>
    <mergeCell ref="M49:M51"/>
    <mergeCell ref="N49:N51"/>
    <mergeCell ref="O49:O51"/>
    <mergeCell ref="Q49:Q51"/>
    <mergeCell ref="Q46:Q48"/>
    <mergeCell ref="A49:A51"/>
    <mergeCell ref="B49:B51"/>
    <mergeCell ref="D49:D51"/>
    <mergeCell ref="E49:E51"/>
    <mergeCell ref="F49:F51"/>
    <mergeCell ref="G49:G51"/>
    <mergeCell ref="H49:H51"/>
    <mergeCell ref="I49:I51"/>
    <mergeCell ref="J49:J51"/>
    <mergeCell ref="J46:J48"/>
    <mergeCell ref="K46:K48"/>
    <mergeCell ref="L46:L48"/>
    <mergeCell ref="M46:M48"/>
    <mergeCell ref="N46:N48"/>
    <mergeCell ref="O46:O48"/>
    <mergeCell ref="O43:O45"/>
    <mergeCell ref="Q43:Q45"/>
    <mergeCell ref="A46:A48"/>
    <mergeCell ref="B46:B48"/>
    <mergeCell ref="D46:D48"/>
    <mergeCell ref="E46:E48"/>
    <mergeCell ref="F46:F48"/>
    <mergeCell ref="G46:G48"/>
    <mergeCell ref="H46:H48"/>
    <mergeCell ref="I46:I48"/>
    <mergeCell ref="I43:I45"/>
    <mergeCell ref="J43:J45"/>
    <mergeCell ref="K43:K45"/>
    <mergeCell ref="L43:L45"/>
    <mergeCell ref="M43:M45"/>
    <mergeCell ref="N43:N45"/>
    <mergeCell ref="N40:N42"/>
    <mergeCell ref="O40:O42"/>
    <mergeCell ref="Q40:Q42"/>
    <mergeCell ref="A43:A45"/>
    <mergeCell ref="B43:B45"/>
    <mergeCell ref="D43:D45"/>
    <mergeCell ref="E43:E45"/>
    <mergeCell ref="F43:F45"/>
    <mergeCell ref="G43:G45"/>
    <mergeCell ref="H43:H45"/>
    <mergeCell ref="H40:H42"/>
    <mergeCell ref="I40:I42"/>
    <mergeCell ref="J40:J42"/>
    <mergeCell ref="K40:K42"/>
    <mergeCell ref="L40:L42"/>
    <mergeCell ref="M40:M42"/>
    <mergeCell ref="N36:N38"/>
    <mergeCell ref="O36:O38"/>
    <mergeCell ref="Q36:Q38"/>
    <mergeCell ref="A39:Q39"/>
    <mergeCell ref="A40:A42"/>
    <mergeCell ref="B40:B42"/>
    <mergeCell ref="D40:D42"/>
    <mergeCell ref="E40:E42"/>
    <mergeCell ref="F40:F42"/>
    <mergeCell ref="G40:G42"/>
    <mergeCell ref="H36:H38"/>
    <mergeCell ref="I36:I38"/>
    <mergeCell ref="J36:J38"/>
    <mergeCell ref="K36:K38"/>
    <mergeCell ref="L36:L38"/>
    <mergeCell ref="M36:M38"/>
    <mergeCell ref="A36:A38"/>
    <mergeCell ref="B36:B38"/>
    <mergeCell ref="D36:D38"/>
    <mergeCell ref="E36:E38"/>
    <mergeCell ref="F36:F38"/>
    <mergeCell ref="G36:G38"/>
    <mergeCell ref="N17:N19"/>
    <mergeCell ref="O17:O19"/>
    <mergeCell ref="O13:O15"/>
    <mergeCell ref="A16:Q16"/>
    <mergeCell ref="A17:A19"/>
    <mergeCell ref="B17:B19"/>
    <mergeCell ref="D17:D19"/>
    <mergeCell ref="E17:E19"/>
    <mergeCell ref="F17:F19"/>
    <mergeCell ref="G17:G19"/>
    <mergeCell ref="H17:H19"/>
    <mergeCell ref="I17:I19"/>
    <mergeCell ref="I13:I15"/>
    <mergeCell ref="J13:J15"/>
    <mergeCell ref="K13:K15"/>
    <mergeCell ref="L13:L15"/>
    <mergeCell ref="K33:K35"/>
    <mergeCell ref="L33:L35"/>
    <mergeCell ref="M33:M35"/>
    <mergeCell ref="N33:N35"/>
    <mergeCell ref="O33:O35"/>
    <mergeCell ref="Q33:Q35"/>
    <mergeCell ref="Q30:Q32"/>
    <mergeCell ref="A33:A35"/>
    <mergeCell ref="B33:B35"/>
    <mergeCell ref="D33:D35"/>
    <mergeCell ref="E33:E35"/>
    <mergeCell ref="F33:F35"/>
    <mergeCell ref="G33:G35"/>
    <mergeCell ref="H33:H35"/>
    <mergeCell ref="I33:I35"/>
    <mergeCell ref="J33:J35"/>
    <mergeCell ref="J30:J32"/>
    <mergeCell ref="K30:K32"/>
    <mergeCell ref="L30:L32"/>
    <mergeCell ref="M30:M32"/>
    <mergeCell ref="N30:N32"/>
    <mergeCell ref="O30:O32"/>
    <mergeCell ref="O27:O29"/>
    <mergeCell ref="Q27:Q29"/>
    <mergeCell ref="A30:A32"/>
    <mergeCell ref="B30:B32"/>
    <mergeCell ref="D30:D32"/>
    <mergeCell ref="E30:E32"/>
    <mergeCell ref="F30:F32"/>
    <mergeCell ref="G30:G32"/>
    <mergeCell ref="H30:H32"/>
    <mergeCell ref="I30:I32"/>
    <mergeCell ref="I27:I29"/>
    <mergeCell ref="J27:J29"/>
    <mergeCell ref="K27:K29"/>
    <mergeCell ref="L27:L29"/>
    <mergeCell ref="M27:M29"/>
    <mergeCell ref="N27:N29"/>
    <mergeCell ref="F10:F12"/>
    <mergeCell ref="O4:O6"/>
    <mergeCell ref="A7:A9"/>
    <mergeCell ref="B7:B9"/>
    <mergeCell ref="D7:D9"/>
    <mergeCell ref="E7:E9"/>
    <mergeCell ref="F7:F9"/>
    <mergeCell ref="G7:G9"/>
    <mergeCell ref="H7:H9"/>
    <mergeCell ref="I7:I9"/>
    <mergeCell ref="J7:J9"/>
    <mergeCell ref="I4:I6"/>
    <mergeCell ref="J4:J6"/>
    <mergeCell ref="K4:K6"/>
    <mergeCell ref="L4:L6"/>
    <mergeCell ref="M4:M6"/>
    <mergeCell ref="N4:N6"/>
    <mergeCell ref="N24:N26"/>
    <mergeCell ref="O24:O26"/>
    <mergeCell ref="Q24:Q26"/>
    <mergeCell ref="A27:A29"/>
    <mergeCell ref="B27:B29"/>
    <mergeCell ref="D27:D29"/>
    <mergeCell ref="E27:E29"/>
    <mergeCell ref="F27:F29"/>
    <mergeCell ref="G27:G29"/>
    <mergeCell ref="H27:H29"/>
    <mergeCell ref="H24:H26"/>
    <mergeCell ref="I24:I26"/>
    <mergeCell ref="J24:J26"/>
    <mergeCell ref="K24:K26"/>
    <mergeCell ref="L24:L26"/>
    <mergeCell ref="M24:M26"/>
    <mergeCell ref="A24:A26"/>
    <mergeCell ref="B24:B26"/>
    <mergeCell ref="D24:D26"/>
    <mergeCell ref="E24:E26"/>
    <mergeCell ref="F24:F26"/>
    <mergeCell ref="G24:G26"/>
    <mergeCell ref="Q21:Q23"/>
    <mergeCell ref="Q4:Q6"/>
    <mergeCell ref="Q7:Q9"/>
    <mergeCell ref="Q10:Q12"/>
    <mergeCell ref="Q13:Q15"/>
    <mergeCell ref="J21:J23"/>
    <mergeCell ref="K21:K23"/>
    <mergeCell ref="L21:L23"/>
    <mergeCell ref="M21:M23"/>
    <mergeCell ref="N21:N23"/>
    <mergeCell ref="O21:O23"/>
    <mergeCell ref="Q17:Q19"/>
    <mergeCell ref="A20:Q20"/>
    <mergeCell ref="A21:A23"/>
    <mergeCell ref="B21:B23"/>
    <mergeCell ref="D21:D23"/>
    <mergeCell ref="E21:E23"/>
    <mergeCell ref="F21:F23"/>
    <mergeCell ref="G21:G23"/>
    <mergeCell ref="H21:H23"/>
    <mergeCell ref="I21:I23"/>
    <mergeCell ref="J17:J19"/>
    <mergeCell ref="K17:K19"/>
    <mergeCell ref="L17:L19"/>
    <mergeCell ref="M17:M19"/>
    <mergeCell ref="A2920:E2920"/>
    <mergeCell ref="A2921:J2921"/>
    <mergeCell ref="R557:R574"/>
    <mergeCell ref="R584:R592"/>
    <mergeCell ref="R2182:R2184"/>
    <mergeCell ref="R2488:R2490"/>
    <mergeCell ref="R2491:R2493"/>
    <mergeCell ref="R918:R920"/>
    <mergeCell ref="R921:R923"/>
    <mergeCell ref="R1891:R1893"/>
    <mergeCell ref="R1894:R1896"/>
    <mergeCell ref="R1927:R1929"/>
    <mergeCell ref="R1323:R1325"/>
    <mergeCell ref="R2044:R2046"/>
    <mergeCell ref="R2335:R2337"/>
    <mergeCell ref="R2341:R2343"/>
    <mergeCell ref="R2344:R2346"/>
    <mergeCell ref="R2440:R2442"/>
    <mergeCell ref="R2272:R2274"/>
    <mergeCell ref="R2281:R2283"/>
    <mergeCell ref="R2284:R2286"/>
    <mergeCell ref="R1020:R1022"/>
    <mergeCell ref="R1707:R1709"/>
    <mergeCell ref="R2449:R2451"/>
    <mergeCell ref="R2452:R2454"/>
    <mergeCell ref="R2455:R2457"/>
    <mergeCell ref="R2470:R2472"/>
    <mergeCell ref="R1824:R1826"/>
    <mergeCell ref="R1827:R1829"/>
    <mergeCell ref="A3:Q3"/>
    <mergeCell ref="A4:A6"/>
    <mergeCell ref="B4:B6"/>
    <mergeCell ref="D4:D6"/>
    <mergeCell ref="E4:E6"/>
    <mergeCell ref="F4:F6"/>
    <mergeCell ref="G4:G6"/>
    <mergeCell ref="H4:H6"/>
    <mergeCell ref="M13:M15"/>
    <mergeCell ref="N13:N15"/>
    <mergeCell ref="M10:M12"/>
    <mergeCell ref="N10:N12"/>
    <mergeCell ref="O10:O12"/>
    <mergeCell ref="A13:A15"/>
    <mergeCell ref="B13:B15"/>
    <mergeCell ref="D13:D15"/>
    <mergeCell ref="E13:E15"/>
    <mergeCell ref="F13:F15"/>
    <mergeCell ref="G13:G15"/>
    <mergeCell ref="H13:H15"/>
    <mergeCell ref="G10:G12"/>
    <mergeCell ref="H10:H12"/>
    <mergeCell ref="I10:I12"/>
    <mergeCell ref="J10:J12"/>
    <mergeCell ref="K10:K12"/>
    <mergeCell ref="L10:L12"/>
    <mergeCell ref="K7:K9"/>
    <mergeCell ref="L7:L9"/>
    <mergeCell ref="M7:M9"/>
    <mergeCell ref="N7:N9"/>
    <mergeCell ref="O7:O9"/>
    <mergeCell ref="A10:A12"/>
    <mergeCell ref="B10:B12"/>
    <mergeCell ref="D10:D12"/>
    <mergeCell ref="E10:E12"/>
  </mergeCells>
  <pageMargins left="0.70866141732283472" right="0.70866141732283472" top="0.74803149606299213" bottom="0.74803149606299213" header="0.31496062992125984" footer="0.31496062992125984"/>
  <pageSetup paperSize="9" scale="28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S373"/>
  <sheetViews>
    <sheetView topLeftCell="A34" workbookViewId="0">
      <selection activeCell="M4" sqref="M4:M6"/>
    </sheetView>
  </sheetViews>
  <sheetFormatPr defaultRowHeight="15.6" x14ac:dyDescent="0.3"/>
  <cols>
    <col min="1" max="1" width="9.109375" style="171"/>
    <col min="4" max="4" width="12.33203125" customWidth="1"/>
    <col min="7" max="7" width="10.44140625" customWidth="1"/>
    <col min="15" max="15" width="27.5546875" customWidth="1"/>
    <col min="18" max="18" width="48.88671875" customWidth="1"/>
  </cols>
  <sheetData>
    <row r="1" spans="1:19" ht="184.8" x14ac:dyDescent="0.3">
      <c r="A1" s="172"/>
      <c r="B1" s="173" t="s">
        <v>574</v>
      </c>
      <c r="C1" s="174" t="s">
        <v>1</v>
      </c>
      <c r="D1" s="174" t="s">
        <v>2</v>
      </c>
      <c r="E1" s="174" t="s">
        <v>33</v>
      </c>
      <c r="F1" s="173" t="s">
        <v>34</v>
      </c>
      <c r="G1" s="173" t="s">
        <v>35</v>
      </c>
      <c r="H1" s="173" t="s">
        <v>36</v>
      </c>
      <c r="I1" s="173" t="s">
        <v>37</v>
      </c>
      <c r="J1" s="173" t="s">
        <v>3</v>
      </c>
      <c r="K1" s="173" t="s">
        <v>559</v>
      </c>
      <c r="L1" s="173" t="s">
        <v>4</v>
      </c>
      <c r="M1" s="173" t="s">
        <v>5</v>
      </c>
      <c r="N1" s="173" t="s">
        <v>6</v>
      </c>
      <c r="O1" s="173" t="s">
        <v>38</v>
      </c>
      <c r="P1" s="173" t="s">
        <v>7</v>
      </c>
      <c r="Q1" s="173" t="s">
        <v>568</v>
      </c>
      <c r="R1" s="173" t="s">
        <v>8</v>
      </c>
      <c r="S1" s="1"/>
    </row>
    <row r="2" spans="1:19" x14ac:dyDescent="0.3">
      <c r="A2" s="172"/>
      <c r="B2" s="175">
        <v>1</v>
      </c>
      <c r="C2" s="175">
        <v>2</v>
      </c>
      <c r="D2" s="175">
        <v>3</v>
      </c>
      <c r="E2" s="175">
        <v>4</v>
      </c>
      <c r="F2" s="175">
        <v>5</v>
      </c>
      <c r="G2" s="175">
        <v>6</v>
      </c>
      <c r="H2" s="175">
        <v>7</v>
      </c>
      <c r="I2" s="175">
        <v>8</v>
      </c>
      <c r="J2" s="175">
        <v>9</v>
      </c>
      <c r="K2" s="175">
        <v>10</v>
      </c>
      <c r="L2" s="175">
        <v>11</v>
      </c>
      <c r="M2" s="175">
        <v>12</v>
      </c>
      <c r="N2" s="175">
        <v>13</v>
      </c>
      <c r="O2" s="175">
        <v>14</v>
      </c>
      <c r="P2" s="175">
        <v>15</v>
      </c>
      <c r="Q2" s="175"/>
      <c r="R2" s="175">
        <v>16</v>
      </c>
      <c r="S2" s="1"/>
    </row>
    <row r="3" spans="1:19" ht="16.5" customHeight="1" x14ac:dyDescent="0.3">
      <c r="A3" s="462" t="s">
        <v>113</v>
      </c>
      <c r="B3" s="462"/>
      <c r="C3" s="462"/>
      <c r="D3" s="462"/>
      <c r="E3" s="462"/>
      <c r="F3" s="462"/>
      <c r="G3" s="462"/>
      <c r="H3" s="462"/>
      <c r="I3" s="462"/>
      <c r="J3" s="462"/>
      <c r="K3" s="462"/>
      <c r="L3" s="462"/>
      <c r="M3" s="462"/>
      <c r="N3" s="462"/>
      <c r="O3" s="462"/>
      <c r="P3" s="462"/>
      <c r="Q3" s="462"/>
      <c r="R3" s="462"/>
      <c r="S3" s="1"/>
    </row>
    <row r="4" spans="1:19" ht="16.5" customHeight="1" x14ac:dyDescent="0.3">
      <c r="A4" s="461">
        <v>1</v>
      </c>
      <c r="B4" s="464">
        <v>72</v>
      </c>
      <c r="C4" s="464" t="s">
        <v>114</v>
      </c>
      <c r="D4" s="176">
        <v>-20073</v>
      </c>
      <c r="E4" s="464">
        <v>1</v>
      </c>
      <c r="F4" s="464" t="s">
        <v>25</v>
      </c>
      <c r="G4" s="464">
        <v>500</v>
      </c>
      <c r="H4" s="464">
        <v>400</v>
      </c>
      <c r="I4" s="464" t="s">
        <v>44</v>
      </c>
      <c r="J4" s="464">
        <v>90</v>
      </c>
      <c r="K4" s="464" t="s">
        <v>45</v>
      </c>
      <c r="L4" s="464">
        <v>0</v>
      </c>
      <c r="M4" s="464">
        <v>75</v>
      </c>
      <c r="N4" s="465" t="s">
        <v>14</v>
      </c>
      <c r="O4" s="464" t="s">
        <v>115</v>
      </c>
      <c r="P4" s="464" t="s">
        <v>16</v>
      </c>
      <c r="Q4" s="176"/>
      <c r="R4" s="464" t="s">
        <v>116</v>
      </c>
      <c r="S4" s="1"/>
    </row>
    <row r="5" spans="1:19" ht="15.75" customHeight="1" x14ac:dyDescent="0.3">
      <c r="A5" s="461"/>
      <c r="B5" s="464"/>
      <c r="C5" s="464"/>
      <c r="D5" s="176">
        <v>16993</v>
      </c>
      <c r="E5" s="464"/>
      <c r="F5" s="464"/>
      <c r="G5" s="464"/>
      <c r="H5" s="464"/>
      <c r="I5" s="464"/>
      <c r="J5" s="464"/>
      <c r="K5" s="464"/>
      <c r="L5" s="464"/>
      <c r="M5" s="464"/>
      <c r="N5" s="465"/>
      <c r="O5" s="464"/>
      <c r="P5" s="464"/>
      <c r="Q5" s="176"/>
      <c r="R5" s="464"/>
      <c r="S5" s="1"/>
    </row>
    <row r="6" spans="1:19" ht="16.5" customHeight="1" x14ac:dyDescent="0.3">
      <c r="A6" s="461"/>
      <c r="B6" s="464"/>
      <c r="C6" s="464"/>
      <c r="D6" s="176">
        <v>54050</v>
      </c>
      <c r="E6" s="464"/>
      <c r="F6" s="464"/>
      <c r="G6" s="464"/>
      <c r="H6" s="464"/>
      <c r="I6" s="464"/>
      <c r="J6" s="464"/>
      <c r="K6" s="464"/>
      <c r="L6" s="464"/>
      <c r="M6" s="464"/>
      <c r="N6" s="465"/>
      <c r="O6" s="464"/>
      <c r="P6" s="464"/>
      <c r="Q6" s="176"/>
      <c r="R6" s="464"/>
      <c r="S6" s="1"/>
    </row>
    <row r="7" spans="1:19" ht="16.5" customHeight="1" x14ac:dyDescent="0.3">
      <c r="A7" s="462" t="s">
        <v>117</v>
      </c>
      <c r="B7" s="462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  <c r="S7" s="1"/>
    </row>
    <row r="8" spans="1:19" ht="16.5" customHeight="1" x14ac:dyDescent="0.3">
      <c r="A8" s="461">
        <v>2</v>
      </c>
      <c r="B8" s="464">
        <v>73</v>
      </c>
      <c r="C8" s="464" t="s">
        <v>118</v>
      </c>
      <c r="D8" s="176">
        <v>-12342</v>
      </c>
      <c r="E8" s="464">
        <v>1</v>
      </c>
      <c r="F8" s="464" t="s">
        <v>25</v>
      </c>
      <c r="G8" s="464">
        <v>400</v>
      </c>
      <c r="H8" s="464">
        <v>400</v>
      </c>
      <c r="I8" s="464" t="s">
        <v>44</v>
      </c>
      <c r="J8" s="464">
        <v>115</v>
      </c>
      <c r="K8" s="464" t="s">
        <v>45</v>
      </c>
      <c r="L8" s="464">
        <v>0</v>
      </c>
      <c r="M8" s="464">
        <v>64.7</v>
      </c>
      <c r="N8" s="465" t="s">
        <v>14</v>
      </c>
      <c r="O8" s="466" t="s">
        <v>119</v>
      </c>
      <c r="P8" s="464" t="s">
        <v>16</v>
      </c>
      <c r="Q8" s="176"/>
      <c r="R8" s="464" t="s">
        <v>120</v>
      </c>
      <c r="S8" s="1"/>
    </row>
    <row r="9" spans="1:19" ht="15.75" customHeight="1" x14ac:dyDescent="0.3">
      <c r="A9" s="461"/>
      <c r="B9" s="464"/>
      <c r="C9" s="464"/>
      <c r="D9" s="176">
        <v>18831</v>
      </c>
      <c r="E9" s="464"/>
      <c r="F9" s="464"/>
      <c r="G9" s="464"/>
      <c r="H9" s="464"/>
      <c r="I9" s="464"/>
      <c r="J9" s="464"/>
      <c r="K9" s="464"/>
      <c r="L9" s="464"/>
      <c r="M9" s="464"/>
      <c r="N9" s="465"/>
      <c r="O9" s="466"/>
      <c r="P9" s="464"/>
      <c r="Q9" s="176"/>
      <c r="R9" s="464"/>
      <c r="S9" s="1"/>
    </row>
    <row r="10" spans="1:19" ht="15.75" customHeight="1" x14ac:dyDescent="0.3">
      <c r="A10" s="461"/>
      <c r="B10" s="464"/>
      <c r="C10" s="464"/>
      <c r="D10" s="176">
        <v>57565</v>
      </c>
      <c r="E10" s="464"/>
      <c r="F10" s="464"/>
      <c r="G10" s="464"/>
      <c r="H10" s="464"/>
      <c r="I10" s="464"/>
      <c r="J10" s="464"/>
      <c r="K10" s="464"/>
      <c r="L10" s="464"/>
      <c r="M10" s="464"/>
      <c r="N10" s="465"/>
      <c r="O10" s="466"/>
      <c r="P10" s="464"/>
      <c r="Q10" s="176"/>
      <c r="R10" s="464"/>
      <c r="S10" s="1"/>
    </row>
    <row r="11" spans="1:19" ht="15.75" customHeight="1" x14ac:dyDescent="0.3">
      <c r="A11" s="461">
        <v>3</v>
      </c>
      <c r="B11" s="464">
        <v>74</v>
      </c>
      <c r="C11" s="464" t="s">
        <v>118</v>
      </c>
      <c r="D11" s="176">
        <v>-9812</v>
      </c>
      <c r="E11" s="464">
        <v>1</v>
      </c>
      <c r="F11" s="464" t="s">
        <v>25</v>
      </c>
      <c r="G11" s="464">
        <v>400</v>
      </c>
      <c r="H11" s="464">
        <v>400</v>
      </c>
      <c r="I11" s="464" t="s">
        <v>44</v>
      </c>
      <c r="J11" s="464">
        <v>115</v>
      </c>
      <c r="K11" s="464" t="s">
        <v>45</v>
      </c>
      <c r="L11" s="464">
        <v>0</v>
      </c>
      <c r="M11" s="464">
        <v>56.3</v>
      </c>
      <c r="N11" s="465" t="s">
        <v>14</v>
      </c>
      <c r="O11" s="464" t="s">
        <v>121</v>
      </c>
      <c r="P11" s="464" t="s">
        <v>16</v>
      </c>
      <c r="Q11" s="176"/>
      <c r="R11" s="464" t="s">
        <v>120</v>
      </c>
      <c r="S11" s="1"/>
    </row>
    <row r="12" spans="1:19" ht="15.75" customHeight="1" x14ac:dyDescent="0.3">
      <c r="A12" s="461"/>
      <c r="B12" s="464"/>
      <c r="C12" s="464"/>
      <c r="D12" s="176">
        <v>20337</v>
      </c>
      <c r="E12" s="464"/>
      <c r="F12" s="464"/>
      <c r="G12" s="464"/>
      <c r="H12" s="464"/>
      <c r="I12" s="464"/>
      <c r="J12" s="464"/>
      <c r="K12" s="464"/>
      <c r="L12" s="464"/>
      <c r="M12" s="464"/>
      <c r="N12" s="465"/>
      <c r="O12" s="464"/>
      <c r="P12" s="464"/>
      <c r="Q12" s="176"/>
      <c r="R12" s="464"/>
      <c r="S12" s="1"/>
    </row>
    <row r="13" spans="1:19" ht="15.75" customHeight="1" x14ac:dyDescent="0.3">
      <c r="A13" s="461"/>
      <c r="B13" s="464"/>
      <c r="C13" s="464"/>
      <c r="D13" s="176">
        <v>57575</v>
      </c>
      <c r="E13" s="464"/>
      <c r="F13" s="464"/>
      <c r="G13" s="464"/>
      <c r="H13" s="464"/>
      <c r="I13" s="464"/>
      <c r="J13" s="464"/>
      <c r="K13" s="464"/>
      <c r="L13" s="464"/>
      <c r="M13" s="464"/>
      <c r="N13" s="465"/>
      <c r="O13" s="464"/>
      <c r="P13" s="464"/>
      <c r="Q13" s="176"/>
      <c r="R13" s="464"/>
      <c r="S13" s="1"/>
    </row>
    <row r="14" spans="1:19" ht="15.75" customHeight="1" x14ac:dyDescent="0.3">
      <c r="A14" s="461">
        <v>4</v>
      </c>
      <c r="B14" s="464">
        <v>75</v>
      </c>
      <c r="C14" s="464" t="s">
        <v>122</v>
      </c>
      <c r="D14" s="176">
        <v>12342</v>
      </c>
      <c r="E14" s="464">
        <v>1</v>
      </c>
      <c r="F14" s="464" t="s">
        <v>25</v>
      </c>
      <c r="G14" s="464">
        <v>400</v>
      </c>
      <c r="H14" s="464">
        <v>400</v>
      </c>
      <c r="I14" s="464" t="s">
        <v>44</v>
      </c>
      <c r="J14" s="464">
        <v>115</v>
      </c>
      <c r="K14" s="464" t="s">
        <v>45</v>
      </c>
      <c r="L14" s="464">
        <v>0</v>
      </c>
      <c r="M14" s="464">
        <v>65</v>
      </c>
      <c r="N14" s="465" t="s">
        <v>14</v>
      </c>
      <c r="O14" s="464" t="s">
        <v>123</v>
      </c>
      <c r="P14" s="464" t="s">
        <v>16</v>
      </c>
      <c r="Q14" s="176"/>
      <c r="R14" s="464" t="s">
        <v>120</v>
      </c>
      <c r="S14" s="1"/>
    </row>
    <row r="15" spans="1:19" ht="15.75" customHeight="1" x14ac:dyDescent="0.3">
      <c r="A15" s="461"/>
      <c r="B15" s="464"/>
      <c r="C15" s="464"/>
      <c r="D15" s="176">
        <v>-18831</v>
      </c>
      <c r="E15" s="464"/>
      <c r="F15" s="464"/>
      <c r="G15" s="464"/>
      <c r="H15" s="464"/>
      <c r="I15" s="464"/>
      <c r="J15" s="464"/>
      <c r="K15" s="464"/>
      <c r="L15" s="464"/>
      <c r="M15" s="464"/>
      <c r="N15" s="465"/>
      <c r="O15" s="464"/>
      <c r="P15" s="464"/>
      <c r="Q15" s="176"/>
      <c r="R15" s="464"/>
      <c r="S15" s="1"/>
    </row>
    <row r="16" spans="1:19" ht="15.75" customHeight="1" x14ac:dyDescent="0.3">
      <c r="A16" s="461"/>
      <c r="B16" s="464"/>
      <c r="C16" s="464"/>
      <c r="D16" s="176">
        <v>57675</v>
      </c>
      <c r="E16" s="464"/>
      <c r="F16" s="464"/>
      <c r="G16" s="464"/>
      <c r="H16" s="464"/>
      <c r="I16" s="464"/>
      <c r="J16" s="464"/>
      <c r="K16" s="464"/>
      <c r="L16" s="464"/>
      <c r="M16" s="464"/>
      <c r="N16" s="465"/>
      <c r="O16" s="464"/>
      <c r="P16" s="464"/>
      <c r="Q16" s="176"/>
      <c r="R16" s="464"/>
      <c r="S16" s="1"/>
    </row>
    <row r="17" spans="1:19" ht="16.5" customHeight="1" x14ac:dyDescent="0.3">
      <c r="A17" s="461">
        <v>5</v>
      </c>
      <c r="B17" s="464">
        <v>76</v>
      </c>
      <c r="C17" s="464" t="s">
        <v>122</v>
      </c>
      <c r="D17" s="176">
        <v>9812</v>
      </c>
      <c r="E17" s="464">
        <v>1</v>
      </c>
      <c r="F17" s="464" t="s">
        <v>25</v>
      </c>
      <c r="G17" s="464">
        <v>400</v>
      </c>
      <c r="H17" s="464">
        <v>400</v>
      </c>
      <c r="I17" s="464" t="s">
        <v>44</v>
      </c>
      <c r="J17" s="464">
        <v>115</v>
      </c>
      <c r="K17" s="464" t="s">
        <v>45</v>
      </c>
      <c r="L17" s="464">
        <v>0</v>
      </c>
      <c r="M17" s="464">
        <v>56.1</v>
      </c>
      <c r="N17" s="465" t="s">
        <v>14</v>
      </c>
      <c r="O17" s="464" t="s">
        <v>124</v>
      </c>
      <c r="P17" s="464" t="s">
        <v>16</v>
      </c>
      <c r="Q17" s="176"/>
      <c r="R17" s="464" t="s">
        <v>120</v>
      </c>
      <c r="S17" s="1"/>
    </row>
    <row r="18" spans="1:19" ht="15.75" customHeight="1" x14ac:dyDescent="0.3">
      <c r="A18" s="461"/>
      <c r="B18" s="464"/>
      <c r="C18" s="464"/>
      <c r="D18" s="176">
        <v>-20337</v>
      </c>
      <c r="E18" s="464"/>
      <c r="F18" s="464"/>
      <c r="G18" s="464"/>
      <c r="H18" s="464"/>
      <c r="I18" s="464"/>
      <c r="J18" s="464"/>
      <c r="K18" s="464"/>
      <c r="L18" s="464"/>
      <c r="M18" s="464"/>
      <c r="N18" s="465"/>
      <c r="O18" s="464"/>
      <c r="P18" s="464"/>
      <c r="Q18" s="176"/>
      <c r="R18" s="464"/>
      <c r="S18" s="1"/>
    </row>
    <row r="19" spans="1:19" ht="16.5" customHeight="1" x14ac:dyDescent="0.3">
      <c r="A19" s="461"/>
      <c r="B19" s="464"/>
      <c r="C19" s="464"/>
      <c r="D19" s="176">
        <v>57665</v>
      </c>
      <c r="E19" s="464"/>
      <c r="F19" s="464"/>
      <c r="G19" s="464"/>
      <c r="H19" s="464"/>
      <c r="I19" s="464"/>
      <c r="J19" s="464"/>
      <c r="K19" s="464"/>
      <c r="L19" s="464"/>
      <c r="M19" s="464"/>
      <c r="N19" s="465"/>
      <c r="O19" s="464"/>
      <c r="P19" s="464"/>
      <c r="Q19" s="176"/>
      <c r="R19" s="464"/>
      <c r="S19" s="1"/>
    </row>
    <row r="20" spans="1:19" ht="16.5" customHeight="1" x14ac:dyDescent="0.3">
      <c r="A20" s="461">
        <v>6</v>
      </c>
      <c r="B20" s="464">
        <v>77</v>
      </c>
      <c r="C20" s="464" t="s">
        <v>122</v>
      </c>
      <c r="D20" s="176">
        <v>-18831</v>
      </c>
      <c r="E20" s="464">
        <v>1</v>
      </c>
      <c r="F20" s="464" t="s">
        <v>25</v>
      </c>
      <c r="G20" s="464">
        <v>400</v>
      </c>
      <c r="H20" s="464">
        <v>400</v>
      </c>
      <c r="I20" s="464" t="s">
        <v>44</v>
      </c>
      <c r="J20" s="464">
        <v>115</v>
      </c>
      <c r="K20" s="464" t="s">
        <v>45</v>
      </c>
      <c r="L20" s="464">
        <v>0</v>
      </c>
      <c r="M20" s="464">
        <v>65.099999999999994</v>
      </c>
      <c r="N20" s="465" t="s">
        <v>14</v>
      </c>
      <c r="O20" s="464" t="s">
        <v>125</v>
      </c>
      <c r="P20" s="464" t="s">
        <v>16</v>
      </c>
      <c r="Q20" s="176"/>
      <c r="R20" s="464" t="s">
        <v>120</v>
      </c>
      <c r="S20" s="1"/>
    </row>
    <row r="21" spans="1:19" ht="15.75" customHeight="1" x14ac:dyDescent="0.3">
      <c r="A21" s="461"/>
      <c r="B21" s="464"/>
      <c r="C21" s="464"/>
      <c r="D21" s="176">
        <v>-12342</v>
      </c>
      <c r="E21" s="464"/>
      <c r="F21" s="464"/>
      <c r="G21" s="464"/>
      <c r="H21" s="464"/>
      <c r="I21" s="464"/>
      <c r="J21" s="464"/>
      <c r="K21" s="464"/>
      <c r="L21" s="464"/>
      <c r="M21" s="464"/>
      <c r="N21" s="465"/>
      <c r="O21" s="464"/>
      <c r="P21" s="464"/>
      <c r="Q21" s="176"/>
      <c r="R21" s="464"/>
      <c r="S21" s="1"/>
    </row>
    <row r="22" spans="1:19" ht="15.75" customHeight="1" x14ac:dyDescent="0.3">
      <c r="A22" s="461"/>
      <c r="B22" s="464"/>
      <c r="C22" s="464"/>
      <c r="D22" s="176">
        <v>57535</v>
      </c>
      <c r="E22" s="464"/>
      <c r="F22" s="464"/>
      <c r="G22" s="464"/>
      <c r="H22" s="464"/>
      <c r="I22" s="464"/>
      <c r="J22" s="464"/>
      <c r="K22" s="464"/>
      <c r="L22" s="464"/>
      <c r="M22" s="464"/>
      <c r="N22" s="465"/>
      <c r="O22" s="464"/>
      <c r="P22" s="464"/>
      <c r="Q22" s="176"/>
      <c r="R22" s="464"/>
      <c r="S22" s="1"/>
    </row>
    <row r="23" spans="1:19" ht="15.75" customHeight="1" x14ac:dyDescent="0.3">
      <c r="A23" s="461">
        <v>7</v>
      </c>
      <c r="B23" s="464">
        <v>78</v>
      </c>
      <c r="C23" s="464" t="s">
        <v>122</v>
      </c>
      <c r="D23" s="176">
        <v>-20337</v>
      </c>
      <c r="E23" s="464">
        <v>1</v>
      </c>
      <c r="F23" s="464" t="s">
        <v>25</v>
      </c>
      <c r="G23" s="464">
        <v>400</v>
      </c>
      <c r="H23" s="464">
        <v>400</v>
      </c>
      <c r="I23" s="464" t="s">
        <v>44</v>
      </c>
      <c r="J23" s="464">
        <v>115</v>
      </c>
      <c r="K23" s="464" t="s">
        <v>45</v>
      </c>
      <c r="L23" s="464">
        <v>0</v>
      </c>
      <c r="M23" s="464">
        <v>56.4</v>
      </c>
      <c r="N23" s="465" t="s">
        <v>14</v>
      </c>
      <c r="O23" s="464" t="s">
        <v>126</v>
      </c>
      <c r="P23" s="464" t="s">
        <v>16</v>
      </c>
      <c r="Q23" s="176"/>
      <c r="R23" s="464" t="s">
        <v>120</v>
      </c>
      <c r="S23" s="1"/>
    </row>
    <row r="24" spans="1:19" ht="15.75" customHeight="1" x14ac:dyDescent="0.3">
      <c r="A24" s="461"/>
      <c r="B24" s="464"/>
      <c r="C24" s="464"/>
      <c r="D24" s="176">
        <v>-9812</v>
      </c>
      <c r="E24" s="464"/>
      <c r="F24" s="464"/>
      <c r="G24" s="464"/>
      <c r="H24" s="464"/>
      <c r="I24" s="464"/>
      <c r="J24" s="464"/>
      <c r="K24" s="464"/>
      <c r="L24" s="464"/>
      <c r="M24" s="464"/>
      <c r="N24" s="465"/>
      <c r="O24" s="464"/>
      <c r="P24" s="464"/>
      <c r="Q24" s="176"/>
      <c r="R24" s="464"/>
      <c r="S24" s="1"/>
    </row>
    <row r="25" spans="1:19" ht="15.75" customHeight="1" x14ac:dyDescent="0.3">
      <c r="A25" s="461"/>
      <c r="B25" s="464"/>
      <c r="C25" s="464"/>
      <c r="D25" s="176">
        <v>57520</v>
      </c>
      <c r="E25" s="464"/>
      <c r="F25" s="464"/>
      <c r="G25" s="464"/>
      <c r="H25" s="464"/>
      <c r="I25" s="464"/>
      <c r="J25" s="464"/>
      <c r="K25" s="464"/>
      <c r="L25" s="464"/>
      <c r="M25" s="464"/>
      <c r="N25" s="465"/>
      <c r="O25" s="464"/>
      <c r="P25" s="464"/>
      <c r="Q25" s="176"/>
      <c r="R25" s="464"/>
      <c r="S25" s="1"/>
    </row>
    <row r="26" spans="1:19" ht="15.75" customHeight="1" x14ac:dyDescent="0.3">
      <c r="A26" s="461">
        <v>8</v>
      </c>
      <c r="B26" s="464">
        <v>79</v>
      </c>
      <c r="C26" s="464" t="s">
        <v>114</v>
      </c>
      <c r="D26" s="176">
        <v>-19691</v>
      </c>
      <c r="E26" s="464">
        <v>1</v>
      </c>
      <c r="F26" s="464" t="s">
        <v>25</v>
      </c>
      <c r="G26" s="464">
        <v>600</v>
      </c>
      <c r="H26" s="464">
        <v>600</v>
      </c>
      <c r="I26" s="464" t="s">
        <v>44</v>
      </c>
      <c r="J26" s="464">
        <v>90</v>
      </c>
      <c r="K26" s="464" t="s">
        <v>45</v>
      </c>
      <c r="L26" s="464">
        <v>0</v>
      </c>
      <c r="M26" s="464">
        <v>75</v>
      </c>
      <c r="N26" s="465" t="s">
        <v>14</v>
      </c>
      <c r="O26" s="464" t="s">
        <v>127</v>
      </c>
      <c r="P26" s="464" t="s">
        <v>16</v>
      </c>
      <c r="Q26" s="176"/>
      <c r="R26" s="464" t="s">
        <v>120</v>
      </c>
      <c r="S26" s="1"/>
    </row>
    <row r="27" spans="1:19" ht="15.75" customHeight="1" x14ac:dyDescent="0.3">
      <c r="A27" s="461"/>
      <c r="B27" s="464"/>
      <c r="C27" s="464"/>
      <c r="D27" s="176">
        <v>16670</v>
      </c>
      <c r="E27" s="464"/>
      <c r="F27" s="464"/>
      <c r="G27" s="464"/>
      <c r="H27" s="464"/>
      <c r="I27" s="464"/>
      <c r="J27" s="464"/>
      <c r="K27" s="464"/>
      <c r="L27" s="464"/>
      <c r="M27" s="464"/>
      <c r="N27" s="465"/>
      <c r="O27" s="464"/>
      <c r="P27" s="464"/>
      <c r="Q27" s="176"/>
      <c r="R27" s="464"/>
      <c r="S27" s="1"/>
    </row>
    <row r="28" spans="1:19" ht="15.75" customHeight="1" x14ac:dyDescent="0.3">
      <c r="A28" s="461"/>
      <c r="B28" s="464"/>
      <c r="C28" s="464"/>
      <c r="D28" s="176">
        <v>56650</v>
      </c>
      <c r="E28" s="464"/>
      <c r="F28" s="464"/>
      <c r="G28" s="464"/>
      <c r="H28" s="464"/>
      <c r="I28" s="464"/>
      <c r="J28" s="464"/>
      <c r="K28" s="464"/>
      <c r="L28" s="464"/>
      <c r="M28" s="464"/>
      <c r="N28" s="465"/>
      <c r="O28" s="464"/>
      <c r="P28" s="464"/>
      <c r="Q28" s="176"/>
      <c r="R28" s="464"/>
      <c r="S28" s="1"/>
    </row>
    <row r="29" spans="1:19" ht="15.75" customHeight="1" x14ac:dyDescent="0.3">
      <c r="A29" s="462" t="s">
        <v>128</v>
      </c>
      <c r="B29" s="462"/>
      <c r="C29" s="462"/>
      <c r="D29" s="462"/>
      <c r="E29" s="462"/>
      <c r="F29" s="462"/>
      <c r="G29" s="462"/>
      <c r="H29" s="462"/>
      <c r="I29" s="462"/>
      <c r="J29" s="462"/>
      <c r="K29" s="462"/>
      <c r="L29" s="462"/>
      <c r="M29" s="462"/>
      <c r="N29" s="462"/>
      <c r="O29" s="462"/>
      <c r="P29" s="462"/>
      <c r="Q29" s="462"/>
      <c r="R29" s="462"/>
      <c r="S29" s="1"/>
    </row>
    <row r="30" spans="1:19" x14ac:dyDescent="0.3">
      <c r="A30" s="461">
        <v>9</v>
      </c>
      <c r="B30" s="464">
        <v>80</v>
      </c>
      <c r="C30" s="464" t="s">
        <v>129</v>
      </c>
      <c r="D30" s="176">
        <v>-23000</v>
      </c>
      <c r="E30" s="464">
        <v>1</v>
      </c>
      <c r="F30" s="464" t="s">
        <v>130</v>
      </c>
      <c r="G30" s="464">
        <v>500</v>
      </c>
      <c r="H30" s="464">
        <v>400</v>
      </c>
      <c r="I30" s="464" t="s">
        <v>61</v>
      </c>
      <c r="J30" s="464">
        <v>300</v>
      </c>
      <c r="K30" s="464" t="s">
        <v>45</v>
      </c>
      <c r="L30" s="464">
        <v>90</v>
      </c>
      <c r="M30" s="464">
        <v>168</v>
      </c>
      <c r="N30" s="465" t="s">
        <v>14</v>
      </c>
      <c r="O30" s="464" t="s">
        <v>131</v>
      </c>
      <c r="P30" s="464" t="s">
        <v>16</v>
      </c>
      <c r="Q30" s="176"/>
      <c r="R30" s="464" t="s">
        <v>132</v>
      </c>
      <c r="S30" s="1"/>
    </row>
    <row r="31" spans="1:19" x14ac:dyDescent="0.3">
      <c r="A31" s="461"/>
      <c r="B31" s="464"/>
      <c r="C31" s="464"/>
      <c r="D31" s="176">
        <v>-8145</v>
      </c>
      <c r="E31" s="464"/>
      <c r="F31" s="464"/>
      <c r="G31" s="464"/>
      <c r="H31" s="464"/>
      <c r="I31" s="464"/>
      <c r="J31" s="464"/>
      <c r="K31" s="464"/>
      <c r="L31" s="464"/>
      <c r="M31" s="464"/>
      <c r="N31" s="465"/>
      <c r="O31" s="464"/>
      <c r="P31" s="464"/>
      <c r="Q31" s="176"/>
      <c r="R31" s="464"/>
      <c r="S31" s="1"/>
    </row>
    <row r="32" spans="1:19" x14ac:dyDescent="0.3">
      <c r="A32" s="461"/>
      <c r="B32" s="464"/>
      <c r="C32" s="464"/>
      <c r="D32" s="176">
        <v>59450</v>
      </c>
      <c r="E32" s="464"/>
      <c r="F32" s="464"/>
      <c r="G32" s="464"/>
      <c r="H32" s="464"/>
      <c r="I32" s="464"/>
      <c r="J32" s="464"/>
      <c r="K32" s="464"/>
      <c r="L32" s="464"/>
      <c r="M32" s="464"/>
      <c r="N32" s="465"/>
      <c r="O32" s="464"/>
      <c r="P32" s="464"/>
      <c r="Q32" s="176"/>
      <c r="R32" s="464"/>
      <c r="S32" s="1"/>
    </row>
    <row r="33" spans="1:19" x14ac:dyDescent="0.3">
      <c r="A33" s="461">
        <v>10</v>
      </c>
      <c r="B33" s="464">
        <v>81</v>
      </c>
      <c r="C33" s="464" t="s">
        <v>129</v>
      </c>
      <c r="D33" s="176">
        <v>-24065</v>
      </c>
      <c r="E33" s="464">
        <v>1</v>
      </c>
      <c r="F33" s="464" t="s">
        <v>130</v>
      </c>
      <c r="G33" s="464">
        <v>500</v>
      </c>
      <c r="H33" s="464">
        <v>400</v>
      </c>
      <c r="I33" s="464" t="s">
        <v>61</v>
      </c>
      <c r="J33" s="464">
        <v>300</v>
      </c>
      <c r="K33" s="464" t="s">
        <v>45</v>
      </c>
      <c r="L33" s="464">
        <v>90</v>
      </c>
      <c r="M33" s="464">
        <v>168</v>
      </c>
      <c r="N33" s="465" t="s">
        <v>14</v>
      </c>
      <c r="O33" s="464" t="s">
        <v>131</v>
      </c>
      <c r="P33" s="464" t="s">
        <v>16</v>
      </c>
      <c r="Q33" s="176"/>
      <c r="R33" s="464" t="s">
        <v>132</v>
      </c>
      <c r="S33" s="1"/>
    </row>
    <row r="34" spans="1:19" x14ac:dyDescent="0.3">
      <c r="A34" s="461"/>
      <c r="B34" s="464"/>
      <c r="C34" s="464"/>
      <c r="D34" s="176">
        <v>-4027</v>
      </c>
      <c r="E34" s="464"/>
      <c r="F34" s="464"/>
      <c r="G34" s="464"/>
      <c r="H34" s="464"/>
      <c r="I34" s="464"/>
      <c r="J34" s="464"/>
      <c r="K34" s="464"/>
      <c r="L34" s="464"/>
      <c r="M34" s="464"/>
      <c r="N34" s="465"/>
      <c r="O34" s="464"/>
      <c r="P34" s="464"/>
      <c r="Q34" s="176"/>
      <c r="R34" s="464"/>
      <c r="S34" s="1"/>
    </row>
    <row r="35" spans="1:19" x14ac:dyDescent="0.3">
      <c r="A35" s="461"/>
      <c r="B35" s="464"/>
      <c r="C35" s="464"/>
      <c r="D35" s="176">
        <v>59450</v>
      </c>
      <c r="E35" s="464"/>
      <c r="F35" s="464"/>
      <c r="G35" s="464"/>
      <c r="H35" s="464"/>
      <c r="I35" s="464"/>
      <c r="J35" s="464"/>
      <c r="K35" s="464"/>
      <c r="L35" s="464"/>
      <c r="M35" s="464"/>
      <c r="N35" s="465"/>
      <c r="O35" s="464"/>
      <c r="P35" s="464"/>
      <c r="Q35" s="176"/>
      <c r="R35" s="464"/>
      <c r="S35" s="1"/>
    </row>
    <row r="36" spans="1:19" x14ac:dyDescent="0.3">
      <c r="A36" s="461">
        <v>11</v>
      </c>
      <c r="B36" s="464">
        <v>82</v>
      </c>
      <c r="C36" s="464" t="s">
        <v>129</v>
      </c>
      <c r="D36" s="176">
        <v>-24399</v>
      </c>
      <c r="E36" s="464">
        <v>1</v>
      </c>
      <c r="F36" s="464" t="s">
        <v>130</v>
      </c>
      <c r="G36" s="464">
        <v>500</v>
      </c>
      <c r="H36" s="464">
        <v>400</v>
      </c>
      <c r="I36" s="464" t="s">
        <v>61</v>
      </c>
      <c r="J36" s="464">
        <v>300</v>
      </c>
      <c r="K36" s="464" t="s">
        <v>45</v>
      </c>
      <c r="L36" s="464">
        <v>90</v>
      </c>
      <c r="M36" s="464">
        <v>168</v>
      </c>
      <c r="N36" s="465" t="s">
        <v>14</v>
      </c>
      <c r="O36" s="464" t="s">
        <v>131</v>
      </c>
      <c r="P36" s="464" t="s">
        <v>16</v>
      </c>
      <c r="Q36" s="176"/>
      <c r="R36" s="464" t="s">
        <v>132</v>
      </c>
      <c r="S36" s="1"/>
    </row>
    <row r="37" spans="1:19" x14ac:dyDescent="0.3">
      <c r="A37" s="461"/>
      <c r="B37" s="464"/>
      <c r="C37" s="464"/>
      <c r="D37" s="176">
        <v>213</v>
      </c>
      <c r="E37" s="464"/>
      <c r="F37" s="464"/>
      <c r="G37" s="464"/>
      <c r="H37" s="464"/>
      <c r="I37" s="464"/>
      <c r="J37" s="464"/>
      <c r="K37" s="464"/>
      <c r="L37" s="464"/>
      <c r="M37" s="464"/>
      <c r="N37" s="465"/>
      <c r="O37" s="464"/>
      <c r="P37" s="464"/>
      <c r="Q37" s="176"/>
      <c r="R37" s="464"/>
      <c r="S37" s="1"/>
    </row>
    <row r="38" spans="1:19" x14ac:dyDescent="0.3">
      <c r="A38" s="461"/>
      <c r="B38" s="464"/>
      <c r="C38" s="464"/>
      <c r="D38" s="176">
        <v>59450</v>
      </c>
      <c r="E38" s="464"/>
      <c r="F38" s="464"/>
      <c r="G38" s="464"/>
      <c r="H38" s="464"/>
      <c r="I38" s="464"/>
      <c r="J38" s="464"/>
      <c r="K38" s="464"/>
      <c r="L38" s="464"/>
      <c r="M38" s="464"/>
      <c r="N38" s="465"/>
      <c r="O38" s="464"/>
      <c r="P38" s="464"/>
      <c r="Q38" s="176"/>
      <c r="R38" s="464"/>
      <c r="S38" s="1"/>
    </row>
    <row r="39" spans="1:19" x14ac:dyDescent="0.3">
      <c r="A39" s="461">
        <v>12</v>
      </c>
      <c r="B39" s="464">
        <v>83</v>
      </c>
      <c r="C39" s="464" t="s">
        <v>129</v>
      </c>
      <c r="D39" s="176">
        <v>-23991</v>
      </c>
      <c r="E39" s="464">
        <v>1</v>
      </c>
      <c r="F39" s="464" t="s">
        <v>130</v>
      </c>
      <c r="G39" s="464">
        <v>500</v>
      </c>
      <c r="H39" s="464">
        <v>400</v>
      </c>
      <c r="I39" s="464" t="s">
        <v>61</v>
      </c>
      <c r="J39" s="464">
        <v>300</v>
      </c>
      <c r="K39" s="464" t="s">
        <v>45</v>
      </c>
      <c r="L39" s="464">
        <v>90</v>
      </c>
      <c r="M39" s="464">
        <v>168</v>
      </c>
      <c r="N39" s="465" t="s">
        <v>14</v>
      </c>
      <c r="O39" s="464" t="s">
        <v>131</v>
      </c>
      <c r="P39" s="464" t="s">
        <v>16</v>
      </c>
      <c r="Q39" s="176"/>
      <c r="R39" s="464" t="s">
        <v>132</v>
      </c>
      <c r="S39" s="1"/>
    </row>
    <row r="40" spans="1:19" x14ac:dyDescent="0.3">
      <c r="A40" s="461"/>
      <c r="B40" s="464"/>
      <c r="C40" s="464"/>
      <c r="D40" s="176">
        <v>4447</v>
      </c>
      <c r="E40" s="464"/>
      <c r="F40" s="464"/>
      <c r="G40" s="464"/>
      <c r="H40" s="464"/>
      <c r="I40" s="464"/>
      <c r="J40" s="464"/>
      <c r="K40" s="464"/>
      <c r="L40" s="464"/>
      <c r="M40" s="464"/>
      <c r="N40" s="465"/>
      <c r="O40" s="464"/>
      <c r="P40" s="464"/>
      <c r="Q40" s="176"/>
      <c r="R40" s="464"/>
      <c r="S40" s="1"/>
    </row>
    <row r="41" spans="1:19" x14ac:dyDescent="0.3">
      <c r="A41" s="461"/>
      <c r="B41" s="464"/>
      <c r="C41" s="464"/>
      <c r="D41" s="176">
        <v>59450</v>
      </c>
      <c r="E41" s="464"/>
      <c r="F41" s="464"/>
      <c r="G41" s="464"/>
      <c r="H41" s="464"/>
      <c r="I41" s="464"/>
      <c r="J41" s="464"/>
      <c r="K41" s="464"/>
      <c r="L41" s="464"/>
      <c r="M41" s="464"/>
      <c r="N41" s="465"/>
      <c r="O41" s="464"/>
      <c r="P41" s="464"/>
      <c r="Q41" s="176"/>
      <c r="R41" s="464"/>
      <c r="S41" s="1"/>
    </row>
    <row r="42" spans="1:19" x14ac:dyDescent="0.3">
      <c r="A42" s="461">
        <v>13</v>
      </c>
      <c r="B42" s="464">
        <v>84</v>
      </c>
      <c r="C42" s="464" t="s">
        <v>129</v>
      </c>
      <c r="D42" s="176">
        <v>-23802</v>
      </c>
      <c r="E42" s="464">
        <v>1</v>
      </c>
      <c r="F42" s="464" t="s">
        <v>133</v>
      </c>
      <c r="G42" s="464">
        <v>500</v>
      </c>
      <c r="H42" s="464">
        <v>400</v>
      </c>
      <c r="I42" s="464" t="s">
        <v>134</v>
      </c>
      <c r="J42" s="464">
        <v>300</v>
      </c>
      <c r="K42" s="464" t="s">
        <v>45</v>
      </c>
      <c r="L42" s="464">
        <v>120</v>
      </c>
      <c r="M42" s="464">
        <v>264.5</v>
      </c>
      <c r="N42" s="465" t="s">
        <v>14</v>
      </c>
      <c r="O42" s="464" t="s">
        <v>131</v>
      </c>
      <c r="P42" s="464" t="s">
        <v>16</v>
      </c>
      <c r="Q42" s="176"/>
      <c r="R42" s="464" t="s">
        <v>135</v>
      </c>
      <c r="S42" s="1"/>
    </row>
    <row r="43" spans="1:19" x14ac:dyDescent="0.3">
      <c r="A43" s="461"/>
      <c r="B43" s="464"/>
      <c r="C43" s="464"/>
      <c r="D43" s="176">
        <v>6601</v>
      </c>
      <c r="E43" s="464"/>
      <c r="F43" s="464"/>
      <c r="G43" s="464"/>
      <c r="H43" s="464"/>
      <c r="I43" s="464"/>
      <c r="J43" s="464"/>
      <c r="K43" s="464"/>
      <c r="L43" s="464"/>
      <c r="M43" s="464"/>
      <c r="N43" s="465"/>
      <c r="O43" s="464"/>
      <c r="P43" s="464"/>
      <c r="Q43" s="176"/>
      <c r="R43" s="464"/>
      <c r="S43" s="1"/>
    </row>
    <row r="44" spans="1:19" x14ac:dyDescent="0.3">
      <c r="A44" s="461"/>
      <c r="B44" s="464"/>
      <c r="C44" s="464"/>
      <c r="D44" s="176">
        <v>59450</v>
      </c>
      <c r="E44" s="464"/>
      <c r="F44" s="464"/>
      <c r="G44" s="464"/>
      <c r="H44" s="464"/>
      <c r="I44" s="464"/>
      <c r="J44" s="464"/>
      <c r="K44" s="464"/>
      <c r="L44" s="464"/>
      <c r="M44" s="464"/>
      <c r="N44" s="465"/>
      <c r="O44" s="464"/>
      <c r="P44" s="464"/>
      <c r="Q44" s="176"/>
      <c r="R44" s="464"/>
      <c r="S44" s="1"/>
    </row>
    <row r="45" spans="1:19" x14ac:dyDescent="0.3">
      <c r="A45" s="461">
        <v>14</v>
      </c>
      <c r="B45" s="464">
        <v>85</v>
      </c>
      <c r="C45" s="464" t="s">
        <v>129</v>
      </c>
      <c r="D45" s="176">
        <v>-22855</v>
      </c>
      <c r="E45" s="464">
        <v>1</v>
      </c>
      <c r="F45" s="464" t="s">
        <v>130</v>
      </c>
      <c r="G45" s="464">
        <v>500</v>
      </c>
      <c r="H45" s="464">
        <v>400</v>
      </c>
      <c r="I45" s="464" t="s">
        <v>61</v>
      </c>
      <c r="J45" s="464">
        <v>300</v>
      </c>
      <c r="K45" s="464" t="s">
        <v>45</v>
      </c>
      <c r="L45" s="464">
        <v>90</v>
      </c>
      <c r="M45" s="464">
        <v>168</v>
      </c>
      <c r="N45" s="465" t="s">
        <v>14</v>
      </c>
      <c r="O45" s="464" t="s">
        <v>131</v>
      </c>
      <c r="P45" s="464" t="s">
        <v>16</v>
      </c>
      <c r="Q45" s="176"/>
      <c r="R45" s="464" t="s">
        <v>132</v>
      </c>
      <c r="S45" s="1"/>
    </row>
    <row r="46" spans="1:19" x14ac:dyDescent="0.3">
      <c r="A46" s="461"/>
      <c r="B46" s="464"/>
      <c r="C46" s="464"/>
      <c r="D46" s="176">
        <v>8545</v>
      </c>
      <c r="E46" s="464"/>
      <c r="F46" s="464"/>
      <c r="G46" s="464"/>
      <c r="H46" s="464"/>
      <c r="I46" s="464"/>
      <c r="J46" s="464"/>
      <c r="K46" s="464"/>
      <c r="L46" s="464"/>
      <c r="M46" s="464"/>
      <c r="N46" s="465"/>
      <c r="O46" s="464"/>
      <c r="P46" s="464"/>
      <c r="Q46" s="176"/>
      <c r="R46" s="464"/>
      <c r="S46" s="1"/>
    </row>
    <row r="47" spans="1:19" x14ac:dyDescent="0.3">
      <c r="A47" s="461"/>
      <c r="B47" s="464"/>
      <c r="C47" s="464"/>
      <c r="D47" s="176">
        <v>59450</v>
      </c>
      <c r="E47" s="464"/>
      <c r="F47" s="464"/>
      <c r="G47" s="464"/>
      <c r="H47" s="464"/>
      <c r="I47" s="464"/>
      <c r="J47" s="464"/>
      <c r="K47" s="464"/>
      <c r="L47" s="464"/>
      <c r="M47" s="464"/>
      <c r="N47" s="465"/>
      <c r="O47" s="464"/>
      <c r="P47" s="464"/>
      <c r="Q47" s="176"/>
      <c r="R47" s="464"/>
      <c r="S47" s="1"/>
    </row>
    <row r="48" spans="1:19" x14ac:dyDescent="0.3">
      <c r="A48" s="461">
        <v>15</v>
      </c>
      <c r="B48" s="464">
        <v>86</v>
      </c>
      <c r="C48" s="464" t="s">
        <v>129</v>
      </c>
      <c r="D48" s="176">
        <v>-21024</v>
      </c>
      <c r="E48" s="464">
        <v>1</v>
      </c>
      <c r="F48" s="464" t="s">
        <v>130</v>
      </c>
      <c r="G48" s="464">
        <v>500</v>
      </c>
      <c r="H48" s="464">
        <v>400</v>
      </c>
      <c r="I48" s="464" t="s">
        <v>61</v>
      </c>
      <c r="J48" s="464">
        <v>300</v>
      </c>
      <c r="K48" s="464" t="s">
        <v>45</v>
      </c>
      <c r="L48" s="464">
        <v>90</v>
      </c>
      <c r="M48" s="464">
        <v>168</v>
      </c>
      <c r="N48" s="465" t="s">
        <v>14</v>
      </c>
      <c r="O48" s="464" t="s">
        <v>131</v>
      </c>
      <c r="P48" s="464" t="s">
        <v>16</v>
      </c>
      <c r="Q48" s="176"/>
      <c r="R48" s="464" t="s">
        <v>132</v>
      </c>
      <c r="S48" s="1"/>
    </row>
    <row r="49" spans="1:19" x14ac:dyDescent="0.3">
      <c r="A49" s="461"/>
      <c r="B49" s="464"/>
      <c r="C49" s="464"/>
      <c r="D49" s="176">
        <v>12384</v>
      </c>
      <c r="E49" s="464"/>
      <c r="F49" s="464"/>
      <c r="G49" s="464"/>
      <c r="H49" s="464"/>
      <c r="I49" s="464"/>
      <c r="J49" s="464"/>
      <c r="K49" s="464"/>
      <c r="L49" s="464"/>
      <c r="M49" s="464"/>
      <c r="N49" s="465"/>
      <c r="O49" s="464"/>
      <c r="P49" s="464"/>
      <c r="Q49" s="176"/>
      <c r="R49" s="464"/>
      <c r="S49" s="1"/>
    </row>
    <row r="50" spans="1:19" x14ac:dyDescent="0.3">
      <c r="A50" s="461"/>
      <c r="B50" s="464"/>
      <c r="C50" s="464"/>
      <c r="D50" s="176">
        <v>59450</v>
      </c>
      <c r="E50" s="464"/>
      <c r="F50" s="464"/>
      <c r="G50" s="464"/>
      <c r="H50" s="464"/>
      <c r="I50" s="464"/>
      <c r="J50" s="464"/>
      <c r="K50" s="464"/>
      <c r="L50" s="464"/>
      <c r="M50" s="464"/>
      <c r="N50" s="465"/>
      <c r="O50" s="464"/>
      <c r="P50" s="464"/>
      <c r="Q50" s="176"/>
      <c r="R50" s="464"/>
      <c r="S50" s="1"/>
    </row>
    <row r="51" spans="1:19" x14ac:dyDescent="0.3">
      <c r="A51" s="461">
        <v>16</v>
      </c>
      <c r="B51" s="464">
        <v>87</v>
      </c>
      <c r="C51" s="464" t="s">
        <v>129</v>
      </c>
      <c r="D51" s="176">
        <v>-18554</v>
      </c>
      <c r="E51" s="464">
        <v>1</v>
      </c>
      <c r="F51" s="464" t="s">
        <v>130</v>
      </c>
      <c r="G51" s="464">
        <v>500</v>
      </c>
      <c r="H51" s="464">
        <v>400</v>
      </c>
      <c r="I51" s="464" t="s">
        <v>61</v>
      </c>
      <c r="J51" s="464">
        <v>300</v>
      </c>
      <c r="K51" s="464" t="s">
        <v>45</v>
      </c>
      <c r="L51" s="464">
        <v>90</v>
      </c>
      <c r="M51" s="464">
        <v>168</v>
      </c>
      <c r="N51" s="465" t="s">
        <v>14</v>
      </c>
      <c r="O51" s="464" t="s">
        <v>131</v>
      </c>
      <c r="P51" s="464" t="s">
        <v>16</v>
      </c>
      <c r="Q51" s="176"/>
      <c r="R51" s="464" t="s">
        <v>132</v>
      </c>
      <c r="S51" s="1"/>
    </row>
    <row r="52" spans="1:19" x14ac:dyDescent="0.3">
      <c r="A52" s="461"/>
      <c r="B52" s="464"/>
      <c r="C52" s="464"/>
      <c r="D52" s="176">
        <v>15847</v>
      </c>
      <c r="E52" s="464"/>
      <c r="F52" s="464"/>
      <c r="G52" s="464"/>
      <c r="H52" s="464"/>
      <c r="I52" s="464"/>
      <c r="J52" s="464"/>
      <c r="K52" s="464"/>
      <c r="L52" s="464"/>
      <c r="M52" s="464"/>
      <c r="N52" s="465"/>
      <c r="O52" s="464"/>
      <c r="P52" s="464"/>
      <c r="Q52" s="176"/>
      <c r="R52" s="464"/>
      <c r="S52" s="1"/>
    </row>
    <row r="53" spans="1:19" x14ac:dyDescent="0.3">
      <c r="A53" s="461"/>
      <c r="B53" s="464"/>
      <c r="C53" s="464"/>
      <c r="D53" s="176">
        <v>59450</v>
      </c>
      <c r="E53" s="464"/>
      <c r="F53" s="464"/>
      <c r="G53" s="464"/>
      <c r="H53" s="464"/>
      <c r="I53" s="464"/>
      <c r="J53" s="464"/>
      <c r="K53" s="464"/>
      <c r="L53" s="464"/>
      <c r="M53" s="464"/>
      <c r="N53" s="465"/>
      <c r="O53" s="464"/>
      <c r="P53" s="464"/>
      <c r="Q53" s="176"/>
      <c r="R53" s="464"/>
      <c r="S53" s="1"/>
    </row>
    <row r="54" spans="1:19" x14ac:dyDescent="0.3">
      <c r="A54" s="461">
        <v>17</v>
      </c>
      <c r="B54" s="464">
        <v>88</v>
      </c>
      <c r="C54" s="464" t="s">
        <v>129</v>
      </c>
      <c r="D54" s="176">
        <v>-15520</v>
      </c>
      <c r="E54" s="464">
        <v>1</v>
      </c>
      <c r="F54" s="464" t="s">
        <v>130</v>
      </c>
      <c r="G54" s="464">
        <v>500</v>
      </c>
      <c r="H54" s="464">
        <v>400</v>
      </c>
      <c r="I54" s="464" t="s">
        <v>61</v>
      </c>
      <c r="J54" s="464">
        <v>300</v>
      </c>
      <c r="K54" s="464" t="s">
        <v>45</v>
      </c>
      <c r="L54" s="464">
        <v>90</v>
      </c>
      <c r="M54" s="464">
        <v>168</v>
      </c>
      <c r="N54" s="465" t="s">
        <v>14</v>
      </c>
      <c r="O54" s="464" t="s">
        <v>131</v>
      </c>
      <c r="P54" s="464" t="s">
        <v>16</v>
      </c>
      <c r="Q54" s="176"/>
      <c r="R54" s="464" t="s">
        <v>132</v>
      </c>
      <c r="S54" s="1"/>
    </row>
    <row r="55" spans="1:19" x14ac:dyDescent="0.3">
      <c r="A55" s="461"/>
      <c r="B55" s="464"/>
      <c r="C55" s="464"/>
      <c r="D55" s="176">
        <v>18828</v>
      </c>
      <c r="E55" s="464"/>
      <c r="F55" s="464"/>
      <c r="G55" s="464"/>
      <c r="H55" s="464"/>
      <c r="I55" s="464"/>
      <c r="J55" s="464"/>
      <c r="K55" s="464"/>
      <c r="L55" s="464"/>
      <c r="M55" s="464"/>
      <c r="N55" s="465"/>
      <c r="O55" s="464"/>
      <c r="P55" s="464"/>
      <c r="Q55" s="176"/>
      <c r="R55" s="464"/>
      <c r="S55" s="1"/>
    </row>
    <row r="56" spans="1:19" x14ac:dyDescent="0.3">
      <c r="A56" s="461"/>
      <c r="B56" s="464"/>
      <c r="C56" s="464"/>
      <c r="D56" s="176">
        <v>59450</v>
      </c>
      <c r="E56" s="464"/>
      <c r="F56" s="464"/>
      <c r="G56" s="464"/>
      <c r="H56" s="464"/>
      <c r="I56" s="464"/>
      <c r="J56" s="464"/>
      <c r="K56" s="464"/>
      <c r="L56" s="464"/>
      <c r="M56" s="464"/>
      <c r="N56" s="465"/>
      <c r="O56" s="464"/>
      <c r="P56" s="464"/>
      <c r="Q56" s="176"/>
      <c r="R56" s="464"/>
      <c r="S56" s="1"/>
    </row>
    <row r="57" spans="1:19" x14ac:dyDescent="0.3">
      <c r="A57" s="461">
        <v>18</v>
      </c>
      <c r="B57" s="464">
        <v>89</v>
      </c>
      <c r="C57" s="464" t="s">
        <v>114</v>
      </c>
      <c r="D57" s="176">
        <v>-19864</v>
      </c>
      <c r="E57" s="464">
        <v>1</v>
      </c>
      <c r="F57" s="464" t="s">
        <v>25</v>
      </c>
      <c r="G57" s="464">
        <v>500</v>
      </c>
      <c r="H57" s="464">
        <v>400</v>
      </c>
      <c r="I57" s="464" t="s">
        <v>44</v>
      </c>
      <c r="J57" s="464">
        <v>115</v>
      </c>
      <c r="K57" s="464" t="s">
        <v>45</v>
      </c>
      <c r="L57" s="464">
        <v>0</v>
      </c>
      <c r="M57" s="464">
        <v>75</v>
      </c>
      <c r="N57" s="465" t="s">
        <v>14</v>
      </c>
      <c r="O57" s="464" t="s">
        <v>131</v>
      </c>
      <c r="P57" s="464" t="s">
        <v>16</v>
      </c>
      <c r="Q57" s="176"/>
      <c r="R57" s="464" t="s">
        <v>132</v>
      </c>
      <c r="S57" s="1"/>
    </row>
    <row r="58" spans="1:19" x14ac:dyDescent="0.3">
      <c r="A58" s="461"/>
      <c r="B58" s="464"/>
      <c r="C58" s="464"/>
      <c r="D58" s="176">
        <v>14169</v>
      </c>
      <c r="E58" s="464"/>
      <c r="F58" s="464"/>
      <c r="G58" s="464"/>
      <c r="H58" s="464"/>
      <c r="I58" s="464"/>
      <c r="J58" s="464"/>
      <c r="K58" s="464"/>
      <c r="L58" s="464"/>
      <c r="M58" s="464"/>
      <c r="N58" s="465"/>
      <c r="O58" s="464"/>
      <c r="P58" s="464"/>
      <c r="Q58" s="176"/>
      <c r="R58" s="464"/>
      <c r="S58" s="1"/>
    </row>
    <row r="59" spans="1:19" x14ac:dyDescent="0.3">
      <c r="A59" s="461"/>
      <c r="B59" s="464"/>
      <c r="C59" s="464"/>
      <c r="D59" s="176">
        <v>59450</v>
      </c>
      <c r="E59" s="464"/>
      <c r="F59" s="464"/>
      <c r="G59" s="464"/>
      <c r="H59" s="464"/>
      <c r="I59" s="464"/>
      <c r="J59" s="464"/>
      <c r="K59" s="464"/>
      <c r="L59" s="464"/>
      <c r="M59" s="464"/>
      <c r="N59" s="465"/>
      <c r="O59" s="464"/>
      <c r="P59" s="464"/>
      <c r="Q59" s="176"/>
      <c r="R59" s="464"/>
      <c r="S59" s="1"/>
    </row>
    <row r="60" spans="1:19" x14ac:dyDescent="0.3">
      <c r="A60" s="461">
        <v>19</v>
      </c>
      <c r="B60" s="464">
        <v>90</v>
      </c>
      <c r="C60" s="464" t="s">
        <v>136</v>
      </c>
      <c r="D60" s="176">
        <v>-11577</v>
      </c>
      <c r="E60" s="464">
        <v>1</v>
      </c>
      <c r="F60" s="464" t="s">
        <v>24</v>
      </c>
      <c r="G60" s="464">
        <v>500</v>
      </c>
      <c r="H60" s="464">
        <v>400</v>
      </c>
      <c r="I60" s="464" t="s">
        <v>44</v>
      </c>
      <c r="J60" s="464">
        <v>115</v>
      </c>
      <c r="K60" s="464" t="s">
        <v>45</v>
      </c>
      <c r="L60" s="464">
        <v>0</v>
      </c>
      <c r="M60" s="464">
        <v>110</v>
      </c>
      <c r="N60" s="465" t="s">
        <v>14</v>
      </c>
      <c r="O60" s="464" t="s">
        <v>137</v>
      </c>
      <c r="P60" s="464" t="s">
        <v>16</v>
      </c>
      <c r="Q60" s="176"/>
      <c r="R60" s="464" t="s">
        <v>138</v>
      </c>
      <c r="S60" s="1"/>
    </row>
    <row r="61" spans="1:19" x14ac:dyDescent="0.3">
      <c r="A61" s="461"/>
      <c r="B61" s="464"/>
      <c r="C61" s="464"/>
      <c r="D61" s="176">
        <v>21478</v>
      </c>
      <c r="E61" s="464"/>
      <c r="F61" s="464"/>
      <c r="G61" s="464"/>
      <c r="H61" s="464"/>
      <c r="I61" s="464"/>
      <c r="J61" s="464"/>
      <c r="K61" s="464"/>
      <c r="L61" s="464"/>
      <c r="M61" s="464"/>
      <c r="N61" s="465"/>
      <c r="O61" s="464"/>
      <c r="P61" s="464"/>
      <c r="Q61" s="176"/>
      <c r="R61" s="464"/>
      <c r="S61" s="1"/>
    </row>
    <row r="62" spans="1:19" x14ac:dyDescent="0.3">
      <c r="A62" s="461"/>
      <c r="B62" s="464"/>
      <c r="C62" s="464"/>
      <c r="D62" s="176">
        <v>59450</v>
      </c>
      <c r="E62" s="464"/>
      <c r="F62" s="464"/>
      <c r="G62" s="464"/>
      <c r="H62" s="464"/>
      <c r="I62" s="464"/>
      <c r="J62" s="464"/>
      <c r="K62" s="464"/>
      <c r="L62" s="464"/>
      <c r="M62" s="464"/>
      <c r="N62" s="465"/>
      <c r="O62" s="464"/>
      <c r="P62" s="464"/>
      <c r="Q62" s="176"/>
      <c r="R62" s="464"/>
      <c r="S62" s="1"/>
    </row>
    <row r="63" spans="1:19" x14ac:dyDescent="0.3">
      <c r="A63" s="461">
        <v>20</v>
      </c>
      <c r="B63" s="464">
        <v>91</v>
      </c>
      <c r="C63" s="464" t="s">
        <v>139</v>
      </c>
      <c r="D63" s="176">
        <v>-8145</v>
      </c>
      <c r="E63" s="464">
        <v>1</v>
      </c>
      <c r="F63" s="464" t="s">
        <v>130</v>
      </c>
      <c r="G63" s="464">
        <v>500</v>
      </c>
      <c r="H63" s="464">
        <v>400</v>
      </c>
      <c r="I63" s="464" t="s">
        <v>61</v>
      </c>
      <c r="J63" s="464">
        <v>300</v>
      </c>
      <c r="K63" s="464" t="s">
        <v>45</v>
      </c>
      <c r="L63" s="464">
        <v>90</v>
      </c>
      <c r="M63" s="464">
        <v>168</v>
      </c>
      <c r="N63" s="465" t="s">
        <v>14</v>
      </c>
      <c r="O63" s="464" t="s">
        <v>140</v>
      </c>
      <c r="P63" s="464" t="s">
        <v>16</v>
      </c>
      <c r="Q63" s="176"/>
      <c r="R63" s="464" t="s">
        <v>132</v>
      </c>
      <c r="S63" s="1"/>
    </row>
    <row r="64" spans="1:19" x14ac:dyDescent="0.3">
      <c r="A64" s="461"/>
      <c r="B64" s="464"/>
      <c r="C64" s="464"/>
      <c r="D64" s="176">
        <v>23000</v>
      </c>
      <c r="E64" s="464"/>
      <c r="F64" s="464"/>
      <c r="G64" s="464"/>
      <c r="H64" s="464"/>
      <c r="I64" s="464"/>
      <c r="J64" s="464"/>
      <c r="K64" s="464"/>
      <c r="L64" s="464"/>
      <c r="M64" s="464"/>
      <c r="N64" s="465"/>
      <c r="O64" s="464"/>
      <c r="P64" s="464"/>
      <c r="Q64" s="176"/>
      <c r="R64" s="464"/>
      <c r="S64" s="1"/>
    </row>
    <row r="65" spans="1:19" x14ac:dyDescent="0.3">
      <c r="A65" s="461"/>
      <c r="B65" s="464"/>
      <c r="C65" s="464"/>
      <c r="D65" s="176">
        <v>59450</v>
      </c>
      <c r="E65" s="464"/>
      <c r="F65" s="464"/>
      <c r="G65" s="464"/>
      <c r="H65" s="464"/>
      <c r="I65" s="464"/>
      <c r="J65" s="464"/>
      <c r="K65" s="464"/>
      <c r="L65" s="464"/>
      <c r="M65" s="464"/>
      <c r="N65" s="465"/>
      <c r="O65" s="464"/>
      <c r="P65" s="464"/>
      <c r="Q65" s="176"/>
      <c r="R65" s="464"/>
      <c r="S65" s="1"/>
    </row>
    <row r="66" spans="1:19" x14ac:dyDescent="0.3">
      <c r="A66" s="461">
        <v>21</v>
      </c>
      <c r="B66" s="464">
        <v>92</v>
      </c>
      <c r="C66" s="464" t="s">
        <v>139</v>
      </c>
      <c r="D66" s="176">
        <v>-4027</v>
      </c>
      <c r="E66" s="464">
        <v>1</v>
      </c>
      <c r="F66" s="464" t="s">
        <v>130</v>
      </c>
      <c r="G66" s="464">
        <v>500</v>
      </c>
      <c r="H66" s="464">
        <v>400</v>
      </c>
      <c r="I66" s="464" t="s">
        <v>61</v>
      </c>
      <c r="J66" s="464">
        <v>300</v>
      </c>
      <c r="K66" s="464" t="s">
        <v>45</v>
      </c>
      <c r="L66" s="464">
        <v>90</v>
      </c>
      <c r="M66" s="464">
        <v>168</v>
      </c>
      <c r="N66" s="465" t="s">
        <v>14</v>
      </c>
      <c r="O66" s="464" t="s">
        <v>140</v>
      </c>
      <c r="P66" s="464" t="s">
        <v>16</v>
      </c>
      <c r="Q66" s="176"/>
      <c r="R66" s="464" t="s">
        <v>132</v>
      </c>
      <c r="S66" s="1"/>
    </row>
    <row r="67" spans="1:19" x14ac:dyDescent="0.3">
      <c r="A67" s="461"/>
      <c r="B67" s="464"/>
      <c r="C67" s="464"/>
      <c r="D67" s="176">
        <v>24065</v>
      </c>
      <c r="E67" s="464"/>
      <c r="F67" s="464"/>
      <c r="G67" s="464"/>
      <c r="H67" s="464"/>
      <c r="I67" s="464"/>
      <c r="J67" s="464"/>
      <c r="K67" s="464"/>
      <c r="L67" s="464"/>
      <c r="M67" s="464"/>
      <c r="N67" s="465"/>
      <c r="O67" s="464"/>
      <c r="P67" s="464"/>
      <c r="Q67" s="176"/>
      <c r="R67" s="464"/>
      <c r="S67" s="1"/>
    </row>
    <row r="68" spans="1:19" x14ac:dyDescent="0.3">
      <c r="A68" s="461"/>
      <c r="B68" s="464"/>
      <c r="C68" s="464"/>
      <c r="D68" s="176">
        <v>59450</v>
      </c>
      <c r="E68" s="464"/>
      <c r="F68" s="464"/>
      <c r="G68" s="464"/>
      <c r="H68" s="464"/>
      <c r="I68" s="464"/>
      <c r="J68" s="464"/>
      <c r="K68" s="464"/>
      <c r="L68" s="464"/>
      <c r="M68" s="464"/>
      <c r="N68" s="465"/>
      <c r="O68" s="464"/>
      <c r="P68" s="464"/>
      <c r="Q68" s="176"/>
      <c r="R68" s="464"/>
      <c r="S68" s="1"/>
    </row>
    <row r="69" spans="1:19" x14ac:dyDescent="0.3">
      <c r="A69" s="461">
        <v>22</v>
      </c>
      <c r="B69" s="464">
        <v>93</v>
      </c>
      <c r="C69" s="464" t="s">
        <v>139</v>
      </c>
      <c r="D69" s="176">
        <v>213</v>
      </c>
      <c r="E69" s="464">
        <v>1</v>
      </c>
      <c r="F69" s="464" t="s">
        <v>130</v>
      </c>
      <c r="G69" s="464">
        <v>500</v>
      </c>
      <c r="H69" s="464">
        <v>400</v>
      </c>
      <c r="I69" s="464" t="s">
        <v>61</v>
      </c>
      <c r="J69" s="464">
        <v>300</v>
      </c>
      <c r="K69" s="464" t="s">
        <v>45</v>
      </c>
      <c r="L69" s="464">
        <v>90</v>
      </c>
      <c r="M69" s="464">
        <v>168</v>
      </c>
      <c r="N69" s="465" t="s">
        <v>14</v>
      </c>
      <c r="O69" s="464" t="s">
        <v>140</v>
      </c>
      <c r="P69" s="464" t="s">
        <v>16</v>
      </c>
      <c r="Q69" s="176"/>
      <c r="R69" s="464" t="s">
        <v>132</v>
      </c>
      <c r="S69" s="1"/>
    </row>
    <row r="70" spans="1:19" x14ac:dyDescent="0.3">
      <c r="A70" s="461"/>
      <c r="B70" s="464"/>
      <c r="C70" s="464"/>
      <c r="D70" s="176">
        <v>24399</v>
      </c>
      <c r="E70" s="464"/>
      <c r="F70" s="464"/>
      <c r="G70" s="464"/>
      <c r="H70" s="464"/>
      <c r="I70" s="464"/>
      <c r="J70" s="464"/>
      <c r="K70" s="464"/>
      <c r="L70" s="464"/>
      <c r="M70" s="464"/>
      <c r="N70" s="465"/>
      <c r="O70" s="464"/>
      <c r="P70" s="464"/>
      <c r="Q70" s="176"/>
      <c r="R70" s="464"/>
      <c r="S70" s="1"/>
    </row>
    <row r="71" spans="1:19" x14ac:dyDescent="0.3">
      <c r="A71" s="461"/>
      <c r="B71" s="464"/>
      <c r="C71" s="464"/>
      <c r="D71" s="176">
        <v>59450</v>
      </c>
      <c r="E71" s="464"/>
      <c r="F71" s="464"/>
      <c r="G71" s="464"/>
      <c r="H71" s="464"/>
      <c r="I71" s="464"/>
      <c r="J71" s="464"/>
      <c r="K71" s="464"/>
      <c r="L71" s="464"/>
      <c r="M71" s="464"/>
      <c r="N71" s="465"/>
      <c r="O71" s="464"/>
      <c r="P71" s="464"/>
      <c r="Q71" s="176"/>
      <c r="R71" s="464"/>
      <c r="S71" s="1"/>
    </row>
    <row r="72" spans="1:19" x14ac:dyDescent="0.3">
      <c r="A72" s="461">
        <v>23</v>
      </c>
      <c r="B72" s="464">
        <v>94</v>
      </c>
      <c r="C72" s="464" t="s">
        <v>139</v>
      </c>
      <c r="D72" s="176">
        <v>4447</v>
      </c>
      <c r="E72" s="464">
        <v>1</v>
      </c>
      <c r="F72" s="464" t="s">
        <v>130</v>
      </c>
      <c r="G72" s="464">
        <v>500</v>
      </c>
      <c r="H72" s="464">
        <v>400</v>
      </c>
      <c r="I72" s="464" t="s">
        <v>61</v>
      </c>
      <c r="J72" s="464">
        <v>300</v>
      </c>
      <c r="K72" s="464" t="s">
        <v>45</v>
      </c>
      <c r="L72" s="464">
        <v>90</v>
      </c>
      <c r="M72" s="464">
        <v>168</v>
      </c>
      <c r="N72" s="465" t="s">
        <v>14</v>
      </c>
      <c r="O72" s="464" t="s">
        <v>140</v>
      </c>
      <c r="P72" s="464" t="s">
        <v>16</v>
      </c>
      <c r="Q72" s="176"/>
      <c r="R72" s="464" t="s">
        <v>132</v>
      </c>
      <c r="S72" s="1"/>
    </row>
    <row r="73" spans="1:19" x14ac:dyDescent="0.3">
      <c r="A73" s="461"/>
      <c r="B73" s="464"/>
      <c r="C73" s="464"/>
      <c r="D73" s="176">
        <v>23991</v>
      </c>
      <c r="E73" s="464"/>
      <c r="F73" s="464"/>
      <c r="G73" s="464"/>
      <c r="H73" s="464"/>
      <c r="I73" s="464"/>
      <c r="J73" s="464"/>
      <c r="K73" s="464"/>
      <c r="L73" s="464"/>
      <c r="M73" s="464"/>
      <c r="N73" s="465"/>
      <c r="O73" s="464"/>
      <c r="P73" s="464"/>
      <c r="Q73" s="176"/>
      <c r="R73" s="464"/>
      <c r="S73" s="1"/>
    </row>
    <row r="74" spans="1:19" x14ac:dyDescent="0.3">
      <c r="A74" s="461"/>
      <c r="B74" s="464"/>
      <c r="C74" s="464"/>
      <c r="D74" s="176">
        <v>59450</v>
      </c>
      <c r="E74" s="464"/>
      <c r="F74" s="464"/>
      <c r="G74" s="464"/>
      <c r="H74" s="464"/>
      <c r="I74" s="464"/>
      <c r="J74" s="464"/>
      <c r="K74" s="464"/>
      <c r="L74" s="464"/>
      <c r="M74" s="464"/>
      <c r="N74" s="465"/>
      <c r="O74" s="464"/>
      <c r="P74" s="464"/>
      <c r="Q74" s="176"/>
      <c r="R74" s="464"/>
      <c r="S74" s="1"/>
    </row>
    <row r="75" spans="1:19" x14ac:dyDescent="0.3">
      <c r="A75" s="461">
        <v>24</v>
      </c>
      <c r="B75" s="464">
        <v>95</v>
      </c>
      <c r="C75" s="464" t="s">
        <v>139</v>
      </c>
      <c r="D75" s="176">
        <v>6467</v>
      </c>
      <c r="E75" s="464">
        <v>1</v>
      </c>
      <c r="F75" s="464" t="s">
        <v>133</v>
      </c>
      <c r="G75" s="464">
        <v>500</v>
      </c>
      <c r="H75" s="464">
        <v>400</v>
      </c>
      <c r="I75" s="464" t="s">
        <v>134</v>
      </c>
      <c r="J75" s="464">
        <v>300</v>
      </c>
      <c r="K75" s="464" t="s">
        <v>45</v>
      </c>
      <c r="L75" s="464">
        <v>120</v>
      </c>
      <c r="M75" s="464">
        <v>264.5</v>
      </c>
      <c r="N75" s="465" t="s">
        <v>14</v>
      </c>
      <c r="O75" s="464" t="s">
        <v>140</v>
      </c>
      <c r="P75" s="464" t="s">
        <v>16</v>
      </c>
      <c r="Q75" s="176"/>
      <c r="R75" s="464" t="s">
        <v>135</v>
      </c>
      <c r="S75" s="1"/>
    </row>
    <row r="76" spans="1:19" x14ac:dyDescent="0.3">
      <c r="A76" s="461"/>
      <c r="B76" s="464"/>
      <c r="C76" s="464"/>
      <c r="D76" s="176">
        <v>23320</v>
      </c>
      <c r="E76" s="464"/>
      <c r="F76" s="464"/>
      <c r="G76" s="464"/>
      <c r="H76" s="464"/>
      <c r="I76" s="464"/>
      <c r="J76" s="464"/>
      <c r="K76" s="464"/>
      <c r="L76" s="464"/>
      <c r="M76" s="464"/>
      <c r="N76" s="465"/>
      <c r="O76" s="464"/>
      <c r="P76" s="464"/>
      <c r="Q76" s="176"/>
      <c r="R76" s="464"/>
      <c r="S76" s="1"/>
    </row>
    <row r="77" spans="1:19" x14ac:dyDescent="0.3">
      <c r="A77" s="461"/>
      <c r="B77" s="464"/>
      <c r="C77" s="464"/>
      <c r="D77" s="176">
        <v>59450</v>
      </c>
      <c r="E77" s="464"/>
      <c r="F77" s="464"/>
      <c r="G77" s="464"/>
      <c r="H77" s="464"/>
      <c r="I77" s="464"/>
      <c r="J77" s="464"/>
      <c r="K77" s="464"/>
      <c r="L77" s="464"/>
      <c r="M77" s="464"/>
      <c r="N77" s="465"/>
      <c r="O77" s="464"/>
      <c r="P77" s="464"/>
      <c r="Q77" s="176"/>
      <c r="R77" s="464"/>
      <c r="S77" s="1"/>
    </row>
    <row r="78" spans="1:19" x14ac:dyDescent="0.3">
      <c r="A78" s="461">
        <v>25</v>
      </c>
      <c r="B78" s="464">
        <v>96</v>
      </c>
      <c r="C78" s="464" t="s">
        <v>139</v>
      </c>
      <c r="D78" s="176">
        <v>8545</v>
      </c>
      <c r="E78" s="464">
        <v>1</v>
      </c>
      <c r="F78" s="464" t="s">
        <v>130</v>
      </c>
      <c r="G78" s="464">
        <v>500</v>
      </c>
      <c r="H78" s="464">
        <v>400</v>
      </c>
      <c r="I78" s="464" t="s">
        <v>61</v>
      </c>
      <c r="J78" s="464">
        <v>300</v>
      </c>
      <c r="K78" s="464" t="s">
        <v>45</v>
      </c>
      <c r="L78" s="464">
        <v>90</v>
      </c>
      <c r="M78" s="464">
        <v>168</v>
      </c>
      <c r="N78" s="465" t="s">
        <v>14</v>
      </c>
      <c r="O78" s="464" t="s">
        <v>140</v>
      </c>
      <c r="P78" s="464" t="s">
        <v>16</v>
      </c>
      <c r="Q78" s="176"/>
      <c r="R78" s="464" t="s">
        <v>132</v>
      </c>
      <c r="S78" s="1"/>
    </row>
    <row r="79" spans="1:19" x14ac:dyDescent="0.3">
      <c r="A79" s="461"/>
      <c r="B79" s="464"/>
      <c r="C79" s="464"/>
      <c r="D79" s="176">
        <v>22855</v>
      </c>
      <c r="E79" s="464"/>
      <c r="F79" s="464"/>
      <c r="G79" s="464"/>
      <c r="H79" s="464"/>
      <c r="I79" s="464"/>
      <c r="J79" s="464"/>
      <c r="K79" s="464"/>
      <c r="L79" s="464"/>
      <c r="M79" s="464"/>
      <c r="N79" s="465"/>
      <c r="O79" s="464"/>
      <c r="P79" s="464"/>
      <c r="Q79" s="176"/>
      <c r="R79" s="464"/>
      <c r="S79" s="1"/>
    </row>
    <row r="80" spans="1:19" x14ac:dyDescent="0.3">
      <c r="A80" s="461"/>
      <c r="B80" s="464"/>
      <c r="C80" s="464"/>
      <c r="D80" s="176">
        <v>59450</v>
      </c>
      <c r="E80" s="464"/>
      <c r="F80" s="464"/>
      <c r="G80" s="464"/>
      <c r="H80" s="464"/>
      <c r="I80" s="464"/>
      <c r="J80" s="464"/>
      <c r="K80" s="464"/>
      <c r="L80" s="464"/>
      <c r="M80" s="464"/>
      <c r="N80" s="465"/>
      <c r="O80" s="464"/>
      <c r="P80" s="464"/>
      <c r="Q80" s="176"/>
      <c r="R80" s="464"/>
      <c r="S80" s="1"/>
    </row>
    <row r="81" spans="1:19" x14ac:dyDescent="0.3">
      <c r="A81" s="461">
        <v>26</v>
      </c>
      <c r="B81" s="464">
        <v>97</v>
      </c>
      <c r="C81" s="464" t="s">
        <v>139</v>
      </c>
      <c r="D81" s="176">
        <v>12384</v>
      </c>
      <c r="E81" s="464">
        <v>1</v>
      </c>
      <c r="F81" s="464" t="s">
        <v>130</v>
      </c>
      <c r="G81" s="464">
        <v>500</v>
      </c>
      <c r="H81" s="464">
        <v>400</v>
      </c>
      <c r="I81" s="464" t="s">
        <v>61</v>
      </c>
      <c r="J81" s="464">
        <v>300</v>
      </c>
      <c r="K81" s="464" t="s">
        <v>45</v>
      </c>
      <c r="L81" s="464">
        <v>90</v>
      </c>
      <c r="M81" s="464">
        <v>168</v>
      </c>
      <c r="N81" s="465" t="s">
        <v>14</v>
      </c>
      <c r="O81" s="464" t="s">
        <v>140</v>
      </c>
      <c r="P81" s="464" t="s">
        <v>16</v>
      </c>
      <c r="Q81" s="176"/>
      <c r="R81" s="464" t="s">
        <v>132</v>
      </c>
      <c r="S81" s="1"/>
    </row>
    <row r="82" spans="1:19" x14ac:dyDescent="0.3">
      <c r="A82" s="461"/>
      <c r="B82" s="464"/>
      <c r="C82" s="464"/>
      <c r="D82" s="176">
        <v>21024</v>
      </c>
      <c r="E82" s="464"/>
      <c r="F82" s="464"/>
      <c r="G82" s="464"/>
      <c r="H82" s="464"/>
      <c r="I82" s="464"/>
      <c r="J82" s="464"/>
      <c r="K82" s="464"/>
      <c r="L82" s="464"/>
      <c r="M82" s="464"/>
      <c r="N82" s="465"/>
      <c r="O82" s="464"/>
      <c r="P82" s="464"/>
      <c r="Q82" s="176"/>
      <c r="R82" s="464"/>
      <c r="S82" s="1"/>
    </row>
    <row r="83" spans="1:19" x14ac:dyDescent="0.3">
      <c r="A83" s="461"/>
      <c r="B83" s="464"/>
      <c r="C83" s="464"/>
      <c r="D83" s="176">
        <v>59450</v>
      </c>
      <c r="E83" s="464"/>
      <c r="F83" s="464"/>
      <c r="G83" s="464"/>
      <c r="H83" s="464"/>
      <c r="I83" s="464"/>
      <c r="J83" s="464"/>
      <c r="K83" s="464"/>
      <c r="L83" s="464"/>
      <c r="M83" s="464"/>
      <c r="N83" s="465"/>
      <c r="O83" s="464"/>
      <c r="P83" s="464"/>
      <c r="Q83" s="176"/>
      <c r="R83" s="464"/>
      <c r="S83" s="1"/>
    </row>
    <row r="84" spans="1:19" x14ac:dyDescent="0.3">
      <c r="A84" s="461">
        <v>27</v>
      </c>
      <c r="B84" s="464">
        <v>98</v>
      </c>
      <c r="C84" s="464" t="s">
        <v>139</v>
      </c>
      <c r="D84" s="176">
        <v>15847</v>
      </c>
      <c r="E84" s="464">
        <v>1</v>
      </c>
      <c r="F84" s="464" t="s">
        <v>130</v>
      </c>
      <c r="G84" s="464">
        <v>500</v>
      </c>
      <c r="H84" s="464">
        <v>400</v>
      </c>
      <c r="I84" s="464" t="s">
        <v>61</v>
      </c>
      <c r="J84" s="464">
        <v>300</v>
      </c>
      <c r="K84" s="464" t="s">
        <v>45</v>
      </c>
      <c r="L84" s="464">
        <v>90</v>
      </c>
      <c r="M84" s="464">
        <v>168</v>
      </c>
      <c r="N84" s="465" t="s">
        <v>14</v>
      </c>
      <c r="O84" s="464" t="s">
        <v>140</v>
      </c>
      <c r="P84" s="464" t="s">
        <v>16</v>
      </c>
      <c r="Q84" s="176"/>
      <c r="R84" s="464" t="s">
        <v>132</v>
      </c>
      <c r="S84" s="1"/>
    </row>
    <row r="85" spans="1:19" x14ac:dyDescent="0.3">
      <c r="A85" s="461"/>
      <c r="B85" s="464"/>
      <c r="C85" s="464"/>
      <c r="D85" s="176">
        <v>18554</v>
      </c>
      <c r="E85" s="464"/>
      <c r="F85" s="464"/>
      <c r="G85" s="464"/>
      <c r="H85" s="464"/>
      <c r="I85" s="464"/>
      <c r="J85" s="464"/>
      <c r="K85" s="464"/>
      <c r="L85" s="464"/>
      <c r="M85" s="464"/>
      <c r="N85" s="465"/>
      <c r="O85" s="464"/>
      <c r="P85" s="464"/>
      <c r="Q85" s="176"/>
      <c r="R85" s="464"/>
      <c r="S85" s="1"/>
    </row>
    <row r="86" spans="1:19" x14ac:dyDescent="0.3">
      <c r="A86" s="461"/>
      <c r="B86" s="464"/>
      <c r="C86" s="464"/>
      <c r="D86" s="176">
        <v>59450</v>
      </c>
      <c r="E86" s="464"/>
      <c r="F86" s="464"/>
      <c r="G86" s="464"/>
      <c r="H86" s="464"/>
      <c r="I86" s="464"/>
      <c r="J86" s="464"/>
      <c r="K86" s="464"/>
      <c r="L86" s="464"/>
      <c r="M86" s="464"/>
      <c r="N86" s="465"/>
      <c r="O86" s="464"/>
      <c r="P86" s="464"/>
      <c r="Q86" s="176"/>
      <c r="R86" s="464"/>
      <c r="S86" s="1"/>
    </row>
    <row r="87" spans="1:19" x14ac:dyDescent="0.3">
      <c r="A87" s="461">
        <v>28</v>
      </c>
      <c r="B87" s="464">
        <v>99</v>
      </c>
      <c r="C87" s="464" t="s">
        <v>139</v>
      </c>
      <c r="D87" s="176">
        <v>18828</v>
      </c>
      <c r="E87" s="464">
        <v>1</v>
      </c>
      <c r="F87" s="464" t="s">
        <v>130</v>
      </c>
      <c r="G87" s="464">
        <v>500</v>
      </c>
      <c r="H87" s="464">
        <v>400</v>
      </c>
      <c r="I87" s="464" t="s">
        <v>61</v>
      </c>
      <c r="J87" s="464">
        <v>300</v>
      </c>
      <c r="K87" s="464" t="s">
        <v>45</v>
      </c>
      <c r="L87" s="464">
        <v>90</v>
      </c>
      <c r="M87" s="464">
        <v>168</v>
      </c>
      <c r="N87" s="465" t="s">
        <v>14</v>
      </c>
      <c r="O87" s="464" t="s">
        <v>140</v>
      </c>
      <c r="P87" s="464" t="s">
        <v>16</v>
      </c>
      <c r="Q87" s="176"/>
      <c r="R87" s="464" t="s">
        <v>132</v>
      </c>
      <c r="S87" s="1"/>
    </row>
    <row r="88" spans="1:19" x14ac:dyDescent="0.3">
      <c r="A88" s="461"/>
      <c r="B88" s="464"/>
      <c r="C88" s="464"/>
      <c r="D88" s="176">
        <v>15520</v>
      </c>
      <c r="E88" s="464"/>
      <c r="F88" s="464"/>
      <c r="G88" s="464"/>
      <c r="H88" s="464"/>
      <c r="I88" s="464"/>
      <c r="J88" s="464"/>
      <c r="K88" s="464"/>
      <c r="L88" s="464"/>
      <c r="M88" s="464"/>
      <c r="N88" s="465"/>
      <c r="O88" s="464"/>
      <c r="P88" s="464"/>
      <c r="Q88" s="176"/>
      <c r="R88" s="464"/>
      <c r="S88" s="1"/>
    </row>
    <row r="89" spans="1:19" x14ac:dyDescent="0.3">
      <c r="A89" s="461"/>
      <c r="B89" s="464"/>
      <c r="C89" s="464"/>
      <c r="D89" s="176">
        <v>59450</v>
      </c>
      <c r="E89" s="464"/>
      <c r="F89" s="464"/>
      <c r="G89" s="464"/>
      <c r="H89" s="464"/>
      <c r="I89" s="464"/>
      <c r="J89" s="464"/>
      <c r="K89" s="464"/>
      <c r="L89" s="464"/>
      <c r="M89" s="464"/>
      <c r="N89" s="465"/>
      <c r="O89" s="464"/>
      <c r="P89" s="464"/>
      <c r="Q89" s="176"/>
      <c r="R89" s="464"/>
      <c r="S89" s="1"/>
    </row>
    <row r="90" spans="1:19" x14ac:dyDescent="0.3">
      <c r="A90" s="461">
        <v>29</v>
      </c>
      <c r="B90" s="464">
        <v>100</v>
      </c>
      <c r="C90" s="464" t="s">
        <v>141</v>
      </c>
      <c r="D90" s="176">
        <v>23000</v>
      </c>
      <c r="E90" s="464">
        <v>1</v>
      </c>
      <c r="F90" s="464" t="s">
        <v>130</v>
      </c>
      <c r="G90" s="464">
        <v>500</v>
      </c>
      <c r="H90" s="464">
        <v>400</v>
      </c>
      <c r="I90" s="464" t="s">
        <v>61</v>
      </c>
      <c r="J90" s="464">
        <v>300</v>
      </c>
      <c r="K90" s="464" t="s">
        <v>45</v>
      </c>
      <c r="L90" s="464">
        <v>90</v>
      </c>
      <c r="M90" s="464">
        <v>168</v>
      </c>
      <c r="N90" s="465" t="s">
        <v>14</v>
      </c>
      <c r="O90" s="464" t="s">
        <v>142</v>
      </c>
      <c r="P90" s="464" t="s">
        <v>16</v>
      </c>
      <c r="Q90" s="176"/>
      <c r="R90" s="464" t="s">
        <v>132</v>
      </c>
      <c r="S90" s="1"/>
    </row>
    <row r="91" spans="1:19" x14ac:dyDescent="0.3">
      <c r="A91" s="461"/>
      <c r="B91" s="464"/>
      <c r="C91" s="464"/>
      <c r="D91" s="176">
        <v>8145</v>
      </c>
      <c r="E91" s="464"/>
      <c r="F91" s="464"/>
      <c r="G91" s="464"/>
      <c r="H91" s="464"/>
      <c r="I91" s="464"/>
      <c r="J91" s="464"/>
      <c r="K91" s="464"/>
      <c r="L91" s="464"/>
      <c r="M91" s="464"/>
      <c r="N91" s="465"/>
      <c r="O91" s="464"/>
      <c r="P91" s="464"/>
      <c r="Q91" s="176"/>
      <c r="R91" s="464"/>
      <c r="S91" s="1"/>
    </row>
    <row r="92" spans="1:19" x14ac:dyDescent="0.3">
      <c r="A92" s="461"/>
      <c r="B92" s="464"/>
      <c r="C92" s="464"/>
      <c r="D92" s="176">
        <v>59450</v>
      </c>
      <c r="E92" s="464"/>
      <c r="F92" s="464"/>
      <c r="G92" s="464"/>
      <c r="H92" s="464"/>
      <c r="I92" s="464"/>
      <c r="J92" s="464"/>
      <c r="K92" s="464"/>
      <c r="L92" s="464"/>
      <c r="M92" s="464"/>
      <c r="N92" s="465"/>
      <c r="O92" s="464"/>
      <c r="P92" s="464"/>
      <c r="Q92" s="176"/>
      <c r="R92" s="464"/>
      <c r="S92" s="1"/>
    </row>
    <row r="93" spans="1:19" x14ac:dyDescent="0.3">
      <c r="A93" s="461">
        <v>30</v>
      </c>
      <c r="B93" s="464">
        <v>101</v>
      </c>
      <c r="C93" s="464" t="s">
        <v>141</v>
      </c>
      <c r="D93" s="176">
        <v>24065</v>
      </c>
      <c r="E93" s="464">
        <v>1</v>
      </c>
      <c r="F93" s="464" t="s">
        <v>130</v>
      </c>
      <c r="G93" s="464">
        <v>500</v>
      </c>
      <c r="H93" s="464">
        <v>400</v>
      </c>
      <c r="I93" s="464" t="s">
        <v>61</v>
      </c>
      <c r="J93" s="464">
        <v>300</v>
      </c>
      <c r="K93" s="464" t="s">
        <v>45</v>
      </c>
      <c r="L93" s="464">
        <v>90</v>
      </c>
      <c r="M93" s="464">
        <v>168</v>
      </c>
      <c r="N93" s="465" t="s">
        <v>14</v>
      </c>
      <c r="O93" s="464" t="s">
        <v>142</v>
      </c>
      <c r="P93" s="464" t="s">
        <v>16</v>
      </c>
      <c r="Q93" s="176"/>
      <c r="R93" s="464" t="s">
        <v>132</v>
      </c>
      <c r="S93" s="1"/>
    </row>
    <row r="94" spans="1:19" x14ac:dyDescent="0.3">
      <c r="A94" s="461"/>
      <c r="B94" s="464"/>
      <c r="C94" s="464"/>
      <c r="D94" s="176">
        <v>4027</v>
      </c>
      <c r="E94" s="464"/>
      <c r="F94" s="464"/>
      <c r="G94" s="464"/>
      <c r="H94" s="464"/>
      <c r="I94" s="464"/>
      <c r="J94" s="464"/>
      <c r="K94" s="464"/>
      <c r="L94" s="464"/>
      <c r="M94" s="464"/>
      <c r="N94" s="465"/>
      <c r="O94" s="464"/>
      <c r="P94" s="464"/>
      <c r="Q94" s="176"/>
      <c r="R94" s="464"/>
      <c r="S94" s="1"/>
    </row>
    <row r="95" spans="1:19" x14ac:dyDescent="0.3">
      <c r="A95" s="461"/>
      <c r="B95" s="464"/>
      <c r="C95" s="464"/>
      <c r="D95" s="176">
        <v>59450</v>
      </c>
      <c r="E95" s="464"/>
      <c r="F95" s="464"/>
      <c r="G95" s="464"/>
      <c r="H95" s="464"/>
      <c r="I95" s="464"/>
      <c r="J95" s="464"/>
      <c r="K95" s="464"/>
      <c r="L95" s="464"/>
      <c r="M95" s="464"/>
      <c r="N95" s="465"/>
      <c r="O95" s="464"/>
      <c r="P95" s="464"/>
      <c r="Q95" s="176"/>
      <c r="R95" s="464"/>
      <c r="S95" s="1"/>
    </row>
    <row r="96" spans="1:19" x14ac:dyDescent="0.3">
      <c r="A96" s="461">
        <v>31</v>
      </c>
      <c r="B96" s="464">
        <v>102</v>
      </c>
      <c r="C96" s="464" t="s">
        <v>141</v>
      </c>
      <c r="D96" s="176">
        <v>24399</v>
      </c>
      <c r="E96" s="464">
        <v>1</v>
      </c>
      <c r="F96" s="464" t="s">
        <v>130</v>
      </c>
      <c r="G96" s="464">
        <v>500</v>
      </c>
      <c r="H96" s="464">
        <v>400</v>
      </c>
      <c r="I96" s="464" t="s">
        <v>61</v>
      </c>
      <c r="J96" s="464">
        <v>300</v>
      </c>
      <c r="K96" s="464" t="s">
        <v>45</v>
      </c>
      <c r="L96" s="464">
        <v>90</v>
      </c>
      <c r="M96" s="464">
        <v>168</v>
      </c>
      <c r="N96" s="465" t="s">
        <v>14</v>
      </c>
      <c r="O96" s="464" t="s">
        <v>142</v>
      </c>
      <c r="P96" s="464" t="s">
        <v>16</v>
      </c>
      <c r="Q96" s="176"/>
      <c r="R96" s="464" t="s">
        <v>132</v>
      </c>
      <c r="S96" s="1"/>
    </row>
    <row r="97" spans="1:19" x14ac:dyDescent="0.3">
      <c r="A97" s="461"/>
      <c r="B97" s="464"/>
      <c r="C97" s="464"/>
      <c r="D97" s="176">
        <v>-213</v>
      </c>
      <c r="E97" s="464"/>
      <c r="F97" s="464"/>
      <c r="G97" s="464"/>
      <c r="H97" s="464"/>
      <c r="I97" s="464"/>
      <c r="J97" s="464"/>
      <c r="K97" s="464"/>
      <c r="L97" s="464"/>
      <c r="M97" s="464"/>
      <c r="N97" s="465"/>
      <c r="O97" s="464"/>
      <c r="P97" s="464"/>
      <c r="Q97" s="176"/>
      <c r="R97" s="464"/>
      <c r="S97" s="1"/>
    </row>
    <row r="98" spans="1:19" x14ac:dyDescent="0.3">
      <c r="A98" s="461"/>
      <c r="B98" s="464"/>
      <c r="C98" s="464"/>
      <c r="D98" s="176">
        <v>59450</v>
      </c>
      <c r="E98" s="464"/>
      <c r="F98" s="464"/>
      <c r="G98" s="464"/>
      <c r="H98" s="464"/>
      <c r="I98" s="464"/>
      <c r="J98" s="464"/>
      <c r="K98" s="464"/>
      <c r="L98" s="464"/>
      <c r="M98" s="464"/>
      <c r="N98" s="465"/>
      <c r="O98" s="464"/>
      <c r="P98" s="464"/>
      <c r="Q98" s="176"/>
      <c r="R98" s="464"/>
      <c r="S98" s="1"/>
    </row>
    <row r="99" spans="1:19" x14ac:dyDescent="0.3">
      <c r="A99" s="461">
        <v>32</v>
      </c>
      <c r="B99" s="464">
        <v>103</v>
      </c>
      <c r="C99" s="464" t="s">
        <v>141</v>
      </c>
      <c r="D99" s="176">
        <v>23991</v>
      </c>
      <c r="E99" s="464">
        <v>1</v>
      </c>
      <c r="F99" s="464" t="s">
        <v>130</v>
      </c>
      <c r="G99" s="464">
        <v>500</v>
      </c>
      <c r="H99" s="464">
        <v>400</v>
      </c>
      <c r="I99" s="464" t="s">
        <v>61</v>
      </c>
      <c r="J99" s="464">
        <v>300</v>
      </c>
      <c r="K99" s="464" t="s">
        <v>45</v>
      </c>
      <c r="L99" s="464">
        <v>90</v>
      </c>
      <c r="M99" s="464">
        <v>168</v>
      </c>
      <c r="N99" s="465" t="s">
        <v>14</v>
      </c>
      <c r="O99" s="464" t="s">
        <v>142</v>
      </c>
      <c r="P99" s="464" t="s">
        <v>16</v>
      </c>
      <c r="Q99" s="176"/>
      <c r="R99" s="464" t="s">
        <v>132</v>
      </c>
      <c r="S99" s="1"/>
    </row>
    <row r="100" spans="1:19" x14ac:dyDescent="0.3">
      <c r="A100" s="461"/>
      <c r="B100" s="464"/>
      <c r="C100" s="464"/>
      <c r="D100" s="176">
        <v>-4447</v>
      </c>
      <c r="E100" s="464"/>
      <c r="F100" s="464"/>
      <c r="G100" s="464"/>
      <c r="H100" s="464"/>
      <c r="I100" s="464"/>
      <c r="J100" s="464"/>
      <c r="K100" s="464"/>
      <c r="L100" s="464"/>
      <c r="M100" s="464"/>
      <c r="N100" s="465"/>
      <c r="O100" s="464"/>
      <c r="P100" s="464"/>
      <c r="Q100" s="176"/>
      <c r="R100" s="464"/>
      <c r="S100" s="1"/>
    </row>
    <row r="101" spans="1:19" x14ac:dyDescent="0.3">
      <c r="A101" s="461"/>
      <c r="B101" s="464"/>
      <c r="C101" s="464"/>
      <c r="D101" s="176">
        <v>59450</v>
      </c>
      <c r="E101" s="464"/>
      <c r="F101" s="464"/>
      <c r="G101" s="464"/>
      <c r="H101" s="464"/>
      <c r="I101" s="464"/>
      <c r="J101" s="464"/>
      <c r="K101" s="464"/>
      <c r="L101" s="464"/>
      <c r="M101" s="464"/>
      <c r="N101" s="465"/>
      <c r="O101" s="464"/>
      <c r="P101" s="464"/>
      <c r="Q101" s="176"/>
      <c r="R101" s="464"/>
      <c r="S101" s="1"/>
    </row>
    <row r="102" spans="1:19" x14ac:dyDescent="0.3">
      <c r="A102" s="461">
        <v>33</v>
      </c>
      <c r="B102" s="464">
        <v>104</v>
      </c>
      <c r="C102" s="464" t="s">
        <v>141</v>
      </c>
      <c r="D102" s="176">
        <v>23802</v>
      </c>
      <c r="E102" s="464">
        <v>1</v>
      </c>
      <c r="F102" s="464" t="s">
        <v>133</v>
      </c>
      <c r="G102" s="464">
        <v>500</v>
      </c>
      <c r="H102" s="464">
        <v>400</v>
      </c>
      <c r="I102" s="464" t="s">
        <v>134</v>
      </c>
      <c r="J102" s="464">
        <v>300</v>
      </c>
      <c r="K102" s="464" t="s">
        <v>45</v>
      </c>
      <c r="L102" s="464">
        <v>120</v>
      </c>
      <c r="M102" s="464">
        <v>264.5</v>
      </c>
      <c r="N102" s="465" t="s">
        <v>14</v>
      </c>
      <c r="O102" s="464" t="s">
        <v>142</v>
      </c>
      <c r="P102" s="464" t="s">
        <v>16</v>
      </c>
      <c r="Q102" s="176"/>
      <c r="R102" s="464" t="s">
        <v>135</v>
      </c>
      <c r="S102" s="1"/>
    </row>
    <row r="103" spans="1:19" x14ac:dyDescent="0.3">
      <c r="A103" s="461"/>
      <c r="B103" s="464"/>
      <c r="C103" s="464"/>
      <c r="D103" s="176">
        <v>-6601</v>
      </c>
      <c r="E103" s="464"/>
      <c r="F103" s="464"/>
      <c r="G103" s="464"/>
      <c r="H103" s="464"/>
      <c r="I103" s="464"/>
      <c r="J103" s="464"/>
      <c r="K103" s="464"/>
      <c r="L103" s="464"/>
      <c r="M103" s="464"/>
      <c r="N103" s="465"/>
      <c r="O103" s="464"/>
      <c r="P103" s="464"/>
      <c r="Q103" s="176"/>
      <c r="R103" s="464"/>
      <c r="S103" s="1"/>
    </row>
    <row r="104" spans="1:19" x14ac:dyDescent="0.3">
      <c r="A104" s="461"/>
      <c r="B104" s="464"/>
      <c r="C104" s="464"/>
      <c r="D104" s="176">
        <v>59450</v>
      </c>
      <c r="E104" s="464"/>
      <c r="F104" s="464"/>
      <c r="G104" s="464"/>
      <c r="H104" s="464"/>
      <c r="I104" s="464"/>
      <c r="J104" s="464"/>
      <c r="K104" s="464"/>
      <c r="L104" s="464"/>
      <c r="M104" s="464"/>
      <c r="N104" s="465"/>
      <c r="O104" s="464"/>
      <c r="P104" s="464"/>
      <c r="Q104" s="176"/>
      <c r="R104" s="464"/>
      <c r="S104" s="1"/>
    </row>
    <row r="105" spans="1:19" x14ac:dyDescent="0.3">
      <c r="A105" s="461">
        <v>34</v>
      </c>
      <c r="B105" s="464">
        <v>105</v>
      </c>
      <c r="C105" s="464" t="s">
        <v>141</v>
      </c>
      <c r="D105" s="176">
        <v>22855</v>
      </c>
      <c r="E105" s="464">
        <v>1</v>
      </c>
      <c r="F105" s="464" t="s">
        <v>130</v>
      </c>
      <c r="G105" s="464">
        <v>500</v>
      </c>
      <c r="H105" s="464">
        <v>400</v>
      </c>
      <c r="I105" s="464" t="s">
        <v>61</v>
      </c>
      <c r="J105" s="464">
        <v>300</v>
      </c>
      <c r="K105" s="464" t="s">
        <v>45</v>
      </c>
      <c r="L105" s="464">
        <v>90</v>
      </c>
      <c r="M105" s="464">
        <v>168</v>
      </c>
      <c r="N105" s="465" t="s">
        <v>14</v>
      </c>
      <c r="O105" s="464" t="s">
        <v>142</v>
      </c>
      <c r="P105" s="464" t="s">
        <v>16</v>
      </c>
      <c r="Q105" s="176"/>
      <c r="R105" s="464" t="s">
        <v>132</v>
      </c>
      <c r="S105" s="1"/>
    </row>
    <row r="106" spans="1:19" x14ac:dyDescent="0.3">
      <c r="A106" s="461"/>
      <c r="B106" s="464"/>
      <c r="C106" s="464"/>
      <c r="D106" s="176">
        <v>-8545</v>
      </c>
      <c r="E106" s="464"/>
      <c r="F106" s="464"/>
      <c r="G106" s="464"/>
      <c r="H106" s="464"/>
      <c r="I106" s="464"/>
      <c r="J106" s="464"/>
      <c r="K106" s="464"/>
      <c r="L106" s="464"/>
      <c r="M106" s="464"/>
      <c r="N106" s="465"/>
      <c r="O106" s="464"/>
      <c r="P106" s="464"/>
      <c r="Q106" s="176"/>
      <c r="R106" s="464"/>
      <c r="S106" s="1"/>
    </row>
    <row r="107" spans="1:19" x14ac:dyDescent="0.3">
      <c r="A107" s="461"/>
      <c r="B107" s="464"/>
      <c r="C107" s="464"/>
      <c r="D107" s="176">
        <v>59450</v>
      </c>
      <c r="E107" s="464"/>
      <c r="F107" s="464"/>
      <c r="G107" s="464"/>
      <c r="H107" s="464"/>
      <c r="I107" s="464"/>
      <c r="J107" s="464"/>
      <c r="K107" s="464"/>
      <c r="L107" s="464"/>
      <c r="M107" s="464"/>
      <c r="N107" s="465"/>
      <c r="O107" s="464"/>
      <c r="P107" s="464"/>
      <c r="Q107" s="176"/>
      <c r="R107" s="464"/>
      <c r="S107" s="1"/>
    </row>
    <row r="108" spans="1:19" x14ac:dyDescent="0.3">
      <c r="A108" s="461">
        <v>35</v>
      </c>
      <c r="B108" s="464">
        <v>106</v>
      </c>
      <c r="C108" s="464" t="s">
        <v>141</v>
      </c>
      <c r="D108" s="176">
        <v>21024</v>
      </c>
      <c r="E108" s="464">
        <v>1</v>
      </c>
      <c r="F108" s="464" t="s">
        <v>130</v>
      </c>
      <c r="G108" s="464">
        <v>500</v>
      </c>
      <c r="H108" s="464">
        <v>400</v>
      </c>
      <c r="I108" s="464" t="s">
        <v>61</v>
      </c>
      <c r="J108" s="464">
        <v>300</v>
      </c>
      <c r="K108" s="464" t="s">
        <v>45</v>
      </c>
      <c r="L108" s="464">
        <v>90</v>
      </c>
      <c r="M108" s="464">
        <v>168</v>
      </c>
      <c r="N108" s="465" t="s">
        <v>14</v>
      </c>
      <c r="O108" s="464" t="s">
        <v>142</v>
      </c>
      <c r="P108" s="464" t="s">
        <v>16</v>
      </c>
      <c r="Q108" s="176"/>
      <c r="R108" s="464" t="s">
        <v>132</v>
      </c>
      <c r="S108" s="1"/>
    </row>
    <row r="109" spans="1:19" x14ac:dyDescent="0.3">
      <c r="A109" s="461"/>
      <c r="B109" s="464"/>
      <c r="C109" s="464"/>
      <c r="D109" s="176">
        <v>-12384</v>
      </c>
      <c r="E109" s="464"/>
      <c r="F109" s="464"/>
      <c r="G109" s="464"/>
      <c r="H109" s="464"/>
      <c r="I109" s="464"/>
      <c r="J109" s="464"/>
      <c r="K109" s="464"/>
      <c r="L109" s="464"/>
      <c r="M109" s="464"/>
      <c r="N109" s="465"/>
      <c r="O109" s="464"/>
      <c r="P109" s="464"/>
      <c r="Q109" s="176"/>
      <c r="R109" s="464"/>
      <c r="S109" s="1"/>
    </row>
    <row r="110" spans="1:19" x14ac:dyDescent="0.3">
      <c r="A110" s="461"/>
      <c r="B110" s="464"/>
      <c r="C110" s="464"/>
      <c r="D110" s="176">
        <v>59450</v>
      </c>
      <c r="E110" s="464"/>
      <c r="F110" s="464"/>
      <c r="G110" s="464"/>
      <c r="H110" s="464"/>
      <c r="I110" s="464"/>
      <c r="J110" s="464"/>
      <c r="K110" s="464"/>
      <c r="L110" s="464"/>
      <c r="M110" s="464"/>
      <c r="N110" s="465"/>
      <c r="O110" s="464"/>
      <c r="P110" s="464"/>
      <c r="Q110" s="176"/>
      <c r="R110" s="464"/>
      <c r="S110" s="1"/>
    </row>
    <row r="111" spans="1:19" x14ac:dyDescent="0.3">
      <c r="A111" s="461">
        <v>36</v>
      </c>
      <c r="B111" s="464">
        <v>107</v>
      </c>
      <c r="C111" s="464" t="s">
        <v>141</v>
      </c>
      <c r="D111" s="176">
        <v>18554</v>
      </c>
      <c r="E111" s="464">
        <v>1</v>
      </c>
      <c r="F111" s="464" t="s">
        <v>130</v>
      </c>
      <c r="G111" s="464">
        <v>500</v>
      </c>
      <c r="H111" s="464">
        <v>400</v>
      </c>
      <c r="I111" s="464" t="s">
        <v>61</v>
      </c>
      <c r="J111" s="464">
        <v>300</v>
      </c>
      <c r="K111" s="464" t="s">
        <v>45</v>
      </c>
      <c r="L111" s="464">
        <v>90</v>
      </c>
      <c r="M111" s="464">
        <v>168</v>
      </c>
      <c r="N111" s="465" t="s">
        <v>14</v>
      </c>
      <c r="O111" s="464" t="s">
        <v>142</v>
      </c>
      <c r="P111" s="464" t="s">
        <v>16</v>
      </c>
      <c r="Q111" s="176"/>
      <c r="R111" s="464" t="s">
        <v>132</v>
      </c>
      <c r="S111" s="1"/>
    </row>
    <row r="112" spans="1:19" x14ac:dyDescent="0.3">
      <c r="A112" s="461"/>
      <c r="B112" s="464"/>
      <c r="C112" s="464"/>
      <c r="D112" s="176">
        <v>-15847</v>
      </c>
      <c r="E112" s="464"/>
      <c r="F112" s="464"/>
      <c r="G112" s="464"/>
      <c r="H112" s="464"/>
      <c r="I112" s="464"/>
      <c r="J112" s="464"/>
      <c r="K112" s="464"/>
      <c r="L112" s="464"/>
      <c r="M112" s="464"/>
      <c r="N112" s="465"/>
      <c r="O112" s="464"/>
      <c r="P112" s="464"/>
      <c r="Q112" s="176"/>
      <c r="R112" s="464"/>
      <c r="S112" s="1"/>
    </row>
    <row r="113" spans="1:19" x14ac:dyDescent="0.3">
      <c r="A113" s="461"/>
      <c r="B113" s="464"/>
      <c r="C113" s="464"/>
      <c r="D113" s="176">
        <v>59450</v>
      </c>
      <c r="E113" s="464"/>
      <c r="F113" s="464"/>
      <c r="G113" s="464"/>
      <c r="H113" s="464"/>
      <c r="I113" s="464"/>
      <c r="J113" s="464"/>
      <c r="K113" s="464"/>
      <c r="L113" s="464"/>
      <c r="M113" s="464"/>
      <c r="N113" s="465"/>
      <c r="O113" s="464"/>
      <c r="P113" s="464"/>
      <c r="Q113" s="176"/>
      <c r="R113" s="464"/>
      <c r="S113" s="1"/>
    </row>
    <row r="114" spans="1:19" x14ac:dyDescent="0.3">
      <c r="A114" s="461">
        <v>37</v>
      </c>
      <c r="B114" s="464">
        <v>108</v>
      </c>
      <c r="C114" s="464" t="s">
        <v>141</v>
      </c>
      <c r="D114" s="176">
        <v>15520</v>
      </c>
      <c r="E114" s="464">
        <v>1</v>
      </c>
      <c r="F114" s="464" t="s">
        <v>130</v>
      </c>
      <c r="G114" s="464">
        <v>500</v>
      </c>
      <c r="H114" s="464">
        <v>400</v>
      </c>
      <c r="I114" s="464" t="s">
        <v>61</v>
      </c>
      <c r="J114" s="464">
        <v>300</v>
      </c>
      <c r="K114" s="464" t="s">
        <v>45</v>
      </c>
      <c r="L114" s="464">
        <v>90</v>
      </c>
      <c r="M114" s="464">
        <v>168</v>
      </c>
      <c r="N114" s="465" t="s">
        <v>14</v>
      </c>
      <c r="O114" s="464" t="s">
        <v>142</v>
      </c>
      <c r="P114" s="464" t="s">
        <v>16</v>
      </c>
      <c r="Q114" s="176"/>
      <c r="R114" s="464" t="s">
        <v>132</v>
      </c>
      <c r="S114" s="1"/>
    </row>
    <row r="115" spans="1:19" x14ac:dyDescent="0.3">
      <c r="A115" s="461"/>
      <c r="B115" s="464"/>
      <c r="C115" s="464"/>
      <c r="D115" s="176">
        <v>-18828</v>
      </c>
      <c r="E115" s="464"/>
      <c r="F115" s="464"/>
      <c r="G115" s="464"/>
      <c r="H115" s="464"/>
      <c r="I115" s="464"/>
      <c r="J115" s="464"/>
      <c r="K115" s="464"/>
      <c r="L115" s="464"/>
      <c r="M115" s="464"/>
      <c r="N115" s="465"/>
      <c r="O115" s="464"/>
      <c r="P115" s="464"/>
      <c r="Q115" s="176"/>
      <c r="R115" s="464"/>
      <c r="S115" s="1"/>
    </row>
    <row r="116" spans="1:19" x14ac:dyDescent="0.3">
      <c r="A116" s="461"/>
      <c r="B116" s="464"/>
      <c r="C116" s="464"/>
      <c r="D116" s="176">
        <v>59450</v>
      </c>
      <c r="E116" s="464"/>
      <c r="F116" s="464"/>
      <c r="G116" s="464"/>
      <c r="H116" s="464"/>
      <c r="I116" s="464"/>
      <c r="J116" s="464"/>
      <c r="K116" s="464"/>
      <c r="L116" s="464"/>
      <c r="M116" s="464"/>
      <c r="N116" s="465"/>
      <c r="O116" s="464"/>
      <c r="P116" s="464"/>
      <c r="Q116" s="176"/>
      <c r="R116" s="464"/>
      <c r="S116" s="1"/>
    </row>
    <row r="117" spans="1:19" x14ac:dyDescent="0.3">
      <c r="A117" s="461">
        <v>38</v>
      </c>
      <c r="B117" s="464">
        <v>109</v>
      </c>
      <c r="C117" s="464" t="s">
        <v>143</v>
      </c>
      <c r="D117" s="176">
        <v>11577</v>
      </c>
      <c r="E117" s="464">
        <v>1</v>
      </c>
      <c r="F117" s="464" t="s">
        <v>24</v>
      </c>
      <c r="G117" s="464">
        <v>500</v>
      </c>
      <c r="H117" s="464">
        <v>400</v>
      </c>
      <c r="I117" s="464" t="s">
        <v>44</v>
      </c>
      <c r="J117" s="464">
        <v>115</v>
      </c>
      <c r="K117" s="464" t="s">
        <v>45</v>
      </c>
      <c r="L117" s="464">
        <v>0</v>
      </c>
      <c r="M117" s="464">
        <v>110</v>
      </c>
      <c r="N117" s="465" t="s">
        <v>14</v>
      </c>
      <c r="O117" s="464" t="s">
        <v>144</v>
      </c>
      <c r="P117" s="464" t="s">
        <v>16</v>
      </c>
      <c r="Q117" s="176"/>
      <c r="R117" s="464" t="s">
        <v>138</v>
      </c>
      <c r="S117" s="1"/>
    </row>
    <row r="118" spans="1:19" x14ac:dyDescent="0.3">
      <c r="A118" s="461"/>
      <c r="B118" s="464"/>
      <c r="C118" s="464"/>
      <c r="D118" s="176">
        <v>-21478</v>
      </c>
      <c r="E118" s="464"/>
      <c r="F118" s="464"/>
      <c r="G118" s="464"/>
      <c r="H118" s="464"/>
      <c r="I118" s="464"/>
      <c r="J118" s="464"/>
      <c r="K118" s="464"/>
      <c r="L118" s="464"/>
      <c r="M118" s="464"/>
      <c r="N118" s="465"/>
      <c r="O118" s="464"/>
      <c r="P118" s="464"/>
      <c r="Q118" s="176"/>
      <c r="R118" s="464"/>
      <c r="S118" s="1"/>
    </row>
    <row r="119" spans="1:19" x14ac:dyDescent="0.3">
      <c r="A119" s="461"/>
      <c r="B119" s="464"/>
      <c r="C119" s="464"/>
      <c r="D119" s="176">
        <v>59450</v>
      </c>
      <c r="E119" s="464"/>
      <c r="F119" s="464"/>
      <c r="G119" s="464"/>
      <c r="H119" s="464"/>
      <c r="I119" s="464"/>
      <c r="J119" s="464"/>
      <c r="K119" s="464"/>
      <c r="L119" s="464"/>
      <c r="M119" s="464"/>
      <c r="N119" s="465"/>
      <c r="O119" s="464"/>
      <c r="P119" s="464"/>
      <c r="Q119" s="176"/>
      <c r="R119" s="464"/>
      <c r="S119" s="1"/>
    </row>
    <row r="120" spans="1:19" x14ac:dyDescent="0.3">
      <c r="A120" s="461">
        <v>39</v>
      </c>
      <c r="B120" s="464">
        <v>110</v>
      </c>
      <c r="C120" s="464" t="s">
        <v>145</v>
      </c>
      <c r="D120" s="176">
        <v>8145</v>
      </c>
      <c r="E120" s="464">
        <v>1</v>
      </c>
      <c r="F120" s="464" t="s">
        <v>130</v>
      </c>
      <c r="G120" s="464">
        <v>500</v>
      </c>
      <c r="H120" s="464">
        <v>400</v>
      </c>
      <c r="I120" s="464" t="s">
        <v>61</v>
      </c>
      <c r="J120" s="464">
        <v>300</v>
      </c>
      <c r="K120" s="464" t="s">
        <v>45</v>
      </c>
      <c r="L120" s="464">
        <v>90</v>
      </c>
      <c r="M120" s="464">
        <v>168</v>
      </c>
      <c r="N120" s="465" t="s">
        <v>14</v>
      </c>
      <c r="O120" s="464" t="s">
        <v>146</v>
      </c>
      <c r="P120" s="464" t="s">
        <v>16</v>
      </c>
      <c r="Q120" s="176"/>
      <c r="R120" s="464" t="s">
        <v>132</v>
      </c>
      <c r="S120" s="1"/>
    </row>
    <row r="121" spans="1:19" x14ac:dyDescent="0.3">
      <c r="A121" s="461"/>
      <c r="B121" s="464"/>
      <c r="C121" s="464"/>
      <c r="D121" s="176">
        <v>-23000</v>
      </c>
      <c r="E121" s="464"/>
      <c r="F121" s="464"/>
      <c r="G121" s="464"/>
      <c r="H121" s="464"/>
      <c r="I121" s="464"/>
      <c r="J121" s="464"/>
      <c r="K121" s="464"/>
      <c r="L121" s="464"/>
      <c r="M121" s="464"/>
      <c r="N121" s="465"/>
      <c r="O121" s="464"/>
      <c r="P121" s="464"/>
      <c r="Q121" s="176"/>
      <c r="R121" s="464"/>
      <c r="S121" s="1"/>
    </row>
    <row r="122" spans="1:19" x14ac:dyDescent="0.3">
      <c r="A122" s="461"/>
      <c r="B122" s="464"/>
      <c r="C122" s="464"/>
      <c r="D122" s="176">
        <v>59450</v>
      </c>
      <c r="E122" s="464"/>
      <c r="F122" s="464"/>
      <c r="G122" s="464"/>
      <c r="H122" s="464"/>
      <c r="I122" s="464"/>
      <c r="J122" s="464"/>
      <c r="K122" s="464"/>
      <c r="L122" s="464"/>
      <c r="M122" s="464"/>
      <c r="N122" s="465"/>
      <c r="O122" s="464"/>
      <c r="P122" s="464"/>
      <c r="Q122" s="176"/>
      <c r="R122" s="464"/>
      <c r="S122" s="1"/>
    </row>
    <row r="123" spans="1:19" x14ac:dyDescent="0.3">
      <c r="A123" s="461">
        <v>40</v>
      </c>
      <c r="B123" s="464">
        <v>111</v>
      </c>
      <c r="C123" s="464" t="s">
        <v>145</v>
      </c>
      <c r="D123" s="176">
        <v>4027</v>
      </c>
      <c r="E123" s="464">
        <v>1</v>
      </c>
      <c r="F123" s="464" t="s">
        <v>130</v>
      </c>
      <c r="G123" s="464">
        <v>500</v>
      </c>
      <c r="H123" s="464">
        <v>400</v>
      </c>
      <c r="I123" s="464" t="s">
        <v>61</v>
      </c>
      <c r="J123" s="464">
        <v>300</v>
      </c>
      <c r="K123" s="464" t="s">
        <v>45</v>
      </c>
      <c r="L123" s="464">
        <v>90</v>
      </c>
      <c r="M123" s="464">
        <v>168</v>
      </c>
      <c r="N123" s="465" t="s">
        <v>14</v>
      </c>
      <c r="O123" s="464" t="s">
        <v>146</v>
      </c>
      <c r="P123" s="464" t="s">
        <v>16</v>
      </c>
      <c r="Q123" s="176"/>
      <c r="R123" s="464" t="s">
        <v>132</v>
      </c>
      <c r="S123" s="1"/>
    </row>
    <row r="124" spans="1:19" x14ac:dyDescent="0.3">
      <c r="A124" s="461"/>
      <c r="B124" s="464"/>
      <c r="C124" s="464"/>
      <c r="D124" s="176">
        <v>-24065</v>
      </c>
      <c r="E124" s="464"/>
      <c r="F124" s="464"/>
      <c r="G124" s="464"/>
      <c r="H124" s="464"/>
      <c r="I124" s="464"/>
      <c r="J124" s="464"/>
      <c r="K124" s="464"/>
      <c r="L124" s="464"/>
      <c r="M124" s="464"/>
      <c r="N124" s="465"/>
      <c r="O124" s="464"/>
      <c r="P124" s="464"/>
      <c r="Q124" s="176"/>
      <c r="R124" s="464"/>
      <c r="S124" s="1"/>
    </row>
    <row r="125" spans="1:19" x14ac:dyDescent="0.3">
      <c r="A125" s="461"/>
      <c r="B125" s="464"/>
      <c r="C125" s="464"/>
      <c r="D125" s="176">
        <v>59450</v>
      </c>
      <c r="E125" s="464"/>
      <c r="F125" s="464"/>
      <c r="G125" s="464"/>
      <c r="H125" s="464"/>
      <c r="I125" s="464"/>
      <c r="J125" s="464"/>
      <c r="K125" s="464"/>
      <c r="L125" s="464"/>
      <c r="M125" s="464"/>
      <c r="N125" s="465"/>
      <c r="O125" s="464"/>
      <c r="P125" s="464"/>
      <c r="Q125" s="176"/>
      <c r="R125" s="464"/>
      <c r="S125" s="1"/>
    </row>
    <row r="126" spans="1:19" x14ac:dyDescent="0.3">
      <c r="A126" s="461">
        <v>41</v>
      </c>
      <c r="B126" s="464">
        <v>112</v>
      </c>
      <c r="C126" s="464" t="s">
        <v>145</v>
      </c>
      <c r="D126" s="176">
        <v>-213</v>
      </c>
      <c r="E126" s="464">
        <v>1</v>
      </c>
      <c r="F126" s="464" t="s">
        <v>130</v>
      </c>
      <c r="G126" s="464">
        <v>500</v>
      </c>
      <c r="H126" s="464">
        <v>400</v>
      </c>
      <c r="I126" s="464" t="s">
        <v>61</v>
      </c>
      <c r="J126" s="464">
        <v>300</v>
      </c>
      <c r="K126" s="464" t="s">
        <v>45</v>
      </c>
      <c r="L126" s="464">
        <v>90</v>
      </c>
      <c r="M126" s="464">
        <v>168</v>
      </c>
      <c r="N126" s="465" t="s">
        <v>14</v>
      </c>
      <c r="O126" s="464" t="s">
        <v>146</v>
      </c>
      <c r="P126" s="464" t="s">
        <v>16</v>
      </c>
      <c r="Q126" s="176"/>
      <c r="R126" s="464" t="s">
        <v>132</v>
      </c>
      <c r="S126" s="1"/>
    </row>
    <row r="127" spans="1:19" x14ac:dyDescent="0.3">
      <c r="A127" s="461"/>
      <c r="B127" s="464"/>
      <c r="C127" s="464"/>
      <c r="D127" s="176">
        <v>-24399</v>
      </c>
      <c r="E127" s="464"/>
      <c r="F127" s="464"/>
      <c r="G127" s="464"/>
      <c r="H127" s="464"/>
      <c r="I127" s="464"/>
      <c r="J127" s="464"/>
      <c r="K127" s="464"/>
      <c r="L127" s="464"/>
      <c r="M127" s="464"/>
      <c r="N127" s="465"/>
      <c r="O127" s="464"/>
      <c r="P127" s="464"/>
      <c r="Q127" s="176"/>
      <c r="R127" s="464"/>
      <c r="S127" s="1"/>
    </row>
    <row r="128" spans="1:19" x14ac:dyDescent="0.3">
      <c r="A128" s="461"/>
      <c r="B128" s="464"/>
      <c r="C128" s="464"/>
      <c r="D128" s="176">
        <v>59450</v>
      </c>
      <c r="E128" s="464"/>
      <c r="F128" s="464"/>
      <c r="G128" s="464"/>
      <c r="H128" s="464"/>
      <c r="I128" s="464"/>
      <c r="J128" s="464"/>
      <c r="K128" s="464"/>
      <c r="L128" s="464"/>
      <c r="M128" s="464"/>
      <c r="N128" s="465"/>
      <c r="O128" s="464"/>
      <c r="P128" s="464"/>
      <c r="Q128" s="176"/>
      <c r="R128" s="464"/>
      <c r="S128" s="1"/>
    </row>
    <row r="129" spans="1:19" x14ac:dyDescent="0.3">
      <c r="A129" s="461">
        <v>42</v>
      </c>
      <c r="B129" s="464">
        <v>113</v>
      </c>
      <c r="C129" s="464" t="s">
        <v>145</v>
      </c>
      <c r="D129" s="176">
        <v>-4447</v>
      </c>
      <c r="E129" s="464">
        <v>1</v>
      </c>
      <c r="F129" s="464" t="s">
        <v>130</v>
      </c>
      <c r="G129" s="464">
        <v>500</v>
      </c>
      <c r="H129" s="464">
        <v>400</v>
      </c>
      <c r="I129" s="464" t="s">
        <v>61</v>
      </c>
      <c r="J129" s="464">
        <v>300</v>
      </c>
      <c r="K129" s="464" t="s">
        <v>45</v>
      </c>
      <c r="L129" s="464">
        <v>90</v>
      </c>
      <c r="M129" s="464">
        <v>168</v>
      </c>
      <c r="N129" s="465" t="s">
        <v>14</v>
      </c>
      <c r="O129" s="464" t="s">
        <v>146</v>
      </c>
      <c r="P129" s="464" t="s">
        <v>16</v>
      </c>
      <c r="Q129" s="176"/>
      <c r="R129" s="464" t="s">
        <v>132</v>
      </c>
      <c r="S129" s="1"/>
    </row>
    <row r="130" spans="1:19" x14ac:dyDescent="0.3">
      <c r="A130" s="461"/>
      <c r="B130" s="464"/>
      <c r="C130" s="464"/>
      <c r="D130" s="176">
        <v>-23991</v>
      </c>
      <c r="E130" s="464"/>
      <c r="F130" s="464"/>
      <c r="G130" s="464"/>
      <c r="H130" s="464"/>
      <c r="I130" s="464"/>
      <c r="J130" s="464"/>
      <c r="K130" s="464"/>
      <c r="L130" s="464"/>
      <c r="M130" s="464"/>
      <c r="N130" s="465"/>
      <c r="O130" s="464"/>
      <c r="P130" s="464"/>
      <c r="Q130" s="176"/>
      <c r="R130" s="464"/>
      <c r="S130" s="1"/>
    </row>
    <row r="131" spans="1:19" x14ac:dyDescent="0.3">
      <c r="A131" s="461"/>
      <c r="B131" s="464"/>
      <c r="C131" s="464"/>
      <c r="D131" s="176">
        <v>59450</v>
      </c>
      <c r="E131" s="464"/>
      <c r="F131" s="464"/>
      <c r="G131" s="464"/>
      <c r="H131" s="464"/>
      <c r="I131" s="464"/>
      <c r="J131" s="464"/>
      <c r="K131" s="464"/>
      <c r="L131" s="464"/>
      <c r="M131" s="464"/>
      <c r="N131" s="465"/>
      <c r="O131" s="464"/>
      <c r="P131" s="464"/>
      <c r="Q131" s="176"/>
      <c r="R131" s="464"/>
      <c r="S131" s="1"/>
    </row>
    <row r="132" spans="1:19" x14ac:dyDescent="0.3">
      <c r="A132" s="461">
        <v>43</v>
      </c>
      <c r="B132" s="464">
        <v>114</v>
      </c>
      <c r="C132" s="464" t="s">
        <v>145</v>
      </c>
      <c r="D132" s="176">
        <v>-6467</v>
      </c>
      <c r="E132" s="464">
        <v>1</v>
      </c>
      <c r="F132" s="464" t="s">
        <v>133</v>
      </c>
      <c r="G132" s="464">
        <v>500</v>
      </c>
      <c r="H132" s="464">
        <v>400</v>
      </c>
      <c r="I132" s="464" t="s">
        <v>134</v>
      </c>
      <c r="J132" s="464">
        <v>300</v>
      </c>
      <c r="K132" s="464" t="s">
        <v>45</v>
      </c>
      <c r="L132" s="464">
        <v>120</v>
      </c>
      <c r="M132" s="464">
        <v>264.5</v>
      </c>
      <c r="N132" s="465" t="s">
        <v>14</v>
      </c>
      <c r="O132" s="464" t="s">
        <v>146</v>
      </c>
      <c r="P132" s="464" t="s">
        <v>16</v>
      </c>
      <c r="Q132" s="176"/>
      <c r="R132" s="464" t="s">
        <v>135</v>
      </c>
      <c r="S132" s="1"/>
    </row>
    <row r="133" spans="1:19" x14ac:dyDescent="0.3">
      <c r="A133" s="461"/>
      <c r="B133" s="464"/>
      <c r="C133" s="464"/>
      <c r="D133" s="176">
        <v>-23320</v>
      </c>
      <c r="E133" s="464"/>
      <c r="F133" s="464"/>
      <c r="G133" s="464"/>
      <c r="H133" s="464"/>
      <c r="I133" s="464"/>
      <c r="J133" s="464"/>
      <c r="K133" s="464"/>
      <c r="L133" s="464"/>
      <c r="M133" s="464"/>
      <c r="N133" s="465"/>
      <c r="O133" s="464"/>
      <c r="P133" s="464"/>
      <c r="Q133" s="176"/>
      <c r="R133" s="464"/>
      <c r="S133" s="1"/>
    </row>
    <row r="134" spans="1:19" x14ac:dyDescent="0.3">
      <c r="A134" s="461"/>
      <c r="B134" s="464"/>
      <c r="C134" s="464"/>
      <c r="D134" s="176">
        <v>59450</v>
      </c>
      <c r="E134" s="464"/>
      <c r="F134" s="464"/>
      <c r="G134" s="464"/>
      <c r="H134" s="464"/>
      <c r="I134" s="464"/>
      <c r="J134" s="464"/>
      <c r="K134" s="464"/>
      <c r="L134" s="464"/>
      <c r="M134" s="464"/>
      <c r="N134" s="465"/>
      <c r="O134" s="464"/>
      <c r="P134" s="464"/>
      <c r="Q134" s="176"/>
      <c r="R134" s="464"/>
      <c r="S134" s="1"/>
    </row>
    <row r="135" spans="1:19" x14ac:dyDescent="0.3">
      <c r="A135" s="461">
        <v>44</v>
      </c>
      <c r="B135" s="464">
        <v>115</v>
      </c>
      <c r="C135" s="464" t="s">
        <v>145</v>
      </c>
      <c r="D135" s="176">
        <v>-8545</v>
      </c>
      <c r="E135" s="464">
        <v>1</v>
      </c>
      <c r="F135" s="464" t="s">
        <v>130</v>
      </c>
      <c r="G135" s="464">
        <v>500</v>
      </c>
      <c r="H135" s="464">
        <v>400</v>
      </c>
      <c r="I135" s="464" t="s">
        <v>61</v>
      </c>
      <c r="J135" s="464">
        <v>300</v>
      </c>
      <c r="K135" s="464" t="s">
        <v>45</v>
      </c>
      <c r="L135" s="464">
        <v>90</v>
      </c>
      <c r="M135" s="464">
        <v>168</v>
      </c>
      <c r="N135" s="465" t="s">
        <v>14</v>
      </c>
      <c r="O135" s="464" t="s">
        <v>146</v>
      </c>
      <c r="P135" s="464" t="s">
        <v>16</v>
      </c>
      <c r="Q135" s="176"/>
      <c r="R135" s="464" t="s">
        <v>132</v>
      </c>
      <c r="S135" s="1"/>
    </row>
    <row r="136" spans="1:19" x14ac:dyDescent="0.3">
      <c r="A136" s="461"/>
      <c r="B136" s="464"/>
      <c r="C136" s="464"/>
      <c r="D136" s="176">
        <v>-22855</v>
      </c>
      <c r="E136" s="464"/>
      <c r="F136" s="464"/>
      <c r="G136" s="464"/>
      <c r="H136" s="464"/>
      <c r="I136" s="464"/>
      <c r="J136" s="464"/>
      <c r="K136" s="464"/>
      <c r="L136" s="464"/>
      <c r="M136" s="464"/>
      <c r="N136" s="465"/>
      <c r="O136" s="464"/>
      <c r="P136" s="464"/>
      <c r="Q136" s="176"/>
      <c r="R136" s="464"/>
      <c r="S136" s="1"/>
    </row>
    <row r="137" spans="1:19" x14ac:dyDescent="0.3">
      <c r="A137" s="461"/>
      <c r="B137" s="464"/>
      <c r="C137" s="464"/>
      <c r="D137" s="176">
        <v>59450</v>
      </c>
      <c r="E137" s="464"/>
      <c r="F137" s="464"/>
      <c r="G137" s="464"/>
      <c r="H137" s="464"/>
      <c r="I137" s="464"/>
      <c r="J137" s="464"/>
      <c r="K137" s="464"/>
      <c r="L137" s="464"/>
      <c r="M137" s="464"/>
      <c r="N137" s="465"/>
      <c r="O137" s="464"/>
      <c r="P137" s="464"/>
      <c r="Q137" s="176"/>
      <c r="R137" s="464"/>
      <c r="S137" s="1"/>
    </row>
    <row r="138" spans="1:19" x14ac:dyDescent="0.3">
      <c r="A138" s="461">
        <v>45</v>
      </c>
      <c r="B138" s="464">
        <v>116</v>
      </c>
      <c r="C138" s="464" t="s">
        <v>145</v>
      </c>
      <c r="D138" s="176">
        <v>-12384</v>
      </c>
      <c r="E138" s="464">
        <v>1</v>
      </c>
      <c r="F138" s="464" t="s">
        <v>130</v>
      </c>
      <c r="G138" s="464">
        <v>500</v>
      </c>
      <c r="H138" s="464">
        <v>400</v>
      </c>
      <c r="I138" s="464" t="s">
        <v>61</v>
      </c>
      <c r="J138" s="464">
        <v>300</v>
      </c>
      <c r="K138" s="464" t="s">
        <v>45</v>
      </c>
      <c r="L138" s="464">
        <v>90</v>
      </c>
      <c r="M138" s="464">
        <v>168</v>
      </c>
      <c r="N138" s="465" t="s">
        <v>14</v>
      </c>
      <c r="O138" s="464" t="s">
        <v>146</v>
      </c>
      <c r="P138" s="464" t="s">
        <v>16</v>
      </c>
      <c r="Q138" s="176"/>
      <c r="R138" s="464" t="s">
        <v>132</v>
      </c>
      <c r="S138" s="1"/>
    </row>
    <row r="139" spans="1:19" x14ac:dyDescent="0.3">
      <c r="A139" s="461"/>
      <c r="B139" s="464"/>
      <c r="C139" s="464"/>
      <c r="D139" s="176">
        <v>-21024</v>
      </c>
      <c r="E139" s="464"/>
      <c r="F139" s="464"/>
      <c r="G139" s="464"/>
      <c r="H139" s="464"/>
      <c r="I139" s="464"/>
      <c r="J139" s="464"/>
      <c r="K139" s="464"/>
      <c r="L139" s="464"/>
      <c r="M139" s="464"/>
      <c r="N139" s="465"/>
      <c r="O139" s="464"/>
      <c r="P139" s="464"/>
      <c r="Q139" s="176"/>
      <c r="R139" s="464"/>
      <c r="S139" s="1"/>
    </row>
    <row r="140" spans="1:19" x14ac:dyDescent="0.3">
      <c r="A140" s="461"/>
      <c r="B140" s="464"/>
      <c r="C140" s="464"/>
      <c r="D140" s="176">
        <v>59450</v>
      </c>
      <c r="E140" s="464"/>
      <c r="F140" s="464"/>
      <c r="G140" s="464"/>
      <c r="H140" s="464"/>
      <c r="I140" s="464"/>
      <c r="J140" s="464"/>
      <c r="K140" s="464"/>
      <c r="L140" s="464"/>
      <c r="M140" s="464"/>
      <c r="N140" s="465"/>
      <c r="O140" s="464"/>
      <c r="P140" s="464"/>
      <c r="Q140" s="176"/>
      <c r="R140" s="464"/>
      <c r="S140" s="1"/>
    </row>
    <row r="141" spans="1:19" x14ac:dyDescent="0.3">
      <c r="A141" s="461">
        <v>46</v>
      </c>
      <c r="B141" s="464">
        <v>117</v>
      </c>
      <c r="C141" s="464" t="s">
        <v>145</v>
      </c>
      <c r="D141" s="176">
        <v>-15847</v>
      </c>
      <c r="E141" s="464">
        <v>1</v>
      </c>
      <c r="F141" s="464" t="s">
        <v>130</v>
      </c>
      <c r="G141" s="464">
        <v>500</v>
      </c>
      <c r="H141" s="464">
        <v>400</v>
      </c>
      <c r="I141" s="464" t="s">
        <v>61</v>
      </c>
      <c r="J141" s="464">
        <v>300</v>
      </c>
      <c r="K141" s="464" t="s">
        <v>45</v>
      </c>
      <c r="L141" s="464">
        <v>90</v>
      </c>
      <c r="M141" s="464">
        <v>168</v>
      </c>
      <c r="N141" s="465" t="s">
        <v>14</v>
      </c>
      <c r="O141" s="464" t="s">
        <v>146</v>
      </c>
      <c r="P141" s="464" t="s">
        <v>16</v>
      </c>
      <c r="Q141" s="176"/>
      <c r="R141" s="464" t="s">
        <v>132</v>
      </c>
      <c r="S141" s="1"/>
    </row>
    <row r="142" spans="1:19" x14ac:dyDescent="0.3">
      <c r="A142" s="461"/>
      <c r="B142" s="464"/>
      <c r="C142" s="464"/>
      <c r="D142" s="176">
        <v>-18554</v>
      </c>
      <c r="E142" s="464"/>
      <c r="F142" s="464"/>
      <c r="G142" s="464"/>
      <c r="H142" s="464"/>
      <c r="I142" s="464"/>
      <c r="J142" s="464"/>
      <c r="K142" s="464"/>
      <c r="L142" s="464"/>
      <c r="M142" s="464"/>
      <c r="N142" s="465"/>
      <c r="O142" s="464"/>
      <c r="P142" s="464"/>
      <c r="Q142" s="176"/>
      <c r="R142" s="464"/>
      <c r="S142" s="1"/>
    </row>
    <row r="143" spans="1:19" x14ac:dyDescent="0.3">
      <c r="A143" s="461"/>
      <c r="B143" s="464"/>
      <c r="C143" s="464"/>
      <c r="D143" s="176">
        <v>59450</v>
      </c>
      <c r="E143" s="464"/>
      <c r="F143" s="464"/>
      <c r="G143" s="464"/>
      <c r="H143" s="464"/>
      <c r="I143" s="464"/>
      <c r="J143" s="464"/>
      <c r="K143" s="464"/>
      <c r="L143" s="464"/>
      <c r="M143" s="464"/>
      <c r="N143" s="465"/>
      <c r="O143" s="464"/>
      <c r="P143" s="464"/>
      <c r="Q143" s="176"/>
      <c r="R143" s="464"/>
      <c r="S143" s="1"/>
    </row>
    <row r="144" spans="1:19" x14ac:dyDescent="0.3">
      <c r="A144" s="461">
        <v>47</v>
      </c>
      <c r="B144" s="464">
        <v>118</v>
      </c>
      <c r="C144" s="464" t="s">
        <v>145</v>
      </c>
      <c r="D144" s="176">
        <v>-18828</v>
      </c>
      <c r="E144" s="464">
        <v>1</v>
      </c>
      <c r="F144" s="464" t="s">
        <v>130</v>
      </c>
      <c r="G144" s="464">
        <v>500</v>
      </c>
      <c r="H144" s="464">
        <v>400</v>
      </c>
      <c r="I144" s="464" t="s">
        <v>61</v>
      </c>
      <c r="J144" s="464">
        <v>300</v>
      </c>
      <c r="K144" s="464" t="s">
        <v>45</v>
      </c>
      <c r="L144" s="464">
        <v>90</v>
      </c>
      <c r="M144" s="464">
        <v>168</v>
      </c>
      <c r="N144" s="465" t="s">
        <v>14</v>
      </c>
      <c r="O144" s="464" t="s">
        <v>146</v>
      </c>
      <c r="P144" s="464" t="s">
        <v>16</v>
      </c>
      <c r="Q144" s="176"/>
      <c r="R144" s="464" t="s">
        <v>132</v>
      </c>
      <c r="S144" s="1"/>
    </row>
    <row r="145" spans="1:19" x14ac:dyDescent="0.3">
      <c r="A145" s="461"/>
      <c r="B145" s="464"/>
      <c r="C145" s="464"/>
      <c r="D145" s="176">
        <v>-15520</v>
      </c>
      <c r="E145" s="464"/>
      <c r="F145" s="464"/>
      <c r="G145" s="464"/>
      <c r="H145" s="464"/>
      <c r="I145" s="464"/>
      <c r="J145" s="464"/>
      <c r="K145" s="464"/>
      <c r="L145" s="464"/>
      <c r="M145" s="464"/>
      <c r="N145" s="465"/>
      <c r="O145" s="464"/>
      <c r="P145" s="464"/>
      <c r="Q145" s="176"/>
      <c r="R145" s="464"/>
      <c r="S145" s="1"/>
    </row>
    <row r="146" spans="1:19" x14ac:dyDescent="0.3">
      <c r="A146" s="461"/>
      <c r="B146" s="464"/>
      <c r="C146" s="464"/>
      <c r="D146" s="176">
        <v>59450</v>
      </c>
      <c r="E146" s="464"/>
      <c r="F146" s="464"/>
      <c r="G146" s="464"/>
      <c r="H146" s="464"/>
      <c r="I146" s="464"/>
      <c r="J146" s="464"/>
      <c r="K146" s="464"/>
      <c r="L146" s="464"/>
      <c r="M146" s="464"/>
      <c r="N146" s="465"/>
      <c r="O146" s="464"/>
      <c r="P146" s="464"/>
      <c r="Q146" s="176"/>
      <c r="R146" s="464"/>
      <c r="S146" s="1"/>
    </row>
    <row r="147" spans="1:19" ht="16.5" customHeight="1" x14ac:dyDescent="0.3">
      <c r="A147" s="462" t="s">
        <v>147</v>
      </c>
      <c r="B147" s="462"/>
      <c r="C147" s="462"/>
      <c r="D147" s="462"/>
      <c r="E147" s="462"/>
      <c r="F147" s="462"/>
      <c r="G147" s="462"/>
      <c r="H147" s="462"/>
      <c r="I147" s="462"/>
      <c r="J147" s="462"/>
      <c r="K147" s="462"/>
      <c r="L147" s="462"/>
      <c r="M147" s="462"/>
      <c r="N147" s="462"/>
      <c r="O147" s="462"/>
      <c r="P147" s="462"/>
      <c r="Q147" s="462"/>
      <c r="R147" s="462"/>
      <c r="S147" s="1"/>
    </row>
    <row r="148" spans="1:19" x14ac:dyDescent="0.3">
      <c r="A148" s="461">
        <v>48</v>
      </c>
      <c r="B148" s="464">
        <v>119</v>
      </c>
      <c r="C148" s="464" t="s">
        <v>148</v>
      </c>
      <c r="D148" s="176">
        <v>-13175</v>
      </c>
      <c r="E148" s="464">
        <v>1</v>
      </c>
      <c r="F148" s="464" t="s">
        <v>25</v>
      </c>
      <c r="G148" s="464">
        <v>400</v>
      </c>
      <c r="H148" s="464">
        <v>400</v>
      </c>
      <c r="I148" s="464" t="s">
        <v>44</v>
      </c>
      <c r="J148" s="464">
        <v>115</v>
      </c>
      <c r="K148" s="464" t="s">
        <v>45</v>
      </c>
      <c r="L148" s="464">
        <v>0</v>
      </c>
      <c r="M148" s="464">
        <v>35.200000000000003</v>
      </c>
      <c r="N148" s="465" t="s">
        <v>14</v>
      </c>
      <c r="O148" s="464" t="s">
        <v>149</v>
      </c>
      <c r="P148" s="464" t="s">
        <v>16</v>
      </c>
      <c r="Q148" s="176"/>
      <c r="R148" s="464" t="s">
        <v>120</v>
      </c>
      <c r="S148" s="1"/>
    </row>
    <row r="149" spans="1:19" x14ac:dyDescent="0.3">
      <c r="A149" s="461"/>
      <c r="B149" s="464"/>
      <c r="C149" s="464"/>
      <c r="D149" s="176">
        <v>20078</v>
      </c>
      <c r="E149" s="464"/>
      <c r="F149" s="464"/>
      <c r="G149" s="464"/>
      <c r="H149" s="464"/>
      <c r="I149" s="464"/>
      <c r="J149" s="464"/>
      <c r="K149" s="464"/>
      <c r="L149" s="464"/>
      <c r="M149" s="464"/>
      <c r="N149" s="465"/>
      <c r="O149" s="464"/>
      <c r="P149" s="464"/>
      <c r="Q149" s="176"/>
      <c r="R149" s="464"/>
      <c r="S149" s="1"/>
    </row>
    <row r="150" spans="1:19" x14ac:dyDescent="0.3">
      <c r="A150" s="461"/>
      <c r="B150" s="464"/>
      <c r="C150" s="464"/>
      <c r="D150" s="176">
        <v>62265</v>
      </c>
      <c r="E150" s="464"/>
      <c r="F150" s="464"/>
      <c r="G150" s="464"/>
      <c r="H150" s="464"/>
      <c r="I150" s="464"/>
      <c r="J150" s="464"/>
      <c r="K150" s="464"/>
      <c r="L150" s="464"/>
      <c r="M150" s="464"/>
      <c r="N150" s="465"/>
      <c r="O150" s="464"/>
      <c r="P150" s="464"/>
      <c r="Q150" s="176"/>
      <c r="R150" s="464"/>
      <c r="S150" s="1"/>
    </row>
    <row r="151" spans="1:19" x14ac:dyDescent="0.3">
      <c r="A151" s="461">
        <v>49</v>
      </c>
      <c r="B151" s="464">
        <v>120</v>
      </c>
      <c r="C151" s="464" t="s">
        <v>148</v>
      </c>
      <c r="D151" s="176">
        <v>-10425</v>
      </c>
      <c r="E151" s="464">
        <v>1</v>
      </c>
      <c r="F151" s="464" t="s">
        <v>25</v>
      </c>
      <c r="G151" s="464">
        <v>400</v>
      </c>
      <c r="H151" s="464">
        <v>400</v>
      </c>
      <c r="I151" s="464" t="s">
        <v>44</v>
      </c>
      <c r="J151" s="464">
        <v>115</v>
      </c>
      <c r="K151" s="464" t="s">
        <v>45</v>
      </c>
      <c r="L151" s="464">
        <v>0</v>
      </c>
      <c r="M151" s="464">
        <v>34.9</v>
      </c>
      <c r="N151" s="465" t="s">
        <v>14</v>
      </c>
      <c r="O151" s="464" t="s">
        <v>150</v>
      </c>
      <c r="P151" s="464" t="s">
        <v>16</v>
      </c>
      <c r="Q151" s="176"/>
      <c r="R151" s="464" t="s">
        <v>120</v>
      </c>
      <c r="S151" s="1"/>
    </row>
    <row r="152" spans="1:19" x14ac:dyDescent="0.3">
      <c r="A152" s="461"/>
      <c r="B152" s="464"/>
      <c r="C152" s="464"/>
      <c r="D152" s="176">
        <v>21634</v>
      </c>
      <c r="E152" s="464"/>
      <c r="F152" s="464"/>
      <c r="G152" s="464"/>
      <c r="H152" s="464"/>
      <c r="I152" s="464"/>
      <c r="J152" s="464"/>
      <c r="K152" s="464"/>
      <c r="L152" s="464"/>
      <c r="M152" s="464"/>
      <c r="N152" s="465"/>
      <c r="O152" s="464"/>
      <c r="P152" s="464"/>
      <c r="Q152" s="176"/>
      <c r="R152" s="464"/>
      <c r="S152" s="1"/>
    </row>
    <row r="153" spans="1:19" x14ac:dyDescent="0.3">
      <c r="A153" s="461"/>
      <c r="B153" s="464"/>
      <c r="C153" s="464"/>
      <c r="D153" s="176">
        <v>62280</v>
      </c>
      <c r="E153" s="464"/>
      <c r="F153" s="464"/>
      <c r="G153" s="464"/>
      <c r="H153" s="464"/>
      <c r="I153" s="464"/>
      <c r="J153" s="464"/>
      <c r="K153" s="464"/>
      <c r="L153" s="464"/>
      <c r="M153" s="464"/>
      <c r="N153" s="465"/>
      <c r="O153" s="464"/>
      <c r="P153" s="464"/>
      <c r="Q153" s="176"/>
      <c r="R153" s="464"/>
      <c r="S153" s="1"/>
    </row>
    <row r="154" spans="1:19" x14ac:dyDescent="0.3">
      <c r="A154" s="461">
        <v>50</v>
      </c>
      <c r="B154" s="464">
        <v>121</v>
      </c>
      <c r="C154" s="464" t="s">
        <v>148</v>
      </c>
      <c r="D154" s="176">
        <v>20078</v>
      </c>
      <c r="E154" s="464">
        <v>1</v>
      </c>
      <c r="F154" s="464" t="s">
        <v>25</v>
      </c>
      <c r="G154" s="464">
        <v>400</v>
      </c>
      <c r="H154" s="464">
        <v>400</v>
      </c>
      <c r="I154" s="464" t="s">
        <v>44</v>
      </c>
      <c r="J154" s="464">
        <v>115</v>
      </c>
      <c r="K154" s="464" t="s">
        <v>45</v>
      </c>
      <c r="L154" s="464">
        <v>0</v>
      </c>
      <c r="M154" s="464">
        <v>61.3</v>
      </c>
      <c r="N154" s="465" t="s">
        <v>14</v>
      </c>
      <c r="O154" s="466" t="s">
        <v>151</v>
      </c>
      <c r="P154" s="464" t="s">
        <v>16</v>
      </c>
      <c r="Q154" s="176"/>
      <c r="R154" s="464" t="s">
        <v>120</v>
      </c>
      <c r="S154" s="1"/>
    </row>
    <row r="155" spans="1:19" x14ac:dyDescent="0.3">
      <c r="A155" s="461"/>
      <c r="B155" s="464"/>
      <c r="C155" s="464"/>
      <c r="D155" s="176">
        <v>13175</v>
      </c>
      <c r="E155" s="464"/>
      <c r="F155" s="464"/>
      <c r="G155" s="464"/>
      <c r="H155" s="464"/>
      <c r="I155" s="464"/>
      <c r="J155" s="464"/>
      <c r="K155" s="464"/>
      <c r="L155" s="464"/>
      <c r="M155" s="464"/>
      <c r="N155" s="465"/>
      <c r="O155" s="466"/>
      <c r="P155" s="464"/>
      <c r="Q155" s="176"/>
      <c r="R155" s="464"/>
      <c r="S155" s="1"/>
    </row>
    <row r="156" spans="1:19" x14ac:dyDescent="0.3">
      <c r="A156" s="461"/>
      <c r="B156" s="464"/>
      <c r="C156" s="464"/>
      <c r="D156" s="176">
        <v>62425</v>
      </c>
      <c r="E156" s="464"/>
      <c r="F156" s="464"/>
      <c r="G156" s="464"/>
      <c r="H156" s="464"/>
      <c r="I156" s="464"/>
      <c r="J156" s="464"/>
      <c r="K156" s="464"/>
      <c r="L156" s="464"/>
      <c r="M156" s="464"/>
      <c r="N156" s="465"/>
      <c r="O156" s="466"/>
      <c r="P156" s="464"/>
      <c r="Q156" s="176"/>
      <c r="R156" s="464"/>
      <c r="S156" s="1"/>
    </row>
    <row r="157" spans="1:19" x14ac:dyDescent="0.3">
      <c r="A157" s="461">
        <v>51</v>
      </c>
      <c r="B157" s="464">
        <v>122</v>
      </c>
      <c r="C157" s="464" t="s">
        <v>148</v>
      </c>
      <c r="D157" s="176">
        <v>21634</v>
      </c>
      <c r="E157" s="464">
        <v>1</v>
      </c>
      <c r="F157" s="464" t="s">
        <v>25</v>
      </c>
      <c r="G157" s="464">
        <v>400</v>
      </c>
      <c r="H157" s="464">
        <v>400</v>
      </c>
      <c r="I157" s="464" t="s">
        <v>44</v>
      </c>
      <c r="J157" s="464">
        <v>115</v>
      </c>
      <c r="K157" s="464" t="s">
        <v>45</v>
      </c>
      <c r="L157" s="464">
        <v>0</v>
      </c>
      <c r="M157" s="464">
        <v>57.6</v>
      </c>
      <c r="N157" s="465" t="s">
        <v>14</v>
      </c>
      <c r="O157" s="464" t="s">
        <v>152</v>
      </c>
      <c r="P157" s="464" t="s">
        <v>16</v>
      </c>
      <c r="Q157" s="176"/>
      <c r="R157" s="464" t="s">
        <v>120</v>
      </c>
      <c r="S157" s="1"/>
    </row>
    <row r="158" spans="1:19" x14ac:dyDescent="0.3">
      <c r="A158" s="461"/>
      <c r="B158" s="464"/>
      <c r="C158" s="464"/>
      <c r="D158" s="176">
        <v>10425</v>
      </c>
      <c r="E158" s="464"/>
      <c r="F158" s="464"/>
      <c r="G158" s="464"/>
      <c r="H158" s="464"/>
      <c r="I158" s="464"/>
      <c r="J158" s="464"/>
      <c r="K158" s="464"/>
      <c r="L158" s="464"/>
      <c r="M158" s="464"/>
      <c r="N158" s="465"/>
      <c r="O158" s="464"/>
      <c r="P158" s="464"/>
      <c r="Q158" s="176"/>
      <c r="R158" s="464"/>
      <c r="S158" s="1"/>
    </row>
    <row r="159" spans="1:19" x14ac:dyDescent="0.3">
      <c r="A159" s="461"/>
      <c r="B159" s="464"/>
      <c r="C159" s="464"/>
      <c r="D159" s="176">
        <v>62440</v>
      </c>
      <c r="E159" s="464"/>
      <c r="F159" s="464"/>
      <c r="G159" s="464"/>
      <c r="H159" s="464"/>
      <c r="I159" s="464"/>
      <c r="J159" s="464"/>
      <c r="K159" s="464"/>
      <c r="L159" s="464"/>
      <c r="M159" s="464"/>
      <c r="N159" s="465"/>
      <c r="O159" s="464"/>
      <c r="P159" s="464"/>
      <c r="Q159" s="176"/>
      <c r="R159" s="464"/>
      <c r="S159" s="1"/>
    </row>
    <row r="160" spans="1:19" x14ac:dyDescent="0.3">
      <c r="A160" s="461">
        <v>52</v>
      </c>
      <c r="B160" s="464">
        <v>123</v>
      </c>
      <c r="C160" s="464" t="s">
        <v>153</v>
      </c>
      <c r="D160" s="176">
        <v>-20078</v>
      </c>
      <c r="E160" s="464">
        <v>1</v>
      </c>
      <c r="F160" s="464" t="s">
        <v>25</v>
      </c>
      <c r="G160" s="464">
        <v>400</v>
      </c>
      <c r="H160" s="464">
        <v>400</v>
      </c>
      <c r="I160" s="464" t="s">
        <v>44</v>
      </c>
      <c r="J160" s="464">
        <v>115</v>
      </c>
      <c r="K160" s="464" t="s">
        <v>45</v>
      </c>
      <c r="L160" s="464">
        <v>0</v>
      </c>
      <c r="M160" s="464">
        <v>62.6</v>
      </c>
      <c r="N160" s="465" t="s">
        <v>14</v>
      </c>
      <c r="O160" s="464" t="s">
        <v>154</v>
      </c>
      <c r="P160" s="464" t="s">
        <v>16</v>
      </c>
      <c r="Q160" s="176"/>
      <c r="R160" s="464" t="s">
        <v>120</v>
      </c>
      <c r="S160" s="1"/>
    </row>
    <row r="161" spans="1:19" x14ac:dyDescent="0.3">
      <c r="A161" s="461"/>
      <c r="B161" s="464"/>
      <c r="C161" s="464"/>
      <c r="D161" s="176">
        <v>-13175</v>
      </c>
      <c r="E161" s="464"/>
      <c r="F161" s="464"/>
      <c r="G161" s="464"/>
      <c r="H161" s="464"/>
      <c r="I161" s="464"/>
      <c r="J161" s="464"/>
      <c r="K161" s="464"/>
      <c r="L161" s="464"/>
      <c r="M161" s="464"/>
      <c r="N161" s="465"/>
      <c r="O161" s="464"/>
      <c r="P161" s="464"/>
      <c r="Q161" s="176"/>
      <c r="R161" s="464"/>
      <c r="S161" s="1"/>
    </row>
    <row r="162" spans="1:19" x14ac:dyDescent="0.3">
      <c r="A162" s="461"/>
      <c r="B162" s="464"/>
      <c r="C162" s="464"/>
      <c r="D162" s="176">
        <v>62335</v>
      </c>
      <c r="E162" s="464"/>
      <c r="F162" s="464"/>
      <c r="G162" s="464"/>
      <c r="H162" s="464"/>
      <c r="I162" s="464"/>
      <c r="J162" s="464"/>
      <c r="K162" s="464"/>
      <c r="L162" s="464"/>
      <c r="M162" s="464"/>
      <c r="N162" s="465"/>
      <c r="O162" s="464"/>
      <c r="P162" s="464"/>
      <c r="Q162" s="176"/>
      <c r="R162" s="464"/>
      <c r="S162" s="1"/>
    </row>
    <row r="163" spans="1:19" x14ac:dyDescent="0.3">
      <c r="A163" s="461">
        <v>53</v>
      </c>
      <c r="B163" s="464">
        <v>124</v>
      </c>
      <c r="C163" s="464" t="s">
        <v>153</v>
      </c>
      <c r="D163" s="176">
        <v>-21634</v>
      </c>
      <c r="E163" s="464">
        <v>1</v>
      </c>
      <c r="F163" s="464" t="s">
        <v>25</v>
      </c>
      <c r="G163" s="464">
        <v>400</v>
      </c>
      <c r="H163" s="464">
        <v>400</v>
      </c>
      <c r="I163" s="464" t="s">
        <v>44</v>
      </c>
      <c r="J163" s="464">
        <v>115</v>
      </c>
      <c r="K163" s="464" t="s">
        <v>45</v>
      </c>
      <c r="L163" s="464">
        <v>0</v>
      </c>
      <c r="M163" s="464">
        <v>62.8</v>
      </c>
      <c r="N163" s="465" t="s">
        <v>14</v>
      </c>
      <c r="O163" s="464" t="s">
        <v>155</v>
      </c>
      <c r="P163" s="464" t="s">
        <v>16</v>
      </c>
      <c r="Q163" s="176"/>
      <c r="R163" s="464" t="s">
        <v>120</v>
      </c>
      <c r="S163" s="1"/>
    </row>
    <row r="164" spans="1:19" x14ac:dyDescent="0.3">
      <c r="A164" s="461"/>
      <c r="B164" s="464"/>
      <c r="C164" s="464"/>
      <c r="D164" s="176">
        <v>-10425</v>
      </c>
      <c r="E164" s="464"/>
      <c r="F164" s="464"/>
      <c r="G164" s="464"/>
      <c r="H164" s="464"/>
      <c r="I164" s="464"/>
      <c r="J164" s="464"/>
      <c r="K164" s="464"/>
      <c r="L164" s="464"/>
      <c r="M164" s="464"/>
      <c r="N164" s="465"/>
      <c r="O164" s="464"/>
      <c r="P164" s="464"/>
      <c r="Q164" s="176"/>
      <c r="R164" s="464"/>
      <c r="S164" s="1"/>
    </row>
    <row r="165" spans="1:19" x14ac:dyDescent="0.3">
      <c r="A165" s="461"/>
      <c r="B165" s="464"/>
      <c r="C165" s="464"/>
      <c r="D165" s="176">
        <v>62320</v>
      </c>
      <c r="E165" s="464"/>
      <c r="F165" s="464"/>
      <c r="G165" s="464"/>
      <c r="H165" s="464"/>
      <c r="I165" s="464"/>
      <c r="J165" s="464"/>
      <c r="K165" s="464"/>
      <c r="L165" s="464"/>
      <c r="M165" s="464"/>
      <c r="N165" s="465"/>
      <c r="O165" s="464"/>
      <c r="P165" s="464"/>
      <c r="Q165" s="176"/>
      <c r="R165" s="464"/>
      <c r="S165" s="1"/>
    </row>
    <row r="166" spans="1:19" ht="54" customHeight="1" x14ac:dyDescent="0.3">
      <c r="A166" s="463" t="s">
        <v>489</v>
      </c>
      <c r="B166" s="463"/>
      <c r="C166" s="463"/>
      <c r="D166" s="463"/>
      <c r="E166" s="463"/>
      <c r="F166" s="463"/>
      <c r="G166" s="463"/>
      <c r="H166" s="463"/>
      <c r="I166" s="463"/>
      <c r="J166" s="463"/>
      <c r="K166" s="463"/>
      <c r="L166" s="463"/>
      <c r="M166" s="463"/>
      <c r="N166" s="463"/>
      <c r="O166" s="463"/>
      <c r="P166" s="463"/>
      <c r="Q166" s="463"/>
      <c r="R166" s="463"/>
      <c r="S166" s="1"/>
    </row>
    <row r="167" spans="1:19" ht="26.25" customHeight="1" x14ac:dyDescent="0.3">
      <c r="A167" s="462" t="s">
        <v>113</v>
      </c>
      <c r="B167" s="462"/>
      <c r="C167" s="462"/>
      <c r="D167" s="462"/>
      <c r="E167" s="462"/>
      <c r="F167" s="462"/>
      <c r="G167" s="462"/>
      <c r="H167" s="462"/>
      <c r="I167" s="462"/>
      <c r="J167" s="462"/>
      <c r="K167" s="462"/>
      <c r="L167" s="462"/>
      <c r="M167" s="462"/>
      <c r="N167" s="462"/>
      <c r="O167" s="462"/>
      <c r="P167" s="462"/>
      <c r="Q167" s="462"/>
      <c r="R167" s="462"/>
      <c r="S167" s="1"/>
    </row>
    <row r="168" spans="1:19" ht="16.5" customHeight="1" x14ac:dyDescent="0.3">
      <c r="A168" s="461">
        <v>54</v>
      </c>
      <c r="B168" s="465">
        <v>1</v>
      </c>
      <c r="C168" s="465" t="s">
        <v>473</v>
      </c>
      <c r="D168" s="177">
        <v>-11448</v>
      </c>
      <c r="E168" s="465">
        <v>1</v>
      </c>
      <c r="F168" s="465" t="s">
        <v>19</v>
      </c>
      <c r="G168" s="465">
        <v>500</v>
      </c>
      <c r="H168" s="465">
        <v>400</v>
      </c>
      <c r="I168" s="465" t="s">
        <v>44</v>
      </c>
      <c r="J168" s="465" t="s">
        <v>13</v>
      </c>
      <c r="K168" s="465" t="s">
        <v>13</v>
      </c>
      <c r="L168" s="465" t="s">
        <v>13</v>
      </c>
      <c r="M168" s="465">
        <v>45</v>
      </c>
      <c r="N168" s="465" t="s">
        <v>14</v>
      </c>
      <c r="O168" s="467" t="s">
        <v>474</v>
      </c>
      <c r="P168" s="465" t="s">
        <v>16</v>
      </c>
      <c r="Q168" s="177"/>
      <c r="R168" s="465" t="s">
        <v>475</v>
      </c>
      <c r="S168" s="1"/>
    </row>
    <row r="169" spans="1:19" ht="16.5" customHeight="1" x14ac:dyDescent="0.3">
      <c r="A169" s="461"/>
      <c r="B169" s="465"/>
      <c r="C169" s="465"/>
      <c r="D169" s="177">
        <v>-23377</v>
      </c>
      <c r="E169" s="465"/>
      <c r="F169" s="465"/>
      <c r="G169" s="465"/>
      <c r="H169" s="465"/>
      <c r="I169" s="465"/>
      <c r="J169" s="465"/>
      <c r="K169" s="465"/>
      <c r="L169" s="465"/>
      <c r="M169" s="465"/>
      <c r="N169" s="465"/>
      <c r="O169" s="467"/>
      <c r="P169" s="465"/>
      <c r="Q169" s="177"/>
      <c r="R169" s="465"/>
      <c r="S169" s="1"/>
    </row>
    <row r="170" spans="1:19" ht="16.5" customHeight="1" x14ac:dyDescent="0.3">
      <c r="A170" s="461"/>
      <c r="B170" s="465"/>
      <c r="C170" s="465"/>
      <c r="D170" s="177">
        <v>54050</v>
      </c>
      <c r="E170" s="465"/>
      <c r="F170" s="465"/>
      <c r="G170" s="465"/>
      <c r="H170" s="465"/>
      <c r="I170" s="465"/>
      <c r="J170" s="465"/>
      <c r="K170" s="465"/>
      <c r="L170" s="465"/>
      <c r="M170" s="465"/>
      <c r="N170" s="465"/>
      <c r="O170" s="467"/>
      <c r="P170" s="465"/>
      <c r="Q170" s="177"/>
      <c r="R170" s="465"/>
      <c r="S170" s="1"/>
    </row>
    <row r="171" spans="1:19" ht="16.5" customHeight="1" x14ac:dyDescent="0.3">
      <c r="A171" s="461">
        <v>55</v>
      </c>
      <c r="B171" s="465">
        <v>2</v>
      </c>
      <c r="C171" s="465" t="s">
        <v>473</v>
      </c>
      <c r="D171" s="177">
        <v>4061</v>
      </c>
      <c r="E171" s="465">
        <v>1</v>
      </c>
      <c r="F171" s="465" t="s">
        <v>19</v>
      </c>
      <c r="G171" s="465">
        <v>500</v>
      </c>
      <c r="H171" s="465">
        <v>400</v>
      </c>
      <c r="I171" s="465" t="s">
        <v>44</v>
      </c>
      <c r="J171" s="465" t="s">
        <v>13</v>
      </c>
      <c r="K171" s="465" t="s">
        <v>13</v>
      </c>
      <c r="L171" s="465" t="s">
        <v>13</v>
      </c>
      <c r="M171" s="465">
        <v>45</v>
      </c>
      <c r="N171" s="465" t="s">
        <v>14</v>
      </c>
      <c r="O171" s="467" t="s">
        <v>474</v>
      </c>
      <c r="P171" s="465" t="s">
        <v>16</v>
      </c>
      <c r="Q171" s="177"/>
      <c r="R171" s="465" t="s">
        <v>475</v>
      </c>
      <c r="S171" s="1"/>
    </row>
    <row r="172" spans="1:19" ht="26.25" customHeight="1" x14ac:dyDescent="0.3">
      <c r="A172" s="461"/>
      <c r="B172" s="465"/>
      <c r="C172" s="465"/>
      <c r="D172" s="177">
        <v>-25706</v>
      </c>
      <c r="E172" s="465"/>
      <c r="F172" s="465"/>
      <c r="G172" s="465"/>
      <c r="H172" s="465"/>
      <c r="I172" s="465"/>
      <c r="J172" s="465"/>
      <c r="K172" s="465"/>
      <c r="L172" s="465"/>
      <c r="M172" s="465"/>
      <c r="N172" s="465"/>
      <c r="O172" s="467"/>
      <c r="P172" s="465"/>
      <c r="Q172" s="177"/>
      <c r="R172" s="465"/>
      <c r="S172" s="1"/>
    </row>
    <row r="173" spans="1:19" ht="16.5" customHeight="1" x14ac:dyDescent="0.3">
      <c r="A173" s="461"/>
      <c r="B173" s="465"/>
      <c r="C173" s="465"/>
      <c r="D173" s="177">
        <v>54050</v>
      </c>
      <c r="E173" s="465"/>
      <c r="F173" s="465"/>
      <c r="G173" s="465"/>
      <c r="H173" s="465"/>
      <c r="I173" s="465"/>
      <c r="J173" s="465"/>
      <c r="K173" s="465"/>
      <c r="L173" s="465"/>
      <c r="M173" s="465"/>
      <c r="N173" s="465"/>
      <c r="O173" s="467"/>
      <c r="P173" s="465"/>
      <c r="Q173" s="177"/>
      <c r="R173" s="465"/>
      <c r="S173" s="1"/>
    </row>
    <row r="174" spans="1:19" ht="15" x14ac:dyDescent="0.3">
      <c r="A174" s="461">
        <v>56</v>
      </c>
      <c r="B174" s="465">
        <v>3</v>
      </c>
      <c r="C174" s="465" t="s">
        <v>476</v>
      </c>
      <c r="D174" s="177">
        <v>-10643</v>
      </c>
      <c r="E174" s="465">
        <v>1</v>
      </c>
      <c r="F174" s="465" t="s">
        <v>30</v>
      </c>
      <c r="G174" s="465">
        <v>500</v>
      </c>
      <c r="H174" s="465">
        <v>400</v>
      </c>
      <c r="I174" s="465" t="s">
        <v>25</v>
      </c>
      <c r="J174" s="465">
        <v>40</v>
      </c>
      <c r="K174" s="465" t="s">
        <v>13</v>
      </c>
      <c r="L174" s="465" t="s">
        <v>13</v>
      </c>
      <c r="M174" s="465">
        <v>29</v>
      </c>
      <c r="N174" s="465" t="s">
        <v>14</v>
      </c>
      <c r="O174" s="467" t="s">
        <v>477</v>
      </c>
      <c r="P174" s="465" t="s">
        <v>16</v>
      </c>
      <c r="Q174" s="177"/>
      <c r="R174" s="465" t="s">
        <v>478</v>
      </c>
      <c r="S174" s="1"/>
    </row>
    <row r="175" spans="1:19" ht="15" x14ac:dyDescent="0.3">
      <c r="A175" s="461"/>
      <c r="B175" s="465"/>
      <c r="C175" s="465"/>
      <c r="D175" s="177">
        <v>21396</v>
      </c>
      <c r="E175" s="465"/>
      <c r="F175" s="465"/>
      <c r="G175" s="465"/>
      <c r="H175" s="465"/>
      <c r="I175" s="465"/>
      <c r="J175" s="465"/>
      <c r="K175" s="465"/>
      <c r="L175" s="465"/>
      <c r="M175" s="465"/>
      <c r="N175" s="465"/>
      <c r="O175" s="467"/>
      <c r="P175" s="465"/>
      <c r="Q175" s="177"/>
      <c r="R175" s="465"/>
      <c r="S175" s="1"/>
    </row>
    <row r="176" spans="1:19" ht="15" x14ac:dyDescent="0.3">
      <c r="A176" s="461"/>
      <c r="B176" s="465"/>
      <c r="C176" s="465"/>
      <c r="D176" s="177">
        <v>54050</v>
      </c>
      <c r="E176" s="465"/>
      <c r="F176" s="465"/>
      <c r="G176" s="465"/>
      <c r="H176" s="465"/>
      <c r="I176" s="465"/>
      <c r="J176" s="465"/>
      <c r="K176" s="465"/>
      <c r="L176" s="465"/>
      <c r="M176" s="465"/>
      <c r="N176" s="465"/>
      <c r="O176" s="467"/>
      <c r="P176" s="465"/>
      <c r="Q176" s="177"/>
      <c r="R176" s="465"/>
      <c r="S176" s="1"/>
    </row>
    <row r="177" spans="1:19" ht="15" x14ac:dyDescent="0.3">
      <c r="A177" s="461">
        <v>57</v>
      </c>
      <c r="B177" s="465">
        <v>4</v>
      </c>
      <c r="C177" s="465" t="s">
        <v>476</v>
      </c>
      <c r="D177" s="177">
        <v>10643</v>
      </c>
      <c r="E177" s="465">
        <v>1</v>
      </c>
      <c r="F177" s="465" t="s">
        <v>30</v>
      </c>
      <c r="G177" s="465">
        <v>500</v>
      </c>
      <c r="H177" s="465">
        <v>400</v>
      </c>
      <c r="I177" s="465" t="s">
        <v>25</v>
      </c>
      <c r="J177" s="465">
        <v>40</v>
      </c>
      <c r="K177" s="465" t="s">
        <v>13</v>
      </c>
      <c r="L177" s="465" t="s">
        <v>13</v>
      </c>
      <c r="M177" s="465">
        <v>29</v>
      </c>
      <c r="N177" s="465" t="s">
        <v>14</v>
      </c>
      <c r="O177" s="467" t="s">
        <v>479</v>
      </c>
      <c r="P177" s="465" t="s">
        <v>16</v>
      </c>
      <c r="Q177" s="177"/>
      <c r="R177" s="465" t="s">
        <v>478</v>
      </c>
      <c r="S177" s="1"/>
    </row>
    <row r="178" spans="1:19" ht="15" x14ac:dyDescent="0.3">
      <c r="A178" s="461"/>
      <c r="B178" s="465"/>
      <c r="C178" s="465"/>
      <c r="D178" s="177">
        <v>-21396</v>
      </c>
      <c r="E178" s="465"/>
      <c r="F178" s="465"/>
      <c r="G178" s="465"/>
      <c r="H178" s="465"/>
      <c r="I178" s="465"/>
      <c r="J178" s="465"/>
      <c r="K178" s="465"/>
      <c r="L178" s="465"/>
      <c r="M178" s="465"/>
      <c r="N178" s="465"/>
      <c r="O178" s="467"/>
      <c r="P178" s="465"/>
      <c r="Q178" s="177"/>
      <c r="R178" s="465"/>
      <c r="S178" s="1"/>
    </row>
    <row r="179" spans="1:19" ht="15" x14ac:dyDescent="0.3">
      <c r="A179" s="461"/>
      <c r="B179" s="465"/>
      <c r="C179" s="465"/>
      <c r="D179" s="177">
        <v>54050</v>
      </c>
      <c r="E179" s="465"/>
      <c r="F179" s="465"/>
      <c r="G179" s="465"/>
      <c r="H179" s="465"/>
      <c r="I179" s="465"/>
      <c r="J179" s="465"/>
      <c r="K179" s="465"/>
      <c r="L179" s="465"/>
      <c r="M179" s="465"/>
      <c r="N179" s="465"/>
      <c r="O179" s="467"/>
      <c r="P179" s="465"/>
      <c r="Q179" s="177"/>
      <c r="R179" s="465"/>
      <c r="S179" s="1"/>
    </row>
    <row r="180" spans="1:19" ht="16.5" customHeight="1" x14ac:dyDescent="0.3">
      <c r="A180" s="462" t="s">
        <v>128</v>
      </c>
      <c r="B180" s="462"/>
      <c r="C180" s="462"/>
      <c r="D180" s="462"/>
      <c r="E180" s="462"/>
      <c r="F180" s="462"/>
      <c r="G180" s="462"/>
      <c r="H180" s="462"/>
      <c r="I180" s="462"/>
      <c r="J180" s="462"/>
      <c r="K180" s="462"/>
      <c r="L180" s="462"/>
      <c r="M180" s="462"/>
      <c r="N180" s="462"/>
      <c r="O180" s="462"/>
      <c r="P180" s="462"/>
      <c r="Q180" s="462"/>
      <c r="R180" s="462"/>
      <c r="S180" s="1"/>
    </row>
    <row r="181" spans="1:19" ht="15" x14ac:dyDescent="0.3">
      <c r="A181" s="461">
        <v>58</v>
      </c>
      <c r="B181" s="465">
        <v>5</v>
      </c>
      <c r="C181" s="465" t="s">
        <v>473</v>
      </c>
      <c r="D181" s="177">
        <v>-11448</v>
      </c>
      <c r="E181" s="465">
        <v>1</v>
      </c>
      <c r="F181" s="465" t="s">
        <v>19</v>
      </c>
      <c r="G181" s="465">
        <v>500</v>
      </c>
      <c r="H181" s="465">
        <v>400</v>
      </c>
      <c r="I181" s="465" t="s">
        <v>44</v>
      </c>
      <c r="J181" s="465" t="s">
        <v>13</v>
      </c>
      <c r="K181" s="465" t="s">
        <v>13</v>
      </c>
      <c r="L181" s="465" t="s">
        <v>13</v>
      </c>
      <c r="M181" s="465">
        <v>45</v>
      </c>
      <c r="N181" s="465" t="s">
        <v>14</v>
      </c>
      <c r="O181" s="465" t="s">
        <v>480</v>
      </c>
      <c r="P181" s="465" t="s">
        <v>16</v>
      </c>
      <c r="Q181" s="177"/>
      <c r="R181" s="465" t="s">
        <v>475</v>
      </c>
      <c r="S181" s="1"/>
    </row>
    <row r="182" spans="1:19" ht="15" x14ac:dyDescent="0.3">
      <c r="A182" s="461"/>
      <c r="B182" s="465"/>
      <c r="C182" s="465"/>
      <c r="D182" s="177">
        <v>-23377</v>
      </c>
      <c r="E182" s="465"/>
      <c r="F182" s="465"/>
      <c r="G182" s="465"/>
      <c r="H182" s="465"/>
      <c r="I182" s="465"/>
      <c r="J182" s="465"/>
      <c r="K182" s="465"/>
      <c r="L182" s="465"/>
      <c r="M182" s="465"/>
      <c r="N182" s="465"/>
      <c r="O182" s="465"/>
      <c r="P182" s="465"/>
      <c r="Q182" s="177"/>
      <c r="R182" s="465"/>
      <c r="S182" s="1"/>
    </row>
    <row r="183" spans="1:19" ht="15" x14ac:dyDescent="0.3">
      <c r="A183" s="461"/>
      <c r="B183" s="465"/>
      <c r="C183" s="465"/>
      <c r="D183" s="177">
        <v>59450</v>
      </c>
      <c r="E183" s="465"/>
      <c r="F183" s="465"/>
      <c r="G183" s="465"/>
      <c r="H183" s="465"/>
      <c r="I183" s="465"/>
      <c r="J183" s="465"/>
      <c r="K183" s="465"/>
      <c r="L183" s="465"/>
      <c r="M183" s="465"/>
      <c r="N183" s="465"/>
      <c r="O183" s="465"/>
      <c r="P183" s="465"/>
      <c r="Q183" s="177"/>
      <c r="R183" s="465"/>
      <c r="S183" s="1"/>
    </row>
    <row r="184" spans="1:19" ht="15" x14ac:dyDescent="0.3">
      <c r="A184" s="461">
        <v>59</v>
      </c>
      <c r="B184" s="465">
        <v>6</v>
      </c>
      <c r="C184" s="465" t="s">
        <v>473</v>
      </c>
      <c r="D184" s="177">
        <v>4061</v>
      </c>
      <c r="E184" s="465">
        <v>1</v>
      </c>
      <c r="F184" s="465" t="s">
        <v>19</v>
      </c>
      <c r="G184" s="465">
        <v>500</v>
      </c>
      <c r="H184" s="465">
        <v>400</v>
      </c>
      <c r="I184" s="465" t="s">
        <v>44</v>
      </c>
      <c r="J184" s="465"/>
      <c r="K184" s="465" t="s">
        <v>13</v>
      </c>
      <c r="L184" s="465" t="s">
        <v>13</v>
      </c>
      <c r="M184" s="465">
        <v>45</v>
      </c>
      <c r="N184" s="465" t="s">
        <v>14</v>
      </c>
      <c r="O184" s="465" t="s">
        <v>480</v>
      </c>
      <c r="P184" s="465" t="s">
        <v>16</v>
      </c>
      <c r="Q184" s="177"/>
      <c r="R184" s="465" t="s">
        <v>475</v>
      </c>
      <c r="S184" s="1"/>
    </row>
    <row r="185" spans="1:19" ht="15" x14ac:dyDescent="0.3">
      <c r="A185" s="461"/>
      <c r="B185" s="465"/>
      <c r="C185" s="465"/>
      <c r="D185" s="177">
        <v>-25706</v>
      </c>
      <c r="E185" s="465"/>
      <c r="F185" s="465"/>
      <c r="G185" s="465"/>
      <c r="H185" s="465"/>
      <c r="I185" s="465"/>
      <c r="J185" s="465"/>
      <c r="K185" s="465"/>
      <c r="L185" s="465"/>
      <c r="M185" s="465"/>
      <c r="N185" s="465"/>
      <c r="O185" s="465"/>
      <c r="P185" s="465"/>
      <c r="Q185" s="177"/>
      <c r="R185" s="465"/>
      <c r="S185" s="1"/>
    </row>
    <row r="186" spans="1:19" ht="16.5" customHeight="1" x14ac:dyDescent="0.3">
      <c r="A186" s="461"/>
      <c r="B186" s="465"/>
      <c r="C186" s="465"/>
      <c r="D186" s="177">
        <v>59450</v>
      </c>
      <c r="E186" s="465"/>
      <c r="F186" s="465"/>
      <c r="G186" s="465"/>
      <c r="H186" s="465"/>
      <c r="I186" s="465"/>
      <c r="J186" s="465"/>
      <c r="K186" s="465"/>
      <c r="L186" s="465"/>
      <c r="M186" s="465"/>
      <c r="N186" s="465"/>
      <c r="O186" s="465"/>
      <c r="P186" s="465"/>
      <c r="Q186" s="177"/>
      <c r="R186" s="465"/>
      <c r="S186" s="1"/>
    </row>
    <row r="187" spans="1:19" ht="16.5" customHeight="1" x14ac:dyDescent="0.3">
      <c r="A187" s="462" t="s">
        <v>147</v>
      </c>
      <c r="B187" s="462"/>
      <c r="C187" s="462"/>
      <c r="D187" s="462"/>
      <c r="E187" s="462"/>
      <c r="F187" s="462"/>
      <c r="G187" s="462"/>
      <c r="H187" s="462"/>
      <c r="I187" s="462"/>
      <c r="J187" s="462"/>
      <c r="K187" s="462"/>
      <c r="L187" s="462"/>
      <c r="M187" s="462"/>
      <c r="N187" s="462"/>
      <c r="O187" s="462"/>
      <c r="P187" s="462"/>
      <c r="Q187" s="462"/>
      <c r="R187" s="462"/>
      <c r="S187" s="1"/>
    </row>
    <row r="188" spans="1:19" ht="15" x14ac:dyDescent="0.3">
      <c r="A188" s="461">
        <v>60</v>
      </c>
      <c r="B188" s="465">
        <v>7</v>
      </c>
      <c r="C188" s="465" t="s">
        <v>473</v>
      </c>
      <c r="D188" s="177">
        <v>-14773</v>
      </c>
      <c r="E188" s="465">
        <v>1</v>
      </c>
      <c r="F188" s="465" t="s">
        <v>481</v>
      </c>
      <c r="G188" s="465">
        <v>400</v>
      </c>
      <c r="H188" s="465">
        <v>400</v>
      </c>
      <c r="I188" s="465" t="s">
        <v>19</v>
      </c>
      <c r="J188" s="465" t="s">
        <v>13</v>
      </c>
      <c r="K188" s="465" t="s">
        <v>13</v>
      </c>
      <c r="L188" s="465" t="s">
        <v>13</v>
      </c>
      <c r="M188" s="465">
        <v>48.5</v>
      </c>
      <c r="N188" s="465" t="s">
        <v>14</v>
      </c>
      <c r="O188" s="465" t="s">
        <v>482</v>
      </c>
      <c r="P188" s="465" t="s">
        <v>16</v>
      </c>
      <c r="Q188" s="177"/>
      <c r="R188" s="465" t="s">
        <v>483</v>
      </c>
      <c r="S188" s="1"/>
    </row>
    <row r="189" spans="1:19" ht="15" x14ac:dyDescent="0.3">
      <c r="A189" s="461"/>
      <c r="B189" s="465"/>
      <c r="C189" s="465"/>
      <c r="D189" s="177">
        <v>21760</v>
      </c>
      <c r="E189" s="465"/>
      <c r="F189" s="465"/>
      <c r="G189" s="465"/>
      <c r="H189" s="465"/>
      <c r="I189" s="465"/>
      <c r="J189" s="465"/>
      <c r="K189" s="465"/>
      <c r="L189" s="465"/>
      <c r="M189" s="465"/>
      <c r="N189" s="465"/>
      <c r="O189" s="465"/>
      <c r="P189" s="465"/>
      <c r="Q189" s="177"/>
      <c r="R189" s="465"/>
      <c r="S189" s="1"/>
    </row>
    <row r="190" spans="1:19" ht="15" x14ac:dyDescent="0.3">
      <c r="A190" s="461"/>
      <c r="B190" s="465"/>
      <c r="C190" s="465"/>
      <c r="D190" s="177">
        <v>62592</v>
      </c>
      <c r="E190" s="465"/>
      <c r="F190" s="465"/>
      <c r="G190" s="465"/>
      <c r="H190" s="465"/>
      <c r="I190" s="465"/>
      <c r="J190" s="465"/>
      <c r="K190" s="465"/>
      <c r="L190" s="465"/>
      <c r="M190" s="465"/>
      <c r="N190" s="465"/>
      <c r="O190" s="465"/>
      <c r="P190" s="465"/>
      <c r="Q190" s="177"/>
      <c r="R190" s="465"/>
      <c r="S190" s="1"/>
    </row>
    <row r="191" spans="1:19" ht="15" x14ac:dyDescent="0.3">
      <c r="A191" s="461">
        <v>61</v>
      </c>
      <c r="B191" s="465">
        <v>8</v>
      </c>
      <c r="C191" s="465" t="s">
        <v>473</v>
      </c>
      <c r="D191" s="177">
        <v>-23972</v>
      </c>
      <c r="E191" s="465">
        <v>1</v>
      </c>
      <c r="F191" s="465" t="s">
        <v>11</v>
      </c>
      <c r="G191" s="465">
        <v>400</v>
      </c>
      <c r="H191" s="465">
        <v>400</v>
      </c>
      <c r="I191" s="465" t="s">
        <v>44</v>
      </c>
      <c r="J191" s="465" t="s">
        <v>13</v>
      </c>
      <c r="K191" s="465" t="s">
        <v>13</v>
      </c>
      <c r="L191" s="465" t="s">
        <v>13</v>
      </c>
      <c r="M191" s="465">
        <v>75</v>
      </c>
      <c r="N191" s="465" t="s">
        <v>14</v>
      </c>
      <c r="O191" s="465" t="s">
        <v>484</v>
      </c>
      <c r="P191" s="465" t="s">
        <v>16</v>
      </c>
      <c r="Q191" s="177"/>
      <c r="R191" s="465" t="s">
        <v>485</v>
      </c>
      <c r="S191" s="1"/>
    </row>
    <row r="192" spans="1:19" ht="15" x14ac:dyDescent="0.3">
      <c r="A192" s="461"/>
      <c r="B192" s="465"/>
      <c r="C192" s="465"/>
      <c r="D192" s="177">
        <v>-11085</v>
      </c>
      <c r="E192" s="465"/>
      <c r="F192" s="465"/>
      <c r="G192" s="465"/>
      <c r="H192" s="465"/>
      <c r="I192" s="465"/>
      <c r="J192" s="465"/>
      <c r="K192" s="465"/>
      <c r="L192" s="465"/>
      <c r="M192" s="465"/>
      <c r="N192" s="465"/>
      <c r="O192" s="465"/>
      <c r="P192" s="465"/>
      <c r="Q192" s="177"/>
      <c r="R192" s="465"/>
      <c r="S192" s="1"/>
    </row>
    <row r="193" spans="1:19" ht="16.5" customHeight="1" x14ac:dyDescent="0.3">
      <c r="A193" s="461"/>
      <c r="B193" s="465"/>
      <c r="C193" s="465"/>
      <c r="D193" s="177">
        <v>62340</v>
      </c>
      <c r="E193" s="465"/>
      <c r="F193" s="465"/>
      <c r="G193" s="465"/>
      <c r="H193" s="465"/>
      <c r="I193" s="465"/>
      <c r="J193" s="465"/>
      <c r="K193" s="465"/>
      <c r="L193" s="465"/>
      <c r="M193" s="465"/>
      <c r="N193" s="465"/>
      <c r="O193" s="465"/>
      <c r="P193" s="465"/>
      <c r="Q193" s="177"/>
      <c r="R193" s="465"/>
      <c r="S193" s="1"/>
    </row>
    <row r="194" spans="1:19" ht="15" x14ac:dyDescent="0.3">
      <c r="A194" s="461">
        <v>62</v>
      </c>
      <c r="B194" s="465">
        <v>9</v>
      </c>
      <c r="C194" s="465" t="s">
        <v>473</v>
      </c>
      <c r="D194" s="177">
        <v>14446</v>
      </c>
      <c r="E194" s="465">
        <v>1</v>
      </c>
      <c r="F194" s="465" t="s">
        <v>11</v>
      </c>
      <c r="G194" s="465">
        <v>400</v>
      </c>
      <c r="H194" s="465">
        <v>400</v>
      </c>
      <c r="I194" s="465" t="s">
        <v>44</v>
      </c>
      <c r="J194" s="465" t="s">
        <v>13</v>
      </c>
      <c r="K194" s="465" t="s">
        <v>13</v>
      </c>
      <c r="L194" s="465" t="s">
        <v>13</v>
      </c>
      <c r="M194" s="465">
        <v>75</v>
      </c>
      <c r="N194" s="465" t="s">
        <v>14</v>
      </c>
      <c r="O194" s="465" t="s">
        <v>486</v>
      </c>
      <c r="P194" s="465" t="s">
        <v>16</v>
      </c>
      <c r="Q194" s="177"/>
      <c r="R194" s="465" t="s">
        <v>485</v>
      </c>
      <c r="S194" s="1"/>
    </row>
    <row r="195" spans="1:19" ht="15" x14ac:dyDescent="0.3">
      <c r="A195" s="461"/>
      <c r="B195" s="465"/>
      <c r="C195" s="465"/>
      <c r="D195" s="177">
        <v>-21980</v>
      </c>
      <c r="E195" s="465"/>
      <c r="F195" s="465"/>
      <c r="G195" s="465"/>
      <c r="H195" s="465"/>
      <c r="I195" s="465"/>
      <c r="J195" s="465"/>
      <c r="K195" s="465"/>
      <c r="L195" s="465"/>
      <c r="M195" s="465"/>
      <c r="N195" s="465"/>
      <c r="O195" s="465"/>
      <c r="P195" s="465"/>
      <c r="Q195" s="177"/>
      <c r="R195" s="465"/>
      <c r="S195" s="1"/>
    </row>
    <row r="196" spans="1:19" ht="15" x14ac:dyDescent="0.3">
      <c r="A196" s="461"/>
      <c r="B196" s="465"/>
      <c r="C196" s="465"/>
      <c r="D196" s="177">
        <v>62240</v>
      </c>
      <c r="E196" s="465"/>
      <c r="F196" s="465"/>
      <c r="G196" s="465"/>
      <c r="H196" s="465"/>
      <c r="I196" s="465"/>
      <c r="J196" s="465"/>
      <c r="K196" s="465"/>
      <c r="L196" s="465"/>
      <c r="M196" s="465"/>
      <c r="N196" s="465"/>
      <c r="O196" s="465"/>
      <c r="P196" s="465"/>
      <c r="Q196" s="177"/>
      <c r="R196" s="465"/>
      <c r="S196" s="1"/>
    </row>
    <row r="197" spans="1:19" ht="15" x14ac:dyDescent="0.3">
      <c r="A197" s="461">
        <v>63</v>
      </c>
      <c r="B197" s="465">
        <v>10</v>
      </c>
      <c r="C197" s="465" t="s">
        <v>473</v>
      </c>
      <c r="D197" s="177">
        <v>23973</v>
      </c>
      <c r="E197" s="465">
        <v>1</v>
      </c>
      <c r="F197" s="465" t="s">
        <v>481</v>
      </c>
      <c r="G197" s="465">
        <v>400</v>
      </c>
      <c r="H197" s="465">
        <v>400</v>
      </c>
      <c r="I197" s="465" t="s">
        <v>55</v>
      </c>
      <c r="J197" s="465" t="s">
        <v>13</v>
      </c>
      <c r="K197" s="465" t="s">
        <v>13</v>
      </c>
      <c r="L197" s="465" t="s">
        <v>13</v>
      </c>
      <c r="M197" s="465">
        <v>75.5</v>
      </c>
      <c r="N197" s="465" t="s">
        <v>14</v>
      </c>
      <c r="O197" s="465" t="s">
        <v>487</v>
      </c>
      <c r="P197" s="465" t="s">
        <v>16</v>
      </c>
      <c r="Q197" s="177"/>
      <c r="R197" s="465" t="s">
        <v>488</v>
      </c>
      <c r="S197" s="1"/>
    </row>
    <row r="198" spans="1:19" ht="15" x14ac:dyDescent="0.3">
      <c r="A198" s="461"/>
      <c r="B198" s="465"/>
      <c r="C198" s="465"/>
      <c r="D198" s="177">
        <v>11092</v>
      </c>
      <c r="E198" s="465"/>
      <c r="F198" s="465"/>
      <c r="G198" s="465"/>
      <c r="H198" s="465"/>
      <c r="I198" s="465"/>
      <c r="J198" s="465"/>
      <c r="K198" s="465"/>
      <c r="L198" s="465"/>
      <c r="M198" s="465"/>
      <c r="N198" s="465"/>
      <c r="O198" s="465"/>
      <c r="P198" s="465"/>
      <c r="Q198" s="177"/>
      <c r="R198" s="465"/>
      <c r="S198" s="1"/>
    </row>
    <row r="199" spans="1:19" ht="15" x14ac:dyDescent="0.3">
      <c r="A199" s="461"/>
      <c r="B199" s="465"/>
      <c r="C199" s="465"/>
      <c r="D199" s="177">
        <v>62540</v>
      </c>
      <c r="E199" s="465"/>
      <c r="F199" s="465"/>
      <c r="G199" s="465"/>
      <c r="H199" s="465"/>
      <c r="I199" s="465"/>
      <c r="J199" s="465"/>
      <c r="K199" s="465"/>
      <c r="L199" s="465"/>
      <c r="M199" s="465"/>
      <c r="N199" s="465"/>
      <c r="O199" s="465"/>
      <c r="P199" s="465"/>
      <c r="Q199" s="177"/>
      <c r="R199" s="465"/>
      <c r="S199" s="1"/>
    </row>
    <row r="200" spans="1:19" ht="16.5" customHeight="1" x14ac:dyDescent="0.3">
      <c r="A200" s="462" t="s">
        <v>490</v>
      </c>
      <c r="B200" s="462"/>
      <c r="C200" s="462"/>
      <c r="D200" s="462"/>
      <c r="E200" s="462"/>
      <c r="F200" s="462"/>
      <c r="G200" s="462"/>
      <c r="H200" s="462"/>
      <c r="I200" s="462"/>
      <c r="J200" s="462"/>
      <c r="K200" s="462"/>
      <c r="L200" s="462"/>
      <c r="M200" s="462"/>
      <c r="N200" s="462"/>
      <c r="O200" s="462"/>
      <c r="P200" s="462"/>
      <c r="Q200" s="462"/>
      <c r="R200" s="462"/>
      <c r="S200" s="1"/>
    </row>
    <row r="201" spans="1:19" x14ac:dyDescent="0.3">
      <c r="A201" s="461">
        <v>64</v>
      </c>
      <c r="B201" s="466">
        <v>11</v>
      </c>
      <c r="C201" s="466" t="s">
        <v>473</v>
      </c>
      <c r="D201" s="175">
        <v>-11448</v>
      </c>
      <c r="E201" s="466">
        <v>1</v>
      </c>
      <c r="F201" s="466" t="s">
        <v>491</v>
      </c>
      <c r="G201" s="466">
        <v>500</v>
      </c>
      <c r="H201" s="466">
        <v>400</v>
      </c>
      <c r="I201" s="466" t="s">
        <v>25</v>
      </c>
      <c r="J201" s="466" t="s">
        <v>13</v>
      </c>
      <c r="K201" s="466" t="s">
        <v>13</v>
      </c>
      <c r="L201" s="466" t="s">
        <v>13</v>
      </c>
      <c r="M201" s="466">
        <v>19.5</v>
      </c>
      <c r="N201" s="465" t="s">
        <v>14</v>
      </c>
      <c r="O201" s="467" t="s">
        <v>492</v>
      </c>
      <c r="P201" s="466" t="s">
        <v>16</v>
      </c>
      <c r="Q201" s="175"/>
      <c r="R201" s="466" t="s">
        <v>493</v>
      </c>
      <c r="S201" s="1"/>
    </row>
    <row r="202" spans="1:19" x14ac:dyDescent="0.3">
      <c r="A202" s="461"/>
      <c r="B202" s="466"/>
      <c r="C202" s="466"/>
      <c r="D202" s="175">
        <v>-23377</v>
      </c>
      <c r="E202" s="466"/>
      <c r="F202" s="466"/>
      <c r="G202" s="466"/>
      <c r="H202" s="466"/>
      <c r="I202" s="466"/>
      <c r="J202" s="466"/>
      <c r="K202" s="466"/>
      <c r="L202" s="466"/>
      <c r="M202" s="466"/>
      <c r="N202" s="465"/>
      <c r="O202" s="467"/>
      <c r="P202" s="466"/>
      <c r="Q202" s="175"/>
      <c r="R202" s="466"/>
      <c r="S202" s="1"/>
    </row>
    <row r="203" spans="1:19" x14ac:dyDescent="0.3">
      <c r="A203" s="461"/>
      <c r="B203" s="466"/>
      <c r="C203" s="466"/>
      <c r="D203" s="175">
        <v>62850</v>
      </c>
      <c r="E203" s="466"/>
      <c r="F203" s="466"/>
      <c r="G203" s="466"/>
      <c r="H203" s="466"/>
      <c r="I203" s="466"/>
      <c r="J203" s="466"/>
      <c r="K203" s="466"/>
      <c r="L203" s="466"/>
      <c r="M203" s="466"/>
      <c r="N203" s="465"/>
      <c r="O203" s="467"/>
      <c r="P203" s="466"/>
      <c r="Q203" s="175"/>
      <c r="R203" s="466"/>
      <c r="S203" s="1"/>
    </row>
    <row r="204" spans="1:19" x14ac:dyDescent="0.3">
      <c r="A204" s="461">
        <v>65</v>
      </c>
      <c r="B204" s="466">
        <v>12</v>
      </c>
      <c r="C204" s="466" t="s">
        <v>473</v>
      </c>
      <c r="D204" s="175">
        <v>4061</v>
      </c>
      <c r="E204" s="466">
        <v>1</v>
      </c>
      <c r="F204" s="466" t="s">
        <v>491</v>
      </c>
      <c r="G204" s="466">
        <v>500</v>
      </c>
      <c r="H204" s="466">
        <v>400</v>
      </c>
      <c r="I204" s="466" t="s">
        <v>25</v>
      </c>
      <c r="J204" s="466" t="s">
        <v>13</v>
      </c>
      <c r="K204" s="466" t="s">
        <v>13</v>
      </c>
      <c r="L204" s="466" t="s">
        <v>13</v>
      </c>
      <c r="M204" s="466">
        <v>19.5</v>
      </c>
      <c r="N204" s="465" t="s">
        <v>14</v>
      </c>
      <c r="O204" s="467" t="s">
        <v>492</v>
      </c>
      <c r="P204" s="466" t="s">
        <v>16</v>
      </c>
      <c r="Q204" s="175"/>
      <c r="R204" s="466" t="s">
        <v>493</v>
      </c>
      <c r="S204" s="1"/>
    </row>
    <row r="205" spans="1:19" x14ac:dyDescent="0.3">
      <c r="A205" s="461"/>
      <c r="B205" s="466"/>
      <c r="C205" s="466"/>
      <c r="D205" s="175">
        <v>-25706</v>
      </c>
      <c r="E205" s="466"/>
      <c r="F205" s="466"/>
      <c r="G205" s="466"/>
      <c r="H205" s="466"/>
      <c r="I205" s="466"/>
      <c r="J205" s="466"/>
      <c r="K205" s="466"/>
      <c r="L205" s="466"/>
      <c r="M205" s="466"/>
      <c r="N205" s="465"/>
      <c r="O205" s="467"/>
      <c r="P205" s="466"/>
      <c r="Q205" s="175"/>
      <c r="R205" s="466"/>
      <c r="S205" s="1"/>
    </row>
    <row r="206" spans="1:19" ht="16.5" customHeight="1" x14ac:dyDescent="0.3">
      <c r="A206" s="461"/>
      <c r="B206" s="466"/>
      <c r="C206" s="466"/>
      <c r="D206" s="175">
        <v>62850</v>
      </c>
      <c r="E206" s="466"/>
      <c r="F206" s="466"/>
      <c r="G206" s="466"/>
      <c r="H206" s="466"/>
      <c r="I206" s="466"/>
      <c r="J206" s="466"/>
      <c r="K206" s="466"/>
      <c r="L206" s="466"/>
      <c r="M206" s="466"/>
      <c r="N206" s="465"/>
      <c r="O206" s="467"/>
      <c r="P206" s="466"/>
      <c r="Q206" s="175"/>
      <c r="R206" s="466"/>
      <c r="S206" s="1"/>
    </row>
    <row r="207" spans="1:19" x14ac:dyDescent="0.3">
      <c r="A207" s="461">
        <v>66</v>
      </c>
      <c r="B207" s="466">
        <v>13</v>
      </c>
      <c r="C207" s="466" t="s">
        <v>473</v>
      </c>
      <c r="D207" s="175">
        <v>-8404</v>
      </c>
      <c r="E207" s="466">
        <v>1</v>
      </c>
      <c r="F207" s="466" t="s">
        <v>491</v>
      </c>
      <c r="G207" s="466">
        <v>500</v>
      </c>
      <c r="H207" s="466">
        <v>400</v>
      </c>
      <c r="I207" s="466" t="s">
        <v>25</v>
      </c>
      <c r="J207" s="466" t="s">
        <v>13</v>
      </c>
      <c r="K207" s="466" t="s">
        <v>13</v>
      </c>
      <c r="L207" s="466" t="s">
        <v>13</v>
      </c>
      <c r="M207" s="466">
        <v>19.5</v>
      </c>
      <c r="N207" s="465" t="s">
        <v>14</v>
      </c>
      <c r="O207" s="467" t="s">
        <v>494</v>
      </c>
      <c r="P207" s="466" t="s">
        <v>16</v>
      </c>
      <c r="Q207" s="175"/>
      <c r="R207" s="466" t="s">
        <v>493</v>
      </c>
      <c r="S207" s="1"/>
    </row>
    <row r="208" spans="1:19" x14ac:dyDescent="0.3">
      <c r="A208" s="461"/>
      <c r="B208" s="466"/>
      <c r="C208" s="466"/>
      <c r="D208" s="175">
        <v>24575</v>
      </c>
      <c r="E208" s="466"/>
      <c r="F208" s="466"/>
      <c r="G208" s="466"/>
      <c r="H208" s="466"/>
      <c r="I208" s="466"/>
      <c r="J208" s="466"/>
      <c r="K208" s="466"/>
      <c r="L208" s="466"/>
      <c r="M208" s="466"/>
      <c r="N208" s="465"/>
      <c r="O208" s="467"/>
      <c r="P208" s="466"/>
      <c r="Q208" s="175"/>
      <c r="R208" s="466"/>
      <c r="S208" s="1"/>
    </row>
    <row r="209" spans="1:19" x14ac:dyDescent="0.3">
      <c r="A209" s="461"/>
      <c r="B209" s="466"/>
      <c r="C209" s="466"/>
      <c r="D209" s="175">
        <v>62850</v>
      </c>
      <c r="E209" s="466"/>
      <c r="F209" s="466"/>
      <c r="G209" s="466"/>
      <c r="H209" s="466"/>
      <c r="I209" s="466"/>
      <c r="J209" s="466"/>
      <c r="K209" s="466"/>
      <c r="L209" s="466"/>
      <c r="M209" s="466"/>
      <c r="N209" s="465"/>
      <c r="O209" s="467"/>
      <c r="P209" s="466"/>
      <c r="Q209" s="175"/>
      <c r="R209" s="466"/>
      <c r="S209" s="1"/>
    </row>
    <row r="210" spans="1:19" x14ac:dyDescent="0.3">
      <c r="A210" s="461">
        <v>67</v>
      </c>
      <c r="B210" s="466">
        <v>14</v>
      </c>
      <c r="C210" s="466" t="s">
        <v>473</v>
      </c>
      <c r="D210" s="175">
        <v>16139</v>
      </c>
      <c r="E210" s="466">
        <v>1</v>
      </c>
      <c r="F210" s="466" t="s">
        <v>491</v>
      </c>
      <c r="G210" s="466">
        <v>500</v>
      </c>
      <c r="H210" s="466">
        <v>400</v>
      </c>
      <c r="I210" s="466" t="s">
        <v>25</v>
      </c>
      <c r="J210" s="466" t="s">
        <v>13</v>
      </c>
      <c r="K210" s="466" t="s">
        <v>13</v>
      </c>
      <c r="L210" s="466" t="s">
        <v>13</v>
      </c>
      <c r="M210" s="466">
        <v>19.5</v>
      </c>
      <c r="N210" s="465" t="s">
        <v>14</v>
      </c>
      <c r="O210" s="467" t="s">
        <v>494</v>
      </c>
      <c r="P210" s="466" t="s">
        <v>16</v>
      </c>
      <c r="Q210" s="175"/>
      <c r="R210" s="466" t="s">
        <v>493</v>
      </c>
      <c r="S210" s="1"/>
    </row>
    <row r="211" spans="1:19" x14ac:dyDescent="0.3">
      <c r="A211" s="461"/>
      <c r="B211" s="466"/>
      <c r="C211" s="466"/>
      <c r="D211" s="175">
        <v>20335</v>
      </c>
      <c r="E211" s="466"/>
      <c r="F211" s="466"/>
      <c r="G211" s="466"/>
      <c r="H211" s="466"/>
      <c r="I211" s="466"/>
      <c r="J211" s="466"/>
      <c r="K211" s="466"/>
      <c r="L211" s="466"/>
      <c r="M211" s="466"/>
      <c r="N211" s="465"/>
      <c r="O211" s="467"/>
      <c r="P211" s="466"/>
      <c r="Q211" s="175"/>
      <c r="R211" s="466"/>
      <c r="S211" s="1"/>
    </row>
    <row r="212" spans="1:19" x14ac:dyDescent="0.3">
      <c r="A212" s="461"/>
      <c r="B212" s="466"/>
      <c r="C212" s="466"/>
      <c r="D212" s="175">
        <v>62850</v>
      </c>
      <c r="E212" s="466"/>
      <c r="F212" s="466"/>
      <c r="G212" s="466"/>
      <c r="H212" s="466"/>
      <c r="I212" s="466"/>
      <c r="J212" s="466"/>
      <c r="K212" s="466"/>
      <c r="L212" s="466"/>
      <c r="M212" s="466"/>
      <c r="N212" s="465"/>
      <c r="O212" s="467"/>
      <c r="P212" s="466"/>
      <c r="Q212" s="175"/>
      <c r="R212" s="466"/>
      <c r="S212" s="1"/>
    </row>
    <row r="213" spans="1:19" x14ac:dyDescent="0.3">
      <c r="S213" s="1"/>
    </row>
    <row r="214" spans="1:19" x14ac:dyDescent="0.3">
      <c r="S214" s="1"/>
    </row>
    <row r="215" spans="1:19" x14ac:dyDescent="0.3">
      <c r="S215" s="1"/>
    </row>
    <row r="216" spans="1:19" x14ac:dyDescent="0.3">
      <c r="S216" s="1"/>
    </row>
    <row r="217" spans="1:19" x14ac:dyDescent="0.3">
      <c r="S217" s="1"/>
    </row>
    <row r="218" spans="1:19" x14ac:dyDescent="0.3">
      <c r="S218" s="1"/>
    </row>
    <row r="219" spans="1:19" x14ac:dyDescent="0.3">
      <c r="S219" s="1"/>
    </row>
    <row r="220" spans="1:19" x14ac:dyDescent="0.3">
      <c r="S220" s="1"/>
    </row>
    <row r="221" spans="1:19" x14ac:dyDescent="0.3">
      <c r="S221" s="1"/>
    </row>
    <row r="222" spans="1:19" x14ac:dyDescent="0.3">
      <c r="S222" s="1"/>
    </row>
    <row r="223" spans="1:19" x14ac:dyDescent="0.3">
      <c r="S223" s="1"/>
    </row>
    <row r="224" spans="1:19" x14ac:dyDescent="0.3">
      <c r="S224" s="1"/>
    </row>
    <row r="225" spans="19:19" x14ac:dyDescent="0.3">
      <c r="S225" s="1"/>
    </row>
    <row r="226" spans="19:19" x14ac:dyDescent="0.3">
      <c r="S226" s="1"/>
    </row>
    <row r="227" spans="19:19" x14ac:dyDescent="0.3">
      <c r="S227" s="1"/>
    </row>
    <row r="228" spans="19:19" x14ac:dyDescent="0.3">
      <c r="S228" s="1"/>
    </row>
    <row r="229" spans="19:19" x14ac:dyDescent="0.3">
      <c r="S229" s="1"/>
    </row>
    <row r="230" spans="19:19" x14ac:dyDescent="0.3">
      <c r="S230" s="1"/>
    </row>
    <row r="231" spans="19:19" x14ac:dyDescent="0.3">
      <c r="S231" s="1"/>
    </row>
    <row r="232" spans="19:19" x14ac:dyDescent="0.3">
      <c r="S232" s="1"/>
    </row>
    <row r="233" spans="19:19" x14ac:dyDescent="0.3">
      <c r="S233" s="1"/>
    </row>
    <row r="234" spans="19:19" x14ac:dyDescent="0.3">
      <c r="S234" s="1"/>
    </row>
    <row r="235" spans="19:19" x14ac:dyDescent="0.3">
      <c r="S235" s="1"/>
    </row>
    <row r="236" spans="19:19" x14ac:dyDescent="0.3">
      <c r="S236" s="1"/>
    </row>
    <row r="237" spans="19:19" x14ac:dyDescent="0.3">
      <c r="S237" s="1"/>
    </row>
    <row r="238" spans="19:19" x14ac:dyDescent="0.3">
      <c r="S238" s="1"/>
    </row>
    <row r="239" spans="19:19" x14ac:dyDescent="0.3">
      <c r="S239" s="1"/>
    </row>
    <row r="240" spans="19:19" x14ac:dyDescent="0.3">
      <c r="S240" s="1"/>
    </row>
    <row r="241" spans="19:19" x14ac:dyDescent="0.3">
      <c r="S241" s="1"/>
    </row>
    <row r="242" spans="19:19" x14ac:dyDescent="0.3">
      <c r="S242" s="1"/>
    </row>
    <row r="243" spans="19:19" x14ac:dyDescent="0.3">
      <c r="S243" s="1"/>
    </row>
    <row r="244" spans="19:19" x14ac:dyDescent="0.3">
      <c r="S244" s="1"/>
    </row>
    <row r="245" spans="19:19" x14ac:dyDescent="0.3">
      <c r="S245" s="1"/>
    </row>
    <row r="246" spans="19:19" x14ac:dyDescent="0.3">
      <c r="S246" s="1"/>
    </row>
    <row r="247" spans="19:19" x14ac:dyDescent="0.3">
      <c r="S247" s="1"/>
    </row>
    <row r="248" spans="19:19" x14ac:dyDescent="0.3">
      <c r="S248" s="1"/>
    </row>
    <row r="249" spans="19:19" x14ac:dyDescent="0.3">
      <c r="S249" s="1"/>
    </row>
    <row r="250" spans="19:19" x14ac:dyDescent="0.3">
      <c r="S250" s="1"/>
    </row>
    <row r="251" spans="19:19" x14ac:dyDescent="0.3">
      <c r="S251" s="1"/>
    </row>
    <row r="252" spans="19:19" x14ac:dyDescent="0.3">
      <c r="S252" s="1"/>
    </row>
    <row r="253" spans="19:19" x14ac:dyDescent="0.3">
      <c r="S253" s="1"/>
    </row>
    <row r="254" spans="19:19" x14ac:dyDescent="0.3">
      <c r="S254" s="1"/>
    </row>
    <row r="255" spans="19:19" x14ac:dyDescent="0.3">
      <c r="S255" s="1"/>
    </row>
    <row r="256" spans="19:19" x14ac:dyDescent="0.3">
      <c r="S256" s="1"/>
    </row>
    <row r="257" spans="19:19" x14ac:dyDescent="0.3">
      <c r="S257" s="1"/>
    </row>
    <row r="258" spans="19:19" x14ac:dyDescent="0.3">
      <c r="S258" s="1"/>
    </row>
    <row r="259" spans="19:19" x14ac:dyDescent="0.3">
      <c r="S259" s="1"/>
    </row>
    <row r="260" spans="19:19" x14ac:dyDescent="0.3">
      <c r="S260" s="1"/>
    </row>
    <row r="261" spans="19:19" x14ac:dyDescent="0.3">
      <c r="S261" s="1"/>
    </row>
    <row r="262" spans="19:19" x14ac:dyDescent="0.3">
      <c r="S262" s="1"/>
    </row>
    <row r="263" spans="19:19" x14ac:dyDescent="0.3">
      <c r="S263" s="1"/>
    </row>
    <row r="264" spans="19:19" x14ac:dyDescent="0.3">
      <c r="S264" s="1"/>
    </row>
    <row r="265" spans="19:19" x14ac:dyDescent="0.3">
      <c r="S265" s="1"/>
    </row>
    <row r="266" spans="19:19" x14ac:dyDescent="0.3">
      <c r="S266" s="1"/>
    </row>
    <row r="267" spans="19:19" x14ac:dyDescent="0.3">
      <c r="S267" s="1"/>
    </row>
    <row r="268" spans="19:19" x14ac:dyDescent="0.3">
      <c r="S268" s="1"/>
    </row>
    <row r="269" spans="19:19" x14ac:dyDescent="0.3">
      <c r="S269" s="1"/>
    </row>
    <row r="270" spans="19:19" x14ac:dyDescent="0.3">
      <c r="S270" s="1"/>
    </row>
    <row r="271" spans="19:19" x14ac:dyDescent="0.3">
      <c r="S271" s="1"/>
    </row>
    <row r="272" spans="19:19" x14ac:dyDescent="0.3">
      <c r="S272" s="1"/>
    </row>
    <row r="273" spans="19:19" x14ac:dyDescent="0.3">
      <c r="S273" s="1"/>
    </row>
    <row r="274" spans="19:19" x14ac:dyDescent="0.3">
      <c r="S274" s="1"/>
    </row>
    <row r="275" spans="19:19" x14ac:dyDescent="0.3">
      <c r="S275" s="1"/>
    </row>
    <row r="276" spans="19:19" x14ac:dyDescent="0.3">
      <c r="S276" s="1"/>
    </row>
    <row r="277" spans="19:19" x14ac:dyDescent="0.3">
      <c r="S277" s="1"/>
    </row>
    <row r="278" spans="19:19" x14ac:dyDescent="0.3">
      <c r="S278" s="1"/>
    </row>
    <row r="279" spans="19:19" x14ac:dyDescent="0.3">
      <c r="S279" s="1"/>
    </row>
    <row r="280" spans="19:19" x14ac:dyDescent="0.3">
      <c r="S280" s="1"/>
    </row>
    <row r="281" spans="19:19" x14ac:dyDescent="0.3">
      <c r="S281" s="1"/>
    </row>
    <row r="282" spans="19:19" x14ac:dyDescent="0.3">
      <c r="S282" s="1"/>
    </row>
    <row r="283" spans="19:19" x14ac:dyDescent="0.3">
      <c r="S283" s="1"/>
    </row>
    <row r="284" spans="19:19" x14ac:dyDescent="0.3">
      <c r="S284" s="1"/>
    </row>
    <row r="285" spans="19:19" x14ac:dyDescent="0.3">
      <c r="S285" s="1"/>
    </row>
    <row r="286" spans="19:19" x14ac:dyDescent="0.3">
      <c r="S286" s="1"/>
    </row>
    <row r="287" spans="19:19" x14ac:dyDescent="0.3">
      <c r="S287" s="1"/>
    </row>
    <row r="288" spans="19:19" x14ac:dyDescent="0.3">
      <c r="S288" s="1"/>
    </row>
    <row r="289" spans="19:19" x14ac:dyDescent="0.3">
      <c r="S289" s="1"/>
    </row>
    <row r="290" spans="19:19" x14ac:dyDescent="0.3">
      <c r="S290" s="1"/>
    </row>
    <row r="291" spans="19:19" x14ac:dyDescent="0.3">
      <c r="S291" s="1"/>
    </row>
    <row r="292" spans="19:19" x14ac:dyDescent="0.3">
      <c r="S292" s="1"/>
    </row>
    <row r="293" spans="19:19" x14ac:dyDescent="0.3">
      <c r="S293" s="1"/>
    </row>
    <row r="294" spans="19:19" x14ac:dyDescent="0.3">
      <c r="S294" s="1"/>
    </row>
    <row r="295" spans="19:19" x14ac:dyDescent="0.3">
      <c r="S295" s="1"/>
    </row>
    <row r="296" spans="19:19" x14ac:dyDescent="0.3">
      <c r="S296" s="1"/>
    </row>
    <row r="297" spans="19:19" x14ac:dyDescent="0.3">
      <c r="S297" s="1"/>
    </row>
    <row r="298" spans="19:19" x14ac:dyDescent="0.3">
      <c r="S298" s="1"/>
    </row>
    <row r="299" spans="19:19" x14ac:dyDescent="0.3">
      <c r="S299" s="1"/>
    </row>
    <row r="300" spans="19:19" x14ac:dyDescent="0.3">
      <c r="S300" s="1"/>
    </row>
    <row r="301" spans="19:19" x14ac:dyDescent="0.3">
      <c r="S301" s="1"/>
    </row>
    <row r="302" spans="19:19" x14ac:dyDescent="0.3">
      <c r="S302" s="1"/>
    </row>
    <row r="303" spans="19:19" x14ac:dyDescent="0.3">
      <c r="S303" s="1"/>
    </row>
    <row r="304" spans="19:19" x14ac:dyDescent="0.3">
      <c r="S304" s="1"/>
    </row>
    <row r="305" spans="19:19" x14ac:dyDescent="0.3">
      <c r="S305" s="1"/>
    </row>
    <row r="306" spans="19:19" x14ac:dyDescent="0.3">
      <c r="S306" s="1"/>
    </row>
    <row r="307" spans="19:19" x14ac:dyDescent="0.3">
      <c r="S307" s="1"/>
    </row>
    <row r="308" spans="19:19" x14ac:dyDescent="0.3">
      <c r="S308" s="1"/>
    </row>
    <row r="309" spans="19:19" x14ac:dyDescent="0.3">
      <c r="S309" s="1"/>
    </row>
    <row r="310" spans="19:19" x14ac:dyDescent="0.3">
      <c r="S310" s="1"/>
    </row>
    <row r="311" spans="19:19" x14ac:dyDescent="0.3">
      <c r="S311" s="1"/>
    </row>
    <row r="312" spans="19:19" x14ac:dyDescent="0.3">
      <c r="S312" s="1"/>
    </row>
    <row r="313" spans="19:19" x14ac:dyDescent="0.3">
      <c r="S313" s="1"/>
    </row>
    <row r="314" spans="19:19" x14ac:dyDescent="0.3">
      <c r="S314" s="1"/>
    </row>
    <row r="315" spans="19:19" x14ac:dyDescent="0.3">
      <c r="S315" s="1"/>
    </row>
    <row r="316" spans="19:19" x14ac:dyDescent="0.3">
      <c r="S316" s="1"/>
    </row>
    <row r="317" spans="19:19" x14ac:dyDescent="0.3">
      <c r="S317" s="1"/>
    </row>
    <row r="318" spans="19:19" x14ac:dyDescent="0.3">
      <c r="S318" s="1"/>
    </row>
    <row r="319" spans="19:19" x14ac:dyDescent="0.3">
      <c r="S319" s="1"/>
    </row>
    <row r="320" spans="19:19" x14ac:dyDescent="0.3">
      <c r="S320" s="1"/>
    </row>
    <row r="321" spans="19:19" x14ac:dyDescent="0.3">
      <c r="S321" s="1"/>
    </row>
    <row r="322" spans="19:19" x14ac:dyDescent="0.3">
      <c r="S322" s="1"/>
    </row>
    <row r="323" spans="19:19" x14ac:dyDescent="0.3">
      <c r="S323" s="1"/>
    </row>
    <row r="324" spans="19:19" x14ac:dyDescent="0.3">
      <c r="S324" s="1"/>
    </row>
    <row r="325" spans="19:19" x14ac:dyDescent="0.3">
      <c r="S325" s="1"/>
    </row>
    <row r="326" spans="19:19" x14ac:dyDescent="0.3">
      <c r="S326" s="1"/>
    </row>
    <row r="327" spans="19:19" x14ac:dyDescent="0.3">
      <c r="S327" s="1"/>
    </row>
    <row r="328" spans="19:19" x14ac:dyDescent="0.3">
      <c r="S328" s="1"/>
    </row>
    <row r="329" spans="19:19" x14ac:dyDescent="0.3">
      <c r="S329" s="1"/>
    </row>
    <row r="330" spans="19:19" x14ac:dyDescent="0.3">
      <c r="S330" s="1"/>
    </row>
    <row r="331" spans="19:19" x14ac:dyDescent="0.3">
      <c r="S331" s="1"/>
    </row>
    <row r="332" spans="19:19" x14ac:dyDescent="0.3">
      <c r="S332" s="1"/>
    </row>
    <row r="333" spans="19:19" x14ac:dyDescent="0.3">
      <c r="S333" s="1"/>
    </row>
    <row r="334" spans="19:19" x14ac:dyDescent="0.3">
      <c r="S334" s="1"/>
    </row>
    <row r="335" spans="19:19" x14ac:dyDescent="0.3">
      <c r="S335" s="1"/>
    </row>
    <row r="336" spans="19:19" x14ac:dyDescent="0.3">
      <c r="S336" s="1"/>
    </row>
    <row r="337" spans="19:19" x14ac:dyDescent="0.3">
      <c r="S337" s="1"/>
    </row>
    <row r="338" spans="19:19" x14ac:dyDescent="0.3">
      <c r="S338" s="1"/>
    </row>
    <row r="339" spans="19:19" x14ac:dyDescent="0.3">
      <c r="S339" s="1"/>
    </row>
    <row r="340" spans="19:19" x14ac:dyDescent="0.3">
      <c r="S340" s="1"/>
    </row>
    <row r="341" spans="19:19" x14ac:dyDescent="0.3">
      <c r="S341" s="1"/>
    </row>
    <row r="342" spans="19:19" x14ac:dyDescent="0.3">
      <c r="S342" s="1"/>
    </row>
    <row r="343" spans="19:19" x14ac:dyDescent="0.3">
      <c r="S343" s="12"/>
    </row>
    <row r="344" spans="19:19" x14ac:dyDescent="0.3">
      <c r="S344" s="452"/>
    </row>
    <row r="345" spans="19:19" x14ac:dyDescent="0.3">
      <c r="S345" s="452"/>
    </row>
    <row r="346" spans="19:19" x14ac:dyDescent="0.3">
      <c r="S346" s="452"/>
    </row>
    <row r="347" spans="19:19" x14ac:dyDescent="0.3">
      <c r="S347" s="452"/>
    </row>
    <row r="348" spans="19:19" x14ac:dyDescent="0.3">
      <c r="S348" s="452"/>
    </row>
    <row r="349" spans="19:19" x14ac:dyDescent="0.3">
      <c r="S349" s="452"/>
    </row>
    <row r="350" spans="19:19" x14ac:dyDescent="0.3">
      <c r="S350" s="452"/>
    </row>
    <row r="351" spans="19:19" x14ac:dyDescent="0.3">
      <c r="S351" s="452"/>
    </row>
    <row r="352" spans="19:19" x14ac:dyDescent="0.3">
      <c r="S352" s="452"/>
    </row>
    <row r="353" spans="19:19" x14ac:dyDescent="0.3">
      <c r="S353" s="452"/>
    </row>
    <row r="354" spans="19:19" x14ac:dyDescent="0.3">
      <c r="S354" s="452"/>
    </row>
    <row r="355" spans="19:19" x14ac:dyDescent="0.3">
      <c r="S355" s="452"/>
    </row>
    <row r="356" spans="19:19" x14ac:dyDescent="0.3">
      <c r="S356" s="452"/>
    </row>
    <row r="357" spans="19:19" x14ac:dyDescent="0.3">
      <c r="S357" s="452"/>
    </row>
    <row r="358" spans="19:19" x14ac:dyDescent="0.3">
      <c r="S358" s="452"/>
    </row>
    <row r="359" spans="19:19" x14ac:dyDescent="0.3">
      <c r="S359" s="452"/>
    </row>
    <row r="360" spans="19:19" x14ac:dyDescent="0.3">
      <c r="S360" s="452"/>
    </row>
    <row r="361" spans="19:19" x14ac:dyDescent="0.3">
      <c r="S361" s="452"/>
    </row>
    <row r="362" spans="19:19" x14ac:dyDescent="0.3">
      <c r="S362" s="14"/>
    </row>
    <row r="363" spans="19:19" x14ac:dyDescent="0.3">
      <c r="S363" s="14"/>
    </row>
    <row r="364" spans="19:19" x14ac:dyDescent="0.3">
      <c r="S364" s="14"/>
    </row>
    <row r="365" spans="19:19" x14ac:dyDescent="0.3">
      <c r="S365" s="14"/>
    </row>
    <row r="366" spans="19:19" x14ac:dyDescent="0.3">
      <c r="S366" s="14"/>
    </row>
    <row r="367" spans="19:19" x14ac:dyDescent="0.3">
      <c r="S367" s="14"/>
    </row>
    <row r="368" spans="19:19" x14ac:dyDescent="0.3">
      <c r="S368" s="14"/>
    </row>
    <row r="369" spans="19:19" x14ac:dyDescent="0.3">
      <c r="S369" s="14"/>
    </row>
    <row r="370" spans="19:19" x14ac:dyDescent="0.3">
      <c r="S370" s="14"/>
    </row>
    <row r="371" spans="19:19" x14ac:dyDescent="0.3">
      <c r="S371" s="14"/>
    </row>
    <row r="372" spans="19:19" x14ac:dyDescent="0.3">
      <c r="S372" s="14"/>
    </row>
    <row r="373" spans="19:19" x14ac:dyDescent="0.3">
      <c r="S373" s="14"/>
    </row>
  </sheetData>
  <mergeCells count="1087">
    <mergeCell ref="S347:S349"/>
    <mergeCell ref="S344:S346"/>
    <mergeCell ref="S353:S355"/>
    <mergeCell ref="S350:S352"/>
    <mergeCell ref="S359:S361"/>
    <mergeCell ref="S356:S358"/>
    <mergeCell ref="R210:R212"/>
    <mergeCell ref="K210:K212"/>
    <mergeCell ref="L210:L212"/>
    <mergeCell ref="M210:M212"/>
    <mergeCell ref="N210:N212"/>
    <mergeCell ref="O210:O212"/>
    <mergeCell ref="P210:P212"/>
    <mergeCell ref="P207:P209"/>
    <mergeCell ref="R207:R209"/>
    <mergeCell ref="B210:B212"/>
    <mergeCell ref="C210:C212"/>
    <mergeCell ref="E210:E212"/>
    <mergeCell ref="F210:F212"/>
    <mergeCell ref="G210:G212"/>
    <mergeCell ref="H210:H212"/>
    <mergeCell ref="I210:I212"/>
    <mergeCell ref="J210:J212"/>
    <mergeCell ref="J207:J209"/>
    <mergeCell ref="K207:K209"/>
    <mergeCell ref="L207:L209"/>
    <mergeCell ref="M207:M209"/>
    <mergeCell ref="N207:N209"/>
    <mergeCell ref="O207:O209"/>
    <mergeCell ref="O204:O206"/>
    <mergeCell ref="P204:P206"/>
    <mergeCell ref="R204:R206"/>
    <mergeCell ref="B207:B209"/>
    <mergeCell ref="C207:C209"/>
    <mergeCell ref="E207:E209"/>
    <mergeCell ref="F207:F209"/>
    <mergeCell ref="G207:G209"/>
    <mergeCell ref="H207:H209"/>
    <mergeCell ref="I207:I209"/>
    <mergeCell ref="I204:I206"/>
    <mergeCell ref="J204:J206"/>
    <mergeCell ref="K204:K206"/>
    <mergeCell ref="L204:L206"/>
    <mergeCell ref="M204:M206"/>
    <mergeCell ref="N204:N206"/>
    <mergeCell ref="B204:B206"/>
    <mergeCell ref="C204:C206"/>
    <mergeCell ref="E204:E206"/>
    <mergeCell ref="F204:F206"/>
    <mergeCell ref="G204:G206"/>
    <mergeCell ref="H204:H206"/>
    <mergeCell ref="L201:L203"/>
    <mergeCell ref="M201:M203"/>
    <mergeCell ref="N201:N203"/>
    <mergeCell ref="O201:O203"/>
    <mergeCell ref="P201:P203"/>
    <mergeCell ref="R201:R203"/>
    <mergeCell ref="B201:B203"/>
    <mergeCell ref="C201:C203"/>
    <mergeCell ref="E201:E203"/>
    <mergeCell ref="F201:F203"/>
    <mergeCell ref="G201:G203"/>
    <mergeCell ref="H201:H203"/>
    <mergeCell ref="I201:I203"/>
    <mergeCell ref="J201:J203"/>
    <mergeCell ref="K201:K203"/>
    <mergeCell ref="L197:L199"/>
    <mergeCell ref="M197:M199"/>
    <mergeCell ref="N197:N199"/>
    <mergeCell ref="O197:O199"/>
    <mergeCell ref="P197:P199"/>
    <mergeCell ref="R197:R199"/>
    <mergeCell ref="R194:R196"/>
    <mergeCell ref="B197:B199"/>
    <mergeCell ref="C197:C199"/>
    <mergeCell ref="E197:E199"/>
    <mergeCell ref="F197:F199"/>
    <mergeCell ref="G197:G199"/>
    <mergeCell ref="H197:H199"/>
    <mergeCell ref="I197:I199"/>
    <mergeCell ref="J197:J199"/>
    <mergeCell ref="K197:K199"/>
    <mergeCell ref="K194:K196"/>
    <mergeCell ref="L194:L196"/>
    <mergeCell ref="M194:M196"/>
    <mergeCell ref="N194:N196"/>
    <mergeCell ref="O194:O196"/>
    <mergeCell ref="P194:P196"/>
    <mergeCell ref="P191:P193"/>
    <mergeCell ref="R191:R193"/>
    <mergeCell ref="B194:B196"/>
    <mergeCell ref="C194:C196"/>
    <mergeCell ref="E194:E196"/>
    <mergeCell ref="F194:F196"/>
    <mergeCell ref="G194:G196"/>
    <mergeCell ref="H194:H196"/>
    <mergeCell ref="I194:I196"/>
    <mergeCell ref="J194:J196"/>
    <mergeCell ref="J191:J193"/>
    <mergeCell ref="K191:K193"/>
    <mergeCell ref="L191:L193"/>
    <mergeCell ref="M191:M193"/>
    <mergeCell ref="N191:N193"/>
    <mergeCell ref="O191:O193"/>
    <mergeCell ref="O188:O190"/>
    <mergeCell ref="P188:P190"/>
    <mergeCell ref="R188:R190"/>
    <mergeCell ref="B191:B193"/>
    <mergeCell ref="C191:C193"/>
    <mergeCell ref="E191:E193"/>
    <mergeCell ref="F191:F193"/>
    <mergeCell ref="G191:G193"/>
    <mergeCell ref="H191:H193"/>
    <mergeCell ref="I191:I193"/>
    <mergeCell ref="I188:I190"/>
    <mergeCell ref="J188:J190"/>
    <mergeCell ref="K188:K190"/>
    <mergeCell ref="L188:L190"/>
    <mergeCell ref="M188:M190"/>
    <mergeCell ref="N188:N190"/>
    <mergeCell ref="O184:O186"/>
    <mergeCell ref="P184:P186"/>
    <mergeCell ref="R184:R186"/>
    <mergeCell ref="B188:B190"/>
    <mergeCell ref="C188:C190"/>
    <mergeCell ref="E188:E190"/>
    <mergeCell ref="F188:F190"/>
    <mergeCell ref="G188:G190"/>
    <mergeCell ref="H188:H190"/>
    <mergeCell ref="I184:I186"/>
    <mergeCell ref="J184:J186"/>
    <mergeCell ref="K184:K186"/>
    <mergeCell ref="L184:L186"/>
    <mergeCell ref="M184:M186"/>
    <mergeCell ref="N184:N186"/>
    <mergeCell ref="B184:B186"/>
    <mergeCell ref="C184:C186"/>
    <mergeCell ref="E184:E186"/>
    <mergeCell ref="F184:F186"/>
    <mergeCell ref="G184:G186"/>
    <mergeCell ref="H184:H186"/>
    <mergeCell ref="L181:L183"/>
    <mergeCell ref="M181:M183"/>
    <mergeCell ref="N181:N183"/>
    <mergeCell ref="O181:O183"/>
    <mergeCell ref="P181:P183"/>
    <mergeCell ref="R181:R183"/>
    <mergeCell ref="B181:B183"/>
    <mergeCell ref="C181:C183"/>
    <mergeCell ref="E181:E183"/>
    <mergeCell ref="F181:F183"/>
    <mergeCell ref="G181:G183"/>
    <mergeCell ref="H181:H183"/>
    <mergeCell ref="I181:I183"/>
    <mergeCell ref="J181:J183"/>
    <mergeCell ref="K181:K183"/>
    <mergeCell ref="L177:L179"/>
    <mergeCell ref="M177:M179"/>
    <mergeCell ref="N177:N179"/>
    <mergeCell ref="O177:O179"/>
    <mergeCell ref="P177:P179"/>
    <mergeCell ref="R177:R179"/>
    <mergeCell ref="R174:R176"/>
    <mergeCell ref="B177:B179"/>
    <mergeCell ref="C177:C179"/>
    <mergeCell ref="E177:E179"/>
    <mergeCell ref="F177:F179"/>
    <mergeCell ref="G177:G179"/>
    <mergeCell ref="H177:H179"/>
    <mergeCell ref="I177:I179"/>
    <mergeCell ref="J177:J179"/>
    <mergeCell ref="K177:K179"/>
    <mergeCell ref="K174:K176"/>
    <mergeCell ref="L174:L176"/>
    <mergeCell ref="M174:M176"/>
    <mergeCell ref="N174:N176"/>
    <mergeCell ref="O174:O176"/>
    <mergeCell ref="P174:P176"/>
    <mergeCell ref="K171:K173"/>
    <mergeCell ref="L171:L173"/>
    <mergeCell ref="M171:M173"/>
    <mergeCell ref="N171:N173"/>
    <mergeCell ref="O171:O173"/>
    <mergeCell ref="O168:O170"/>
    <mergeCell ref="P168:P170"/>
    <mergeCell ref="R168:R170"/>
    <mergeCell ref="B171:B173"/>
    <mergeCell ref="C171:C173"/>
    <mergeCell ref="E171:E173"/>
    <mergeCell ref="F171:F173"/>
    <mergeCell ref="G171:G173"/>
    <mergeCell ref="H171:H173"/>
    <mergeCell ref="I171:I173"/>
    <mergeCell ref="I168:I170"/>
    <mergeCell ref="J168:J170"/>
    <mergeCell ref="K168:K170"/>
    <mergeCell ref="L168:L170"/>
    <mergeCell ref="M168:M170"/>
    <mergeCell ref="N168:N170"/>
    <mergeCell ref="A168:A170"/>
    <mergeCell ref="A174:A176"/>
    <mergeCell ref="A171:A173"/>
    <mergeCell ref="A181:A183"/>
    <mergeCell ref="A177:A179"/>
    <mergeCell ref="A184:A186"/>
    <mergeCell ref="A200:R200"/>
    <mergeCell ref="A210:A212"/>
    <mergeCell ref="A154:A156"/>
    <mergeCell ref="A160:A162"/>
    <mergeCell ref="A157:A159"/>
    <mergeCell ref="A163:A165"/>
    <mergeCell ref="A201:A203"/>
    <mergeCell ref="A207:A209"/>
    <mergeCell ref="A204:A206"/>
    <mergeCell ref="B168:B170"/>
    <mergeCell ref="C168:C170"/>
    <mergeCell ref="E168:E170"/>
    <mergeCell ref="F168:F170"/>
    <mergeCell ref="G168:G170"/>
    <mergeCell ref="H168:H170"/>
    <mergeCell ref="P171:P173"/>
    <mergeCell ref="R171:R173"/>
    <mergeCell ref="B174:B176"/>
    <mergeCell ref="C174:C176"/>
    <mergeCell ref="E174:E176"/>
    <mergeCell ref="F174:F176"/>
    <mergeCell ref="G174:G176"/>
    <mergeCell ref="H174:H176"/>
    <mergeCell ref="I174:I176"/>
    <mergeCell ref="J174:J176"/>
    <mergeCell ref="J171:J173"/>
    <mergeCell ref="R163:R165"/>
    <mergeCell ref="K163:K165"/>
    <mergeCell ref="L163:L165"/>
    <mergeCell ref="M163:M165"/>
    <mergeCell ref="N163:N165"/>
    <mergeCell ref="O163:O165"/>
    <mergeCell ref="P163:P165"/>
    <mergeCell ref="P160:P162"/>
    <mergeCell ref="R160:R162"/>
    <mergeCell ref="B163:B165"/>
    <mergeCell ref="C163:C165"/>
    <mergeCell ref="E163:E165"/>
    <mergeCell ref="F163:F165"/>
    <mergeCell ref="G163:G165"/>
    <mergeCell ref="H163:H165"/>
    <mergeCell ref="I163:I165"/>
    <mergeCell ref="J163:J165"/>
    <mergeCell ref="J160:J162"/>
    <mergeCell ref="K160:K162"/>
    <mergeCell ref="L160:L162"/>
    <mergeCell ref="M160:M162"/>
    <mergeCell ref="N160:N162"/>
    <mergeCell ref="O160:O162"/>
    <mergeCell ref="O157:O159"/>
    <mergeCell ref="P157:P159"/>
    <mergeCell ref="R157:R159"/>
    <mergeCell ref="B160:B162"/>
    <mergeCell ref="C160:C162"/>
    <mergeCell ref="E160:E162"/>
    <mergeCell ref="F160:F162"/>
    <mergeCell ref="G160:G162"/>
    <mergeCell ref="H160:H162"/>
    <mergeCell ref="I160:I162"/>
    <mergeCell ref="I157:I159"/>
    <mergeCell ref="J157:J159"/>
    <mergeCell ref="K157:K159"/>
    <mergeCell ref="L157:L159"/>
    <mergeCell ref="M157:M159"/>
    <mergeCell ref="N157:N159"/>
    <mergeCell ref="B157:B159"/>
    <mergeCell ref="C157:C159"/>
    <mergeCell ref="E157:E159"/>
    <mergeCell ref="F157:F159"/>
    <mergeCell ref="G157:G159"/>
    <mergeCell ref="H157:H159"/>
    <mergeCell ref="L154:L156"/>
    <mergeCell ref="M154:M156"/>
    <mergeCell ref="N154:N156"/>
    <mergeCell ref="O154:O156"/>
    <mergeCell ref="P154:P156"/>
    <mergeCell ref="R154:R156"/>
    <mergeCell ref="R151:R153"/>
    <mergeCell ref="B154:B156"/>
    <mergeCell ref="C154:C156"/>
    <mergeCell ref="E154:E156"/>
    <mergeCell ref="F154:F156"/>
    <mergeCell ref="G154:G156"/>
    <mergeCell ref="H154:H156"/>
    <mergeCell ref="I154:I156"/>
    <mergeCell ref="J154:J156"/>
    <mergeCell ref="K154:K156"/>
    <mergeCell ref="K151:K153"/>
    <mergeCell ref="L151:L153"/>
    <mergeCell ref="M151:M153"/>
    <mergeCell ref="N151:N153"/>
    <mergeCell ref="O151:O153"/>
    <mergeCell ref="P151:P153"/>
    <mergeCell ref="P148:P150"/>
    <mergeCell ref="R148:R150"/>
    <mergeCell ref="B151:B153"/>
    <mergeCell ref="C151:C153"/>
    <mergeCell ref="E151:E153"/>
    <mergeCell ref="F151:F153"/>
    <mergeCell ref="G151:G153"/>
    <mergeCell ref="H151:H153"/>
    <mergeCell ref="I151:I153"/>
    <mergeCell ref="J151:J153"/>
    <mergeCell ref="J148:J150"/>
    <mergeCell ref="K148:K150"/>
    <mergeCell ref="L148:L150"/>
    <mergeCell ref="M148:M150"/>
    <mergeCell ref="N148:N150"/>
    <mergeCell ref="O148:O150"/>
    <mergeCell ref="P144:P146"/>
    <mergeCell ref="R144:R146"/>
    <mergeCell ref="B148:B150"/>
    <mergeCell ref="C148:C150"/>
    <mergeCell ref="E148:E150"/>
    <mergeCell ref="F148:F150"/>
    <mergeCell ref="G148:G150"/>
    <mergeCell ref="H148:H150"/>
    <mergeCell ref="I148:I150"/>
    <mergeCell ref="J144:J146"/>
    <mergeCell ref="K144:K146"/>
    <mergeCell ref="L144:L146"/>
    <mergeCell ref="M144:M146"/>
    <mergeCell ref="N144:N146"/>
    <mergeCell ref="O144:O146"/>
    <mergeCell ref="O141:O143"/>
    <mergeCell ref="P141:P143"/>
    <mergeCell ref="R141:R143"/>
    <mergeCell ref="B144:B146"/>
    <mergeCell ref="C144:C146"/>
    <mergeCell ref="E144:E146"/>
    <mergeCell ref="F144:F146"/>
    <mergeCell ref="G144:G146"/>
    <mergeCell ref="H144:H146"/>
    <mergeCell ref="I144:I146"/>
    <mergeCell ref="I141:I143"/>
    <mergeCell ref="J141:J143"/>
    <mergeCell ref="K141:K143"/>
    <mergeCell ref="L141:L143"/>
    <mergeCell ref="M141:M143"/>
    <mergeCell ref="N141:N143"/>
    <mergeCell ref="B141:B143"/>
    <mergeCell ref="C141:C143"/>
    <mergeCell ref="E141:E143"/>
    <mergeCell ref="F141:F143"/>
    <mergeCell ref="G141:G143"/>
    <mergeCell ref="H141:H143"/>
    <mergeCell ref="L138:L140"/>
    <mergeCell ref="M138:M140"/>
    <mergeCell ref="N138:N140"/>
    <mergeCell ref="O138:O140"/>
    <mergeCell ref="P138:P140"/>
    <mergeCell ref="R138:R140"/>
    <mergeCell ref="R135:R137"/>
    <mergeCell ref="B138:B140"/>
    <mergeCell ref="C138:C140"/>
    <mergeCell ref="E138:E140"/>
    <mergeCell ref="F138:F140"/>
    <mergeCell ref="G138:G140"/>
    <mergeCell ref="H138:H140"/>
    <mergeCell ref="I138:I140"/>
    <mergeCell ref="J138:J140"/>
    <mergeCell ref="K138:K140"/>
    <mergeCell ref="K135:K137"/>
    <mergeCell ref="L135:L137"/>
    <mergeCell ref="M135:M137"/>
    <mergeCell ref="N135:N137"/>
    <mergeCell ref="O135:O137"/>
    <mergeCell ref="P135:P137"/>
    <mergeCell ref="P132:P134"/>
    <mergeCell ref="R132:R134"/>
    <mergeCell ref="B135:B137"/>
    <mergeCell ref="C135:C137"/>
    <mergeCell ref="E135:E137"/>
    <mergeCell ref="F135:F137"/>
    <mergeCell ref="G135:G137"/>
    <mergeCell ref="H135:H137"/>
    <mergeCell ref="I135:I137"/>
    <mergeCell ref="J135:J137"/>
    <mergeCell ref="J132:J134"/>
    <mergeCell ref="K132:K134"/>
    <mergeCell ref="L132:L134"/>
    <mergeCell ref="M132:M134"/>
    <mergeCell ref="N132:N134"/>
    <mergeCell ref="O132:O134"/>
    <mergeCell ref="O129:O131"/>
    <mergeCell ref="P129:P131"/>
    <mergeCell ref="R129:R131"/>
    <mergeCell ref="B132:B134"/>
    <mergeCell ref="C132:C134"/>
    <mergeCell ref="E132:E134"/>
    <mergeCell ref="F132:F134"/>
    <mergeCell ref="G132:G134"/>
    <mergeCell ref="H132:H134"/>
    <mergeCell ref="I132:I134"/>
    <mergeCell ref="I129:I131"/>
    <mergeCell ref="J129:J131"/>
    <mergeCell ref="K129:K131"/>
    <mergeCell ref="L129:L131"/>
    <mergeCell ref="M129:M131"/>
    <mergeCell ref="N129:N131"/>
    <mergeCell ref="B129:B131"/>
    <mergeCell ref="C129:C131"/>
    <mergeCell ref="E129:E131"/>
    <mergeCell ref="F129:F131"/>
    <mergeCell ref="G129:G131"/>
    <mergeCell ref="H129:H131"/>
    <mergeCell ref="L126:L128"/>
    <mergeCell ref="M126:M128"/>
    <mergeCell ref="N126:N128"/>
    <mergeCell ref="O126:O128"/>
    <mergeCell ref="P126:P128"/>
    <mergeCell ref="R126:R128"/>
    <mergeCell ref="R123:R125"/>
    <mergeCell ref="B126:B128"/>
    <mergeCell ref="C126:C128"/>
    <mergeCell ref="E126:E128"/>
    <mergeCell ref="F126:F128"/>
    <mergeCell ref="G126:G128"/>
    <mergeCell ref="H126:H128"/>
    <mergeCell ref="I126:I128"/>
    <mergeCell ref="J126:J128"/>
    <mergeCell ref="K126:K128"/>
    <mergeCell ref="K123:K125"/>
    <mergeCell ref="L123:L125"/>
    <mergeCell ref="M123:M125"/>
    <mergeCell ref="N123:N125"/>
    <mergeCell ref="O123:O125"/>
    <mergeCell ref="P123:P125"/>
    <mergeCell ref="P120:P122"/>
    <mergeCell ref="R120:R122"/>
    <mergeCell ref="B123:B125"/>
    <mergeCell ref="C123:C125"/>
    <mergeCell ref="E123:E125"/>
    <mergeCell ref="F123:F125"/>
    <mergeCell ref="G123:G125"/>
    <mergeCell ref="H123:H125"/>
    <mergeCell ref="I123:I125"/>
    <mergeCell ref="J123:J125"/>
    <mergeCell ref="J120:J122"/>
    <mergeCell ref="K120:K122"/>
    <mergeCell ref="L120:L122"/>
    <mergeCell ref="M120:M122"/>
    <mergeCell ref="N120:N122"/>
    <mergeCell ref="O120:O122"/>
    <mergeCell ref="O117:O119"/>
    <mergeCell ref="P117:P119"/>
    <mergeCell ref="R117:R119"/>
    <mergeCell ref="B120:B122"/>
    <mergeCell ref="C120:C122"/>
    <mergeCell ref="E120:E122"/>
    <mergeCell ref="F120:F122"/>
    <mergeCell ref="G120:G122"/>
    <mergeCell ref="H120:H122"/>
    <mergeCell ref="I120:I122"/>
    <mergeCell ref="I117:I119"/>
    <mergeCell ref="J117:J119"/>
    <mergeCell ref="K117:K119"/>
    <mergeCell ref="L117:L119"/>
    <mergeCell ref="M117:M119"/>
    <mergeCell ref="N117:N119"/>
    <mergeCell ref="B117:B119"/>
    <mergeCell ref="C117:C119"/>
    <mergeCell ref="E117:E119"/>
    <mergeCell ref="F117:F119"/>
    <mergeCell ref="G117:G119"/>
    <mergeCell ref="H117:H119"/>
    <mergeCell ref="L114:L116"/>
    <mergeCell ref="M114:M116"/>
    <mergeCell ref="N114:N116"/>
    <mergeCell ref="O114:O116"/>
    <mergeCell ref="P114:P116"/>
    <mergeCell ref="R114:R116"/>
    <mergeCell ref="R111:R113"/>
    <mergeCell ref="B114:B116"/>
    <mergeCell ref="C114:C116"/>
    <mergeCell ref="E114:E116"/>
    <mergeCell ref="F114:F116"/>
    <mergeCell ref="G114:G116"/>
    <mergeCell ref="H114:H116"/>
    <mergeCell ref="I114:I116"/>
    <mergeCell ref="J114:J116"/>
    <mergeCell ref="K114:K116"/>
    <mergeCell ref="K111:K113"/>
    <mergeCell ref="L111:L113"/>
    <mergeCell ref="M111:M113"/>
    <mergeCell ref="N111:N113"/>
    <mergeCell ref="O111:O113"/>
    <mergeCell ref="P111:P113"/>
    <mergeCell ref="P108:P110"/>
    <mergeCell ref="R108:R110"/>
    <mergeCell ref="B111:B113"/>
    <mergeCell ref="C111:C113"/>
    <mergeCell ref="E111:E113"/>
    <mergeCell ref="F111:F113"/>
    <mergeCell ref="G111:G113"/>
    <mergeCell ref="H111:H113"/>
    <mergeCell ref="I111:I113"/>
    <mergeCell ref="J111:J113"/>
    <mergeCell ref="J108:J110"/>
    <mergeCell ref="K108:K110"/>
    <mergeCell ref="L108:L110"/>
    <mergeCell ref="M108:M110"/>
    <mergeCell ref="N108:N110"/>
    <mergeCell ref="O108:O110"/>
    <mergeCell ref="O105:O107"/>
    <mergeCell ref="P105:P107"/>
    <mergeCell ref="R105:R107"/>
    <mergeCell ref="B108:B110"/>
    <mergeCell ref="C108:C110"/>
    <mergeCell ref="E108:E110"/>
    <mergeCell ref="F108:F110"/>
    <mergeCell ref="G108:G110"/>
    <mergeCell ref="H108:H110"/>
    <mergeCell ref="I108:I110"/>
    <mergeCell ref="I105:I107"/>
    <mergeCell ref="J105:J107"/>
    <mergeCell ref="K105:K107"/>
    <mergeCell ref="L105:L107"/>
    <mergeCell ref="M105:M107"/>
    <mergeCell ref="N105:N107"/>
    <mergeCell ref="B105:B107"/>
    <mergeCell ref="C105:C107"/>
    <mergeCell ref="E105:E107"/>
    <mergeCell ref="F105:F107"/>
    <mergeCell ref="G105:G107"/>
    <mergeCell ref="H105:H107"/>
    <mergeCell ref="L102:L104"/>
    <mergeCell ref="M102:M104"/>
    <mergeCell ref="N102:N104"/>
    <mergeCell ref="O102:O104"/>
    <mergeCell ref="P102:P104"/>
    <mergeCell ref="R102:R104"/>
    <mergeCell ref="R99:R101"/>
    <mergeCell ref="B102:B104"/>
    <mergeCell ref="C102:C104"/>
    <mergeCell ref="E102:E104"/>
    <mergeCell ref="F102:F104"/>
    <mergeCell ref="G102:G104"/>
    <mergeCell ref="H102:H104"/>
    <mergeCell ref="I102:I104"/>
    <mergeCell ref="J102:J104"/>
    <mergeCell ref="K102:K104"/>
    <mergeCell ref="K99:K101"/>
    <mergeCell ref="L99:L101"/>
    <mergeCell ref="M99:M101"/>
    <mergeCell ref="N99:N101"/>
    <mergeCell ref="O99:O101"/>
    <mergeCell ref="P99:P101"/>
    <mergeCell ref="P96:P98"/>
    <mergeCell ref="R96:R98"/>
    <mergeCell ref="B99:B101"/>
    <mergeCell ref="C99:C101"/>
    <mergeCell ref="E99:E101"/>
    <mergeCell ref="F99:F101"/>
    <mergeCell ref="G99:G101"/>
    <mergeCell ref="H99:H101"/>
    <mergeCell ref="I99:I101"/>
    <mergeCell ref="J99:J101"/>
    <mergeCell ref="J96:J98"/>
    <mergeCell ref="K96:K98"/>
    <mergeCell ref="L96:L98"/>
    <mergeCell ref="M96:M98"/>
    <mergeCell ref="N96:N98"/>
    <mergeCell ref="O96:O98"/>
    <mergeCell ref="O93:O95"/>
    <mergeCell ref="P93:P95"/>
    <mergeCell ref="R93:R95"/>
    <mergeCell ref="B96:B98"/>
    <mergeCell ref="C96:C98"/>
    <mergeCell ref="E96:E98"/>
    <mergeCell ref="F96:F98"/>
    <mergeCell ref="G96:G98"/>
    <mergeCell ref="H96:H98"/>
    <mergeCell ref="I96:I98"/>
    <mergeCell ref="I93:I95"/>
    <mergeCell ref="J93:J95"/>
    <mergeCell ref="K93:K95"/>
    <mergeCell ref="L93:L95"/>
    <mergeCell ref="M93:M95"/>
    <mergeCell ref="N93:N95"/>
    <mergeCell ref="B93:B95"/>
    <mergeCell ref="C93:C95"/>
    <mergeCell ref="E93:E95"/>
    <mergeCell ref="F93:F95"/>
    <mergeCell ref="G93:G95"/>
    <mergeCell ref="H93:H95"/>
    <mergeCell ref="L90:L92"/>
    <mergeCell ref="M90:M92"/>
    <mergeCell ref="N90:N92"/>
    <mergeCell ref="O90:O92"/>
    <mergeCell ref="P90:P92"/>
    <mergeCell ref="R90:R92"/>
    <mergeCell ref="R87:R89"/>
    <mergeCell ref="B90:B92"/>
    <mergeCell ref="C90:C92"/>
    <mergeCell ref="E90:E92"/>
    <mergeCell ref="F90:F92"/>
    <mergeCell ref="G90:G92"/>
    <mergeCell ref="H90:H92"/>
    <mergeCell ref="I90:I92"/>
    <mergeCell ref="J90:J92"/>
    <mergeCell ref="K90:K92"/>
    <mergeCell ref="K87:K89"/>
    <mergeCell ref="L87:L89"/>
    <mergeCell ref="M87:M89"/>
    <mergeCell ref="N87:N89"/>
    <mergeCell ref="O87:O89"/>
    <mergeCell ref="P87:P89"/>
    <mergeCell ref="P84:P86"/>
    <mergeCell ref="R84:R86"/>
    <mergeCell ref="B87:B89"/>
    <mergeCell ref="C87:C89"/>
    <mergeCell ref="E87:E89"/>
    <mergeCell ref="F87:F89"/>
    <mergeCell ref="G87:G89"/>
    <mergeCell ref="H87:H89"/>
    <mergeCell ref="I87:I89"/>
    <mergeCell ref="J87:J89"/>
    <mergeCell ref="J84:J86"/>
    <mergeCell ref="K84:K86"/>
    <mergeCell ref="L84:L86"/>
    <mergeCell ref="M84:M86"/>
    <mergeCell ref="N84:N86"/>
    <mergeCell ref="O84:O86"/>
    <mergeCell ref="O81:O83"/>
    <mergeCell ref="P81:P83"/>
    <mergeCell ref="R81:R83"/>
    <mergeCell ref="B84:B86"/>
    <mergeCell ref="C84:C86"/>
    <mergeCell ref="E84:E86"/>
    <mergeCell ref="F84:F86"/>
    <mergeCell ref="G84:G86"/>
    <mergeCell ref="H84:H86"/>
    <mergeCell ref="I84:I86"/>
    <mergeCell ref="I81:I83"/>
    <mergeCell ref="J81:J83"/>
    <mergeCell ref="K81:K83"/>
    <mergeCell ref="L81:L83"/>
    <mergeCell ref="M81:M83"/>
    <mergeCell ref="N81:N83"/>
    <mergeCell ref="B81:B83"/>
    <mergeCell ref="C81:C83"/>
    <mergeCell ref="E81:E83"/>
    <mergeCell ref="F81:F83"/>
    <mergeCell ref="G81:G83"/>
    <mergeCell ref="H81:H83"/>
    <mergeCell ref="L78:L80"/>
    <mergeCell ref="M78:M80"/>
    <mergeCell ref="N78:N80"/>
    <mergeCell ref="O78:O80"/>
    <mergeCell ref="P78:P80"/>
    <mergeCell ref="R78:R80"/>
    <mergeCell ref="R75:R77"/>
    <mergeCell ref="B78:B80"/>
    <mergeCell ref="C78:C80"/>
    <mergeCell ref="E78:E80"/>
    <mergeCell ref="F78:F80"/>
    <mergeCell ref="G78:G80"/>
    <mergeCell ref="H78:H80"/>
    <mergeCell ref="I78:I80"/>
    <mergeCell ref="J78:J80"/>
    <mergeCell ref="K78:K80"/>
    <mergeCell ref="K75:K77"/>
    <mergeCell ref="L75:L77"/>
    <mergeCell ref="M75:M77"/>
    <mergeCell ref="N75:N77"/>
    <mergeCell ref="O75:O77"/>
    <mergeCell ref="P75:P77"/>
    <mergeCell ref="P72:P74"/>
    <mergeCell ref="R72:R74"/>
    <mergeCell ref="B75:B77"/>
    <mergeCell ref="C75:C77"/>
    <mergeCell ref="E75:E77"/>
    <mergeCell ref="F75:F77"/>
    <mergeCell ref="G75:G77"/>
    <mergeCell ref="H75:H77"/>
    <mergeCell ref="I75:I77"/>
    <mergeCell ref="J75:J77"/>
    <mergeCell ref="J72:J74"/>
    <mergeCell ref="K72:K74"/>
    <mergeCell ref="L72:L74"/>
    <mergeCell ref="M72:M74"/>
    <mergeCell ref="N72:N74"/>
    <mergeCell ref="O72:O74"/>
    <mergeCell ref="O69:O71"/>
    <mergeCell ref="P69:P71"/>
    <mergeCell ref="R69:R71"/>
    <mergeCell ref="B72:B74"/>
    <mergeCell ref="C72:C74"/>
    <mergeCell ref="E72:E74"/>
    <mergeCell ref="F72:F74"/>
    <mergeCell ref="G72:G74"/>
    <mergeCell ref="H72:H74"/>
    <mergeCell ref="I72:I74"/>
    <mergeCell ref="I69:I71"/>
    <mergeCell ref="J69:J71"/>
    <mergeCell ref="K69:K71"/>
    <mergeCell ref="L69:L71"/>
    <mergeCell ref="M69:M71"/>
    <mergeCell ref="N69:N71"/>
    <mergeCell ref="B69:B71"/>
    <mergeCell ref="C69:C71"/>
    <mergeCell ref="E69:E71"/>
    <mergeCell ref="F69:F71"/>
    <mergeCell ref="G69:G71"/>
    <mergeCell ref="H69:H71"/>
    <mergeCell ref="L66:L68"/>
    <mergeCell ref="M66:M68"/>
    <mergeCell ref="N66:N68"/>
    <mergeCell ref="O66:O68"/>
    <mergeCell ref="P66:P68"/>
    <mergeCell ref="R66:R68"/>
    <mergeCell ref="R63:R65"/>
    <mergeCell ref="B66:B68"/>
    <mergeCell ref="C66:C68"/>
    <mergeCell ref="E66:E68"/>
    <mergeCell ref="F66:F68"/>
    <mergeCell ref="G66:G68"/>
    <mergeCell ref="H66:H68"/>
    <mergeCell ref="I66:I68"/>
    <mergeCell ref="J66:J68"/>
    <mergeCell ref="K66:K68"/>
    <mergeCell ref="K63:K65"/>
    <mergeCell ref="L63:L65"/>
    <mergeCell ref="M63:M65"/>
    <mergeCell ref="N63:N65"/>
    <mergeCell ref="O63:O65"/>
    <mergeCell ref="P63:P65"/>
    <mergeCell ref="P60:P62"/>
    <mergeCell ref="R60:R62"/>
    <mergeCell ref="B63:B65"/>
    <mergeCell ref="C63:C65"/>
    <mergeCell ref="E63:E65"/>
    <mergeCell ref="F63:F65"/>
    <mergeCell ref="G63:G65"/>
    <mergeCell ref="H63:H65"/>
    <mergeCell ref="I63:I65"/>
    <mergeCell ref="J63:J65"/>
    <mergeCell ref="J60:J62"/>
    <mergeCell ref="K60:K62"/>
    <mergeCell ref="L60:L62"/>
    <mergeCell ref="M60:M62"/>
    <mergeCell ref="N60:N62"/>
    <mergeCell ref="O60:O62"/>
    <mergeCell ref="O57:O59"/>
    <mergeCell ref="P57:P59"/>
    <mergeCell ref="R57:R59"/>
    <mergeCell ref="B60:B62"/>
    <mergeCell ref="C60:C62"/>
    <mergeCell ref="E60:E62"/>
    <mergeCell ref="F60:F62"/>
    <mergeCell ref="G60:G62"/>
    <mergeCell ref="H60:H62"/>
    <mergeCell ref="I60:I62"/>
    <mergeCell ref="I57:I59"/>
    <mergeCell ref="J57:J59"/>
    <mergeCell ref="K57:K59"/>
    <mergeCell ref="L57:L59"/>
    <mergeCell ref="M57:M59"/>
    <mergeCell ref="N57:N59"/>
    <mergeCell ref="B57:B59"/>
    <mergeCell ref="C57:C59"/>
    <mergeCell ref="E57:E59"/>
    <mergeCell ref="F57:F59"/>
    <mergeCell ref="G57:G59"/>
    <mergeCell ref="H57:H59"/>
    <mergeCell ref="L54:L56"/>
    <mergeCell ref="M54:M56"/>
    <mergeCell ref="N54:N56"/>
    <mergeCell ref="O54:O56"/>
    <mergeCell ref="P54:P56"/>
    <mergeCell ref="R54:R56"/>
    <mergeCell ref="R51:R53"/>
    <mergeCell ref="B54:B56"/>
    <mergeCell ref="C54:C56"/>
    <mergeCell ref="E54:E56"/>
    <mergeCell ref="F54:F56"/>
    <mergeCell ref="G54:G56"/>
    <mergeCell ref="H54:H56"/>
    <mergeCell ref="I54:I56"/>
    <mergeCell ref="J54:J56"/>
    <mergeCell ref="K54:K56"/>
    <mergeCell ref="K51:K53"/>
    <mergeCell ref="L51:L53"/>
    <mergeCell ref="M51:M53"/>
    <mergeCell ref="N51:N53"/>
    <mergeCell ref="O51:O53"/>
    <mergeCell ref="P51:P53"/>
    <mergeCell ref="P48:P50"/>
    <mergeCell ref="R48:R50"/>
    <mergeCell ref="B51:B53"/>
    <mergeCell ref="C51:C53"/>
    <mergeCell ref="E51:E53"/>
    <mergeCell ref="F51:F53"/>
    <mergeCell ref="G51:G53"/>
    <mergeCell ref="H51:H53"/>
    <mergeCell ref="I51:I53"/>
    <mergeCell ref="J51:J53"/>
    <mergeCell ref="J48:J50"/>
    <mergeCell ref="K48:K50"/>
    <mergeCell ref="L48:L50"/>
    <mergeCell ref="M48:M50"/>
    <mergeCell ref="N48:N50"/>
    <mergeCell ref="O48:O50"/>
    <mergeCell ref="O45:O47"/>
    <mergeCell ref="P45:P47"/>
    <mergeCell ref="R45:R47"/>
    <mergeCell ref="B48:B50"/>
    <mergeCell ref="C48:C50"/>
    <mergeCell ref="E48:E50"/>
    <mergeCell ref="F48:F50"/>
    <mergeCell ref="G48:G50"/>
    <mergeCell ref="H48:H50"/>
    <mergeCell ref="I48:I50"/>
    <mergeCell ref="I45:I47"/>
    <mergeCell ref="J45:J47"/>
    <mergeCell ref="K45:K47"/>
    <mergeCell ref="L45:L47"/>
    <mergeCell ref="M45:M47"/>
    <mergeCell ref="N45:N47"/>
    <mergeCell ref="B45:B47"/>
    <mergeCell ref="C45:C47"/>
    <mergeCell ref="E45:E47"/>
    <mergeCell ref="F45:F47"/>
    <mergeCell ref="G45:G47"/>
    <mergeCell ref="H45:H47"/>
    <mergeCell ref="L42:L44"/>
    <mergeCell ref="M42:M44"/>
    <mergeCell ref="N42:N44"/>
    <mergeCell ref="O42:O44"/>
    <mergeCell ref="P42:P44"/>
    <mergeCell ref="R42:R44"/>
    <mergeCell ref="R39:R41"/>
    <mergeCell ref="B42:B44"/>
    <mergeCell ref="C42:C44"/>
    <mergeCell ref="E42:E44"/>
    <mergeCell ref="F42:F44"/>
    <mergeCell ref="G42:G44"/>
    <mergeCell ref="H42:H44"/>
    <mergeCell ref="I42:I44"/>
    <mergeCell ref="J42:J44"/>
    <mergeCell ref="K42:K44"/>
    <mergeCell ref="K39:K41"/>
    <mergeCell ref="L39:L41"/>
    <mergeCell ref="M39:M41"/>
    <mergeCell ref="N39:N41"/>
    <mergeCell ref="O39:O41"/>
    <mergeCell ref="P39:P41"/>
    <mergeCell ref="P36:P38"/>
    <mergeCell ref="R36:R38"/>
    <mergeCell ref="B39:B41"/>
    <mergeCell ref="C39:C41"/>
    <mergeCell ref="E39:E41"/>
    <mergeCell ref="F39:F41"/>
    <mergeCell ref="G39:G41"/>
    <mergeCell ref="H39:H41"/>
    <mergeCell ref="I39:I41"/>
    <mergeCell ref="J39:J41"/>
    <mergeCell ref="J36:J38"/>
    <mergeCell ref="K36:K38"/>
    <mergeCell ref="L36:L38"/>
    <mergeCell ref="M36:M38"/>
    <mergeCell ref="N36:N38"/>
    <mergeCell ref="O36:O38"/>
    <mergeCell ref="O33:O35"/>
    <mergeCell ref="P33:P35"/>
    <mergeCell ref="R33:R35"/>
    <mergeCell ref="B36:B38"/>
    <mergeCell ref="C36:C38"/>
    <mergeCell ref="E36:E38"/>
    <mergeCell ref="F36:F38"/>
    <mergeCell ref="G36:G38"/>
    <mergeCell ref="H36:H38"/>
    <mergeCell ref="I36:I38"/>
    <mergeCell ref="I33:I35"/>
    <mergeCell ref="J33:J35"/>
    <mergeCell ref="K33:K35"/>
    <mergeCell ref="L33:L35"/>
    <mergeCell ref="M33:M35"/>
    <mergeCell ref="N33:N35"/>
    <mergeCell ref="B33:B35"/>
    <mergeCell ref="C33:C35"/>
    <mergeCell ref="E33:E35"/>
    <mergeCell ref="F33:F35"/>
    <mergeCell ref="G33:G35"/>
    <mergeCell ref="H33:H35"/>
    <mergeCell ref="L30:L32"/>
    <mergeCell ref="M30:M32"/>
    <mergeCell ref="N30:N32"/>
    <mergeCell ref="O30:O32"/>
    <mergeCell ref="P30:P32"/>
    <mergeCell ref="R30:R32"/>
    <mergeCell ref="B30:B32"/>
    <mergeCell ref="C30:C32"/>
    <mergeCell ref="E30:E32"/>
    <mergeCell ref="F30:F32"/>
    <mergeCell ref="G30:G32"/>
    <mergeCell ref="H30:H32"/>
    <mergeCell ref="I30:I32"/>
    <mergeCell ref="J30:J32"/>
    <mergeCell ref="K30:K32"/>
    <mergeCell ref="C17:C19"/>
    <mergeCell ref="E17:E19"/>
    <mergeCell ref="F17:F19"/>
    <mergeCell ref="O26:O28"/>
    <mergeCell ref="P26:P28"/>
    <mergeCell ref="R26:R28"/>
    <mergeCell ref="I26:I28"/>
    <mergeCell ref="J26:J28"/>
    <mergeCell ref="K26:K28"/>
    <mergeCell ref="L26:L28"/>
    <mergeCell ref="M26:M28"/>
    <mergeCell ref="N26:N28"/>
    <mergeCell ref="N23:N25"/>
    <mergeCell ref="O23:O25"/>
    <mergeCell ref="P23:P25"/>
    <mergeCell ref="R23:R25"/>
    <mergeCell ref="B26:B28"/>
    <mergeCell ref="C26:C28"/>
    <mergeCell ref="E26:E28"/>
    <mergeCell ref="F26:F28"/>
    <mergeCell ref="G26:G28"/>
    <mergeCell ref="H26:H28"/>
    <mergeCell ref="H23:H25"/>
    <mergeCell ref="I23:I25"/>
    <mergeCell ref="J23:J25"/>
    <mergeCell ref="K23:K25"/>
    <mergeCell ref="L23:L25"/>
    <mergeCell ref="M23:M25"/>
    <mergeCell ref="K8:K10"/>
    <mergeCell ref="L8:L10"/>
    <mergeCell ref="M8:M10"/>
    <mergeCell ref="N8:N10"/>
    <mergeCell ref="B23:B25"/>
    <mergeCell ref="C23:C25"/>
    <mergeCell ref="E23:E25"/>
    <mergeCell ref="F23:F25"/>
    <mergeCell ref="G23:G25"/>
    <mergeCell ref="L20:L22"/>
    <mergeCell ref="M20:M22"/>
    <mergeCell ref="N20:N22"/>
    <mergeCell ref="O20:O22"/>
    <mergeCell ref="P20:P22"/>
    <mergeCell ref="R20:R22"/>
    <mergeCell ref="R17:R19"/>
    <mergeCell ref="B20:B22"/>
    <mergeCell ref="C20:C22"/>
    <mergeCell ref="E20:E22"/>
    <mergeCell ref="F20:F22"/>
    <mergeCell ref="G20:G22"/>
    <mergeCell ref="H20:H22"/>
    <mergeCell ref="I20:I22"/>
    <mergeCell ref="J20:J22"/>
    <mergeCell ref="K20:K22"/>
    <mergeCell ref="K17:K19"/>
    <mergeCell ref="L17:L19"/>
    <mergeCell ref="M17:M19"/>
    <mergeCell ref="N17:N19"/>
    <mergeCell ref="O17:O19"/>
    <mergeCell ref="P17:P19"/>
    <mergeCell ref="B17:B19"/>
    <mergeCell ref="M11:M13"/>
    <mergeCell ref="N11:N13"/>
    <mergeCell ref="O11:O13"/>
    <mergeCell ref="P11:P13"/>
    <mergeCell ref="R11:R13"/>
    <mergeCell ref="G17:G19"/>
    <mergeCell ref="H17:H19"/>
    <mergeCell ref="I17:I19"/>
    <mergeCell ref="J17:J19"/>
    <mergeCell ref="B4:B6"/>
    <mergeCell ref="C4:C6"/>
    <mergeCell ref="E4:E6"/>
    <mergeCell ref="F4:F6"/>
    <mergeCell ref="G4:G6"/>
    <mergeCell ref="H4:H6"/>
    <mergeCell ref="I4:I6"/>
    <mergeCell ref="J4:J6"/>
    <mergeCell ref="K4:K6"/>
    <mergeCell ref="L4:L6"/>
    <mergeCell ref="M4:M6"/>
    <mergeCell ref="N4:N6"/>
    <mergeCell ref="O4:O6"/>
    <mergeCell ref="P4:P6"/>
    <mergeCell ref="R4:R6"/>
    <mergeCell ref="B8:B10"/>
    <mergeCell ref="C8:C10"/>
    <mergeCell ref="E8:E10"/>
    <mergeCell ref="F8:F10"/>
    <mergeCell ref="G8:G10"/>
    <mergeCell ref="H8:H10"/>
    <mergeCell ref="I8:I10"/>
    <mergeCell ref="J8:J10"/>
    <mergeCell ref="B14:B16"/>
    <mergeCell ref="C14:C16"/>
    <mergeCell ref="E14:E16"/>
    <mergeCell ref="F14:F16"/>
    <mergeCell ref="G14:G16"/>
    <mergeCell ref="H14:H16"/>
    <mergeCell ref="I14:I16"/>
    <mergeCell ref="J14:J16"/>
    <mergeCell ref="K14:K16"/>
    <mergeCell ref="L14:L16"/>
    <mergeCell ref="M14:M16"/>
    <mergeCell ref="N14:N16"/>
    <mergeCell ref="O14:O16"/>
    <mergeCell ref="P14:P16"/>
    <mergeCell ref="R14:R16"/>
    <mergeCell ref="A4:A6"/>
    <mergeCell ref="A8:A10"/>
    <mergeCell ref="A11:A13"/>
    <mergeCell ref="A14:A16"/>
    <mergeCell ref="O8:O10"/>
    <mergeCell ref="P8:P10"/>
    <mergeCell ref="R8:R10"/>
    <mergeCell ref="B11:B13"/>
    <mergeCell ref="C11:C13"/>
    <mergeCell ref="E11:E13"/>
    <mergeCell ref="F11:F13"/>
    <mergeCell ref="G11:G13"/>
    <mergeCell ref="H11:H13"/>
    <mergeCell ref="I11:I13"/>
    <mergeCell ref="J11:J13"/>
    <mergeCell ref="K11:K13"/>
    <mergeCell ref="L11:L13"/>
    <mergeCell ref="A96:A98"/>
    <mergeCell ref="A99:A101"/>
    <mergeCell ref="A102:A104"/>
    <mergeCell ref="A105:A107"/>
    <mergeCell ref="A108:A110"/>
    <mergeCell ref="A111:A113"/>
    <mergeCell ref="A114:A116"/>
    <mergeCell ref="A117:A119"/>
    <mergeCell ref="A17:A19"/>
    <mergeCell ref="A20:A22"/>
    <mergeCell ref="A23:A25"/>
    <mergeCell ref="A26:A28"/>
    <mergeCell ref="A30:A32"/>
    <mergeCell ref="A33:A35"/>
    <mergeCell ref="A36:A38"/>
    <mergeCell ref="A39:A41"/>
    <mergeCell ref="A42:A44"/>
    <mergeCell ref="A45:A47"/>
    <mergeCell ref="A48:A50"/>
    <mergeCell ref="A51:A53"/>
    <mergeCell ref="A54:A56"/>
    <mergeCell ref="A57:A59"/>
    <mergeCell ref="A60:A62"/>
    <mergeCell ref="A63:A65"/>
    <mergeCell ref="A66:A68"/>
    <mergeCell ref="A120:A122"/>
    <mergeCell ref="A123:A125"/>
    <mergeCell ref="A126:A128"/>
    <mergeCell ref="A129:A131"/>
    <mergeCell ref="A132:A134"/>
    <mergeCell ref="A135:A137"/>
    <mergeCell ref="A138:A140"/>
    <mergeCell ref="A141:A143"/>
    <mergeCell ref="A144:A146"/>
    <mergeCell ref="A148:A150"/>
    <mergeCell ref="A151:A153"/>
    <mergeCell ref="A188:A190"/>
    <mergeCell ref="A191:A193"/>
    <mergeCell ref="A194:A196"/>
    <mergeCell ref="A197:A199"/>
    <mergeCell ref="A7:R7"/>
    <mergeCell ref="A3:R3"/>
    <mergeCell ref="A29:R29"/>
    <mergeCell ref="A147:R147"/>
    <mergeCell ref="A166:R166"/>
    <mergeCell ref="A167:R167"/>
    <mergeCell ref="A180:R180"/>
    <mergeCell ref="A187:R187"/>
    <mergeCell ref="A69:A71"/>
    <mergeCell ref="A72:A74"/>
    <mergeCell ref="A75:A77"/>
    <mergeCell ref="A78:A80"/>
    <mergeCell ref="A81:A83"/>
    <mergeCell ref="A84:A86"/>
    <mergeCell ref="A87:A89"/>
    <mergeCell ref="A90:A92"/>
    <mergeCell ref="A93:A95"/>
  </mergeCells>
  <pageMargins left="0.70866141732283472" right="0.70866141732283472" top="0.74803149606299213" bottom="0.74803149606299213" header="0.31496062992125984" footer="0.31496062992125984"/>
  <pageSetup paperSize="9" scale="7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1:G22"/>
  <sheetViews>
    <sheetView workbookViewId="0">
      <selection activeCell="F2" sqref="F2"/>
    </sheetView>
  </sheetViews>
  <sheetFormatPr defaultRowHeight="14.4" x14ac:dyDescent="0.3"/>
  <cols>
    <col min="3" max="3" width="29.5546875" customWidth="1"/>
    <col min="4" max="4" width="11.6640625" customWidth="1"/>
    <col min="5" max="5" width="17.5546875" customWidth="1"/>
    <col min="6" max="6" width="13" customWidth="1"/>
  </cols>
  <sheetData>
    <row r="1" spans="2:7" x14ac:dyDescent="0.3">
      <c r="D1" s="281" t="s">
        <v>582</v>
      </c>
      <c r="E1" s="281" t="s">
        <v>579</v>
      </c>
      <c r="F1" s="281" t="s">
        <v>580</v>
      </c>
      <c r="G1" s="281" t="s">
        <v>581</v>
      </c>
    </row>
    <row r="2" spans="2:7" x14ac:dyDescent="0.3">
      <c r="B2" s="468" t="s">
        <v>572</v>
      </c>
      <c r="C2" s="468"/>
      <c r="D2" s="282"/>
      <c r="E2" s="282"/>
      <c r="F2" s="282"/>
      <c r="G2" s="282"/>
    </row>
    <row r="3" spans="2:7" x14ac:dyDescent="0.3">
      <c r="B3" s="136"/>
      <c r="C3" t="s">
        <v>569</v>
      </c>
      <c r="D3" s="282"/>
      <c r="E3" s="282"/>
      <c r="F3" s="282"/>
      <c r="G3" s="282"/>
    </row>
    <row r="4" spans="2:7" x14ac:dyDescent="0.3">
      <c r="B4" s="137"/>
      <c r="C4" t="s">
        <v>570</v>
      </c>
      <c r="D4" s="282"/>
      <c r="E4" s="282"/>
      <c r="F4" s="282"/>
      <c r="G4" s="282"/>
    </row>
    <row r="5" spans="2:7" x14ac:dyDescent="0.3">
      <c r="B5" s="138"/>
      <c r="C5" t="s">
        <v>571</v>
      </c>
      <c r="D5" s="282"/>
      <c r="E5" s="282"/>
      <c r="F5" s="282"/>
      <c r="G5" s="282"/>
    </row>
    <row r="6" spans="2:7" x14ac:dyDescent="0.3">
      <c r="D6" s="282"/>
      <c r="E6" s="282"/>
      <c r="F6" s="282"/>
      <c r="G6" s="282"/>
    </row>
    <row r="7" spans="2:7" x14ac:dyDescent="0.3">
      <c r="D7" s="282"/>
      <c r="E7" s="282"/>
      <c r="F7" s="282"/>
      <c r="G7" s="282"/>
    </row>
    <row r="8" spans="2:7" x14ac:dyDescent="0.3">
      <c r="D8" s="282"/>
      <c r="E8" s="282"/>
      <c r="F8" s="282"/>
      <c r="G8" s="282"/>
    </row>
    <row r="9" spans="2:7" x14ac:dyDescent="0.3">
      <c r="D9" s="282"/>
      <c r="E9" s="282"/>
      <c r="F9" s="282"/>
      <c r="G9" s="282"/>
    </row>
    <row r="10" spans="2:7" x14ac:dyDescent="0.3">
      <c r="D10" s="282"/>
      <c r="E10" s="282"/>
      <c r="F10" s="282"/>
      <c r="G10" s="282"/>
    </row>
    <row r="11" spans="2:7" x14ac:dyDescent="0.3">
      <c r="D11" s="282"/>
      <c r="E11" s="282"/>
      <c r="F11" s="282"/>
      <c r="G11" s="282"/>
    </row>
    <row r="12" spans="2:7" x14ac:dyDescent="0.3">
      <c r="D12" s="282"/>
      <c r="E12" s="282"/>
      <c r="F12" s="282"/>
      <c r="G12" s="282"/>
    </row>
    <row r="13" spans="2:7" x14ac:dyDescent="0.3">
      <c r="D13" s="282"/>
      <c r="E13" s="282"/>
      <c r="F13" s="282"/>
      <c r="G13" s="282"/>
    </row>
    <row r="14" spans="2:7" x14ac:dyDescent="0.3">
      <c r="D14" s="282"/>
      <c r="E14" s="282"/>
      <c r="F14" s="282"/>
      <c r="G14" s="282"/>
    </row>
    <row r="15" spans="2:7" x14ac:dyDescent="0.3">
      <c r="D15" s="282"/>
      <c r="E15" s="282"/>
      <c r="F15" s="282"/>
      <c r="G15" s="282"/>
    </row>
    <row r="16" spans="2:7" x14ac:dyDescent="0.3">
      <c r="D16" s="282"/>
      <c r="E16" s="282"/>
      <c r="F16" s="282"/>
      <c r="G16" s="282"/>
    </row>
    <row r="17" spans="4:7" x14ac:dyDescent="0.3">
      <c r="D17" s="282"/>
      <c r="E17" s="282"/>
      <c r="F17" s="282"/>
      <c r="G17" s="282"/>
    </row>
    <row r="18" spans="4:7" x14ac:dyDescent="0.3">
      <c r="D18" s="282"/>
      <c r="E18" s="282"/>
      <c r="F18" s="282"/>
      <c r="G18" s="282"/>
    </row>
    <row r="19" spans="4:7" x14ac:dyDescent="0.3">
      <c r="D19" s="282"/>
      <c r="E19" s="282"/>
      <c r="F19" s="282"/>
      <c r="G19" s="282"/>
    </row>
    <row r="20" spans="4:7" x14ac:dyDescent="0.3">
      <c r="D20" s="282"/>
      <c r="E20" s="282"/>
      <c r="F20" s="282"/>
      <c r="G20" s="282"/>
    </row>
    <row r="21" spans="4:7" x14ac:dyDescent="0.3">
      <c r="D21" s="282"/>
      <c r="E21" s="282"/>
      <c r="F21" s="282"/>
      <c r="G21" s="282"/>
    </row>
    <row r="22" spans="4:7" x14ac:dyDescent="0.3">
      <c r="D22" s="282"/>
      <c r="E22" s="282"/>
      <c r="F22" s="282"/>
      <c r="G22" s="282"/>
    </row>
  </sheetData>
  <mergeCells count="1">
    <mergeCell ref="B2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H34"/>
  <sheetViews>
    <sheetView workbookViewId="0">
      <selection activeCell="K9" sqref="K6:K9"/>
    </sheetView>
  </sheetViews>
  <sheetFormatPr defaultColWidth="9.109375" defaultRowHeight="15.6" x14ac:dyDescent="0.3"/>
  <cols>
    <col min="1" max="1" width="9.109375" style="28"/>
    <col min="2" max="4" width="18.33203125" style="28" customWidth="1"/>
    <col min="5" max="5" width="32" style="28" customWidth="1"/>
    <col min="6" max="6" width="25.6640625" style="28" customWidth="1"/>
    <col min="7" max="7" width="27.5546875" style="28" customWidth="1"/>
    <col min="8" max="8" width="26.109375" style="28" customWidth="1"/>
    <col min="9" max="16384" width="9.109375" style="28"/>
  </cols>
  <sheetData>
    <row r="1" spans="1:8" ht="16.2" thickBot="1" x14ac:dyDescent="0.35">
      <c r="A1" s="15" t="s">
        <v>0</v>
      </c>
      <c r="B1" s="16" t="s">
        <v>513</v>
      </c>
      <c r="C1" s="15" t="s">
        <v>519</v>
      </c>
      <c r="D1" s="16" t="s">
        <v>514</v>
      </c>
      <c r="E1" s="15" t="s">
        <v>515</v>
      </c>
      <c r="F1" s="16" t="s">
        <v>516</v>
      </c>
      <c r="G1" s="15" t="s">
        <v>517</v>
      </c>
      <c r="H1" s="17" t="s">
        <v>8</v>
      </c>
    </row>
    <row r="2" spans="1:8" x14ac:dyDescent="0.3">
      <c r="A2" s="469">
        <v>1</v>
      </c>
      <c r="B2" s="469" t="s">
        <v>518</v>
      </c>
      <c r="C2" s="21" t="s">
        <v>520</v>
      </c>
      <c r="D2" s="22" t="s">
        <v>521</v>
      </c>
      <c r="E2" s="23">
        <v>31105</v>
      </c>
      <c r="F2" s="22" t="s">
        <v>523</v>
      </c>
      <c r="G2" s="23" t="s">
        <v>524</v>
      </c>
      <c r="H2" s="24"/>
    </row>
    <row r="3" spans="1:8" ht="16.2" thickBot="1" x14ac:dyDescent="0.35">
      <c r="A3" s="470"/>
      <c r="B3" s="470"/>
      <c r="C3" s="25" t="s">
        <v>522</v>
      </c>
      <c r="D3" s="26" t="s">
        <v>525</v>
      </c>
      <c r="E3" s="25">
        <v>35513</v>
      </c>
      <c r="F3" s="26">
        <v>35150</v>
      </c>
      <c r="G3" s="25" t="s">
        <v>526</v>
      </c>
      <c r="H3" s="27"/>
    </row>
    <row r="4" spans="1:8" x14ac:dyDescent="0.3">
      <c r="A4" s="469">
        <v>2</v>
      </c>
      <c r="B4" s="469" t="s">
        <v>527</v>
      </c>
      <c r="C4" s="23" t="s">
        <v>520</v>
      </c>
      <c r="D4" s="22" t="s">
        <v>521</v>
      </c>
      <c r="E4" s="23">
        <v>29634</v>
      </c>
      <c r="F4" s="22">
        <v>29330</v>
      </c>
      <c r="G4" s="23" t="s">
        <v>528</v>
      </c>
      <c r="H4" s="24"/>
    </row>
    <row r="5" spans="1:8" ht="16.2" thickBot="1" x14ac:dyDescent="0.35">
      <c r="A5" s="470"/>
      <c r="B5" s="470"/>
      <c r="C5" s="25" t="s">
        <v>522</v>
      </c>
      <c r="D5" s="26" t="s">
        <v>525</v>
      </c>
      <c r="E5" s="25">
        <v>35660</v>
      </c>
      <c r="F5" s="26">
        <v>35090</v>
      </c>
      <c r="G5" s="25" t="s">
        <v>529</v>
      </c>
      <c r="H5" s="27"/>
    </row>
    <row r="6" spans="1:8" x14ac:dyDescent="0.3">
      <c r="A6" s="469">
        <v>3</v>
      </c>
      <c r="B6" s="469" t="s">
        <v>530</v>
      </c>
      <c r="C6" s="23" t="s">
        <v>520</v>
      </c>
      <c r="D6" s="22" t="s">
        <v>521</v>
      </c>
      <c r="E6" s="23">
        <v>29851</v>
      </c>
      <c r="F6" s="22">
        <v>35470</v>
      </c>
      <c r="G6" s="23" t="s">
        <v>531</v>
      </c>
      <c r="H6" s="24"/>
    </row>
    <row r="7" spans="1:8" ht="16.2" thickBot="1" x14ac:dyDescent="0.35">
      <c r="A7" s="470"/>
      <c r="B7" s="470"/>
      <c r="C7" s="25" t="s">
        <v>522</v>
      </c>
      <c r="D7" s="26" t="s">
        <v>525</v>
      </c>
      <c r="E7" s="25">
        <v>3550</v>
      </c>
      <c r="F7" s="26"/>
      <c r="G7" s="25"/>
      <c r="H7" s="27"/>
    </row>
    <row r="8" spans="1:8" x14ac:dyDescent="0.3">
      <c r="A8" s="469">
        <v>4</v>
      </c>
      <c r="B8" s="469" t="s">
        <v>532</v>
      </c>
      <c r="C8" s="23" t="s">
        <v>520</v>
      </c>
      <c r="D8" s="22" t="s">
        <v>521</v>
      </c>
      <c r="E8" s="23">
        <v>28977</v>
      </c>
      <c r="F8" s="22">
        <v>28979</v>
      </c>
      <c r="G8" s="23" t="s">
        <v>533</v>
      </c>
      <c r="H8" s="24"/>
    </row>
    <row r="9" spans="1:8" ht="16.2" thickBot="1" x14ac:dyDescent="0.35">
      <c r="A9" s="470"/>
      <c r="B9" s="470"/>
      <c r="C9" s="25" t="s">
        <v>522</v>
      </c>
      <c r="D9" s="26" t="s">
        <v>525</v>
      </c>
      <c r="E9" s="25">
        <v>36241</v>
      </c>
      <c r="F9" s="26">
        <v>35589</v>
      </c>
      <c r="G9" s="25" t="s">
        <v>534</v>
      </c>
      <c r="H9" s="27"/>
    </row>
    <row r="10" spans="1:8" x14ac:dyDescent="0.3">
      <c r="A10" s="469">
        <v>5</v>
      </c>
      <c r="B10" s="469" t="s">
        <v>535</v>
      </c>
      <c r="C10" s="23" t="s">
        <v>520</v>
      </c>
      <c r="D10" s="22" t="s">
        <v>521</v>
      </c>
      <c r="E10" s="23">
        <v>30036</v>
      </c>
      <c r="F10" s="22">
        <v>29442</v>
      </c>
      <c r="G10" s="23" t="s">
        <v>536</v>
      </c>
      <c r="H10" s="24"/>
    </row>
    <row r="11" spans="1:8" ht="16.2" thickBot="1" x14ac:dyDescent="0.35">
      <c r="A11" s="470"/>
      <c r="B11" s="470"/>
      <c r="C11" s="25" t="s">
        <v>522</v>
      </c>
      <c r="D11" s="26" t="s">
        <v>525</v>
      </c>
      <c r="E11" s="25">
        <v>3573156</v>
      </c>
      <c r="F11" s="26">
        <v>35520</v>
      </c>
      <c r="G11" s="25" t="s">
        <v>537</v>
      </c>
      <c r="H11" s="27"/>
    </row>
    <row r="12" spans="1:8" x14ac:dyDescent="0.3">
      <c r="A12" s="469">
        <v>6</v>
      </c>
      <c r="B12" s="469" t="s">
        <v>538</v>
      </c>
      <c r="C12" s="23" t="s">
        <v>520</v>
      </c>
      <c r="D12" s="22" t="s">
        <v>521</v>
      </c>
      <c r="E12" s="23">
        <v>31350</v>
      </c>
      <c r="F12" s="22">
        <v>31651</v>
      </c>
      <c r="G12" s="23" t="s">
        <v>539</v>
      </c>
      <c r="H12" s="24"/>
    </row>
    <row r="13" spans="1:8" ht="16.2" thickBot="1" x14ac:dyDescent="0.35">
      <c r="A13" s="470"/>
      <c r="B13" s="470"/>
      <c r="C13" s="25" t="s">
        <v>522</v>
      </c>
      <c r="D13" s="26" t="s">
        <v>525</v>
      </c>
      <c r="E13" s="25">
        <v>36132</v>
      </c>
      <c r="F13" s="26">
        <v>35718</v>
      </c>
      <c r="G13" s="25" t="s">
        <v>540</v>
      </c>
      <c r="H13" s="27"/>
    </row>
    <row r="14" spans="1:8" x14ac:dyDescent="0.3">
      <c r="A14" s="469">
        <v>7</v>
      </c>
      <c r="B14" s="469" t="s">
        <v>541</v>
      </c>
      <c r="C14" s="23" t="s">
        <v>520</v>
      </c>
      <c r="D14" s="22" t="s">
        <v>521</v>
      </c>
      <c r="E14" s="23">
        <v>28983</v>
      </c>
      <c r="F14" s="22">
        <v>30424</v>
      </c>
      <c r="G14" s="23" t="s">
        <v>542</v>
      </c>
      <c r="H14" s="24"/>
    </row>
    <row r="15" spans="1:8" ht="16.2" thickBot="1" x14ac:dyDescent="0.35">
      <c r="A15" s="470"/>
      <c r="B15" s="470"/>
      <c r="C15" s="25" t="s">
        <v>522</v>
      </c>
      <c r="D15" s="26" t="s">
        <v>525</v>
      </c>
      <c r="E15" s="25">
        <v>35134</v>
      </c>
      <c r="F15" s="26">
        <v>34999</v>
      </c>
      <c r="G15" s="25" t="s">
        <v>543</v>
      </c>
      <c r="H15" s="27"/>
    </row>
    <row r="16" spans="1:8" x14ac:dyDescent="0.3">
      <c r="A16" s="469">
        <v>8</v>
      </c>
      <c r="B16" s="469" t="s">
        <v>544</v>
      </c>
      <c r="C16" s="23" t="s">
        <v>520</v>
      </c>
      <c r="D16" s="22" t="s">
        <v>521</v>
      </c>
      <c r="E16" s="23">
        <v>36571</v>
      </c>
      <c r="F16" s="22">
        <v>36437</v>
      </c>
      <c r="G16" s="23" t="s">
        <v>545</v>
      </c>
      <c r="H16" s="24"/>
    </row>
    <row r="17" spans="1:8" ht="16.2" thickBot="1" x14ac:dyDescent="0.35">
      <c r="A17" s="470"/>
      <c r="B17" s="470"/>
      <c r="C17" s="25" t="s">
        <v>522</v>
      </c>
      <c r="D17" s="26" t="s">
        <v>525</v>
      </c>
      <c r="E17" s="25">
        <v>22705</v>
      </c>
      <c r="F17" s="26">
        <v>19093</v>
      </c>
      <c r="G17" s="25" t="s">
        <v>546</v>
      </c>
      <c r="H17" s="27"/>
    </row>
    <row r="18" spans="1:8" x14ac:dyDescent="0.3">
      <c r="A18" s="469">
        <v>9</v>
      </c>
      <c r="B18" s="469" t="s">
        <v>547</v>
      </c>
      <c r="C18" s="21" t="s">
        <v>520</v>
      </c>
      <c r="D18" s="22" t="s">
        <v>521</v>
      </c>
      <c r="E18" s="21">
        <v>30179</v>
      </c>
      <c r="F18" s="29" t="s">
        <v>548</v>
      </c>
      <c r="G18" s="21" t="s">
        <v>550</v>
      </c>
      <c r="H18" s="34"/>
    </row>
    <row r="19" spans="1:8" ht="16.2" thickBot="1" x14ac:dyDescent="0.35">
      <c r="A19" s="470"/>
      <c r="B19" s="470"/>
      <c r="C19" s="32" t="s">
        <v>522</v>
      </c>
      <c r="D19" s="26" t="s">
        <v>525</v>
      </c>
      <c r="E19" s="32" t="s">
        <v>549</v>
      </c>
      <c r="F19" s="30">
        <v>33839</v>
      </c>
      <c r="G19" s="32" t="s">
        <v>551</v>
      </c>
      <c r="H19" s="33"/>
    </row>
    <row r="20" spans="1:8" x14ac:dyDescent="0.3">
      <c r="A20" s="469">
        <v>10</v>
      </c>
      <c r="B20" s="469" t="s">
        <v>552</v>
      </c>
      <c r="C20" s="23" t="s">
        <v>520</v>
      </c>
      <c r="D20" s="22"/>
      <c r="E20" s="21">
        <v>19089</v>
      </c>
      <c r="F20" s="29">
        <v>19092</v>
      </c>
      <c r="G20" s="21" t="s">
        <v>555</v>
      </c>
      <c r="H20" s="34"/>
    </row>
    <row r="21" spans="1:8" ht="16.2" thickBot="1" x14ac:dyDescent="0.35">
      <c r="A21" s="470"/>
      <c r="B21" s="470"/>
      <c r="C21" s="25" t="s">
        <v>522</v>
      </c>
      <c r="D21" s="26"/>
      <c r="E21" s="32"/>
      <c r="F21" s="30">
        <v>38719</v>
      </c>
      <c r="G21" s="32"/>
      <c r="H21" s="33"/>
    </row>
    <row r="22" spans="1:8" x14ac:dyDescent="0.3">
      <c r="A22" s="469">
        <v>11</v>
      </c>
      <c r="B22" s="469" t="s">
        <v>553</v>
      </c>
      <c r="C22" s="23" t="s">
        <v>520</v>
      </c>
      <c r="D22" s="22" t="s">
        <v>521</v>
      </c>
      <c r="E22" s="21">
        <v>44829</v>
      </c>
      <c r="F22" s="29">
        <v>31163</v>
      </c>
      <c r="G22" s="21" t="s">
        <v>556</v>
      </c>
      <c r="H22" s="34"/>
    </row>
    <row r="23" spans="1:8" ht="16.2" thickBot="1" x14ac:dyDescent="0.35">
      <c r="A23" s="470"/>
      <c r="B23" s="470"/>
      <c r="C23" s="25" t="s">
        <v>522</v>
      </c>
      <c r="D23" s="26" t="s">
        <v>525</v>
      </c>
      <c r="E23" s="32">
        <v>36244</v>
      </c>
      <c r="F23" s="30">
        <v>35588</v>
      </c>
      <c r="G23" s="32" t="s">
        <v>557</v>
      </c>
      <c r="H23" s="33"/>
    </row>
    <row r="24" spans="1:8" x14ac:dyDescent="0.3">
      <c r="A24" s="469">
        <v>12</v>
      </c>
      <c r="B24" s="469" t="s">
        <v>554</v>
      </c>
      <c r="C24" s="23" t="s">
        <v>520</v>
      </c>
      <c r="D24" s="22" t="s">
        <v>521</v>
      </c>
      <c r="E24" s="18"/>
      <c r="F24" s="19"/>
      <c r="G24" s="18"/>
      <c r="H24" s="31"/>
    </row>
    <row r="25" spans="1:8" ht="16.2" thickBot="1" x14ac:dyDescent="0.35">
      <c r="A25" s="470"/>
      <c r="B25" s="470"/>
      <c r="C25" s="25" t="s">
        <v>522</v>
      </c>
      <c r="D25" s="26" t="s">
        <v>525</v>
      </c>
      <c r="E25" s="32"/>
      <c r="F25" s="30"/>
      <c r="G25" s="32"/>
      <c r="H25" s="33"/>
    </row>
    <row r="26" spans="1:8" x14ac:dyDescent="0.3">
      <c r="A26" s="20"/>
      <c r="B26" s="20"/>
      <c r="C26" s="20"/>
      <c r="D26" s="20"/>
      <c r="E26" s="20"/>
      <c r="F26" s="20"/>
      <c r="G26" s="20"/>
      <c r="H26" s="20"/>
    </row>
    <row r="27" spans="1:8" x14ac:dyDescent="0.3">
      <c r="A27" s="20"/>
      <c r="B27" s="20"/>
      <c r="C27" s="20"/>
      <c r="D27" s="20"/>
      <c r="E27" s="20"/>
      <c r="F27" s="20"/>
      <c r="G27" s="20"/>
      <c r="H27" s="20"/>
    </row>
    <row r="28" spans="1:8" x14ac:dyDescent="0.3">
      <c r="A28" s="20"/>
      <c r="B28" s="20"/>
      <c r="C28" s="20"/>
      <c r="D28" s="20"/>
      <c r="E28" s="20"/>
      <c r="F28" s="20"/>
      <c r="G28" s="20"/>
      <c r="H28" s="20"/>
    </row>
    <row r="29" spans="1:8" x14ac:dyDescent="0.3">
      <c r="A29" s="20"/>
      <c r="B29" s="20"/>
      <c r="C29" s="20"/>
      <c r="D29" s="20"/>
      <c r="E29" s="20"/>
      <c r="F29" s="20"/>
      <c r="G29" s="20"/>
      <c r="H29" s="20"/>
    </row>
    <row r="30" spans="1:8" x14ac:dyDescent="0.3">
      <c r="A30" s="20"/>
      <c r="B30" s="20"/>
      <c r="C30" s="20"/>
      <c r="D30" s="20"/>
      <c r="E30" s="20"/>
      <c r="F30" s="20"/>
      <c r="G30" s="20"/>
      <c r="H30" s="20"/>
    </row>
    <row r="31" spans="1:8" x14ac:dyDescent="0.3">
      <c r="A31" s="20"/>
      <c r="B31" s="20"/>
      <c r="C31" s="20"/>
      <c r="D31" s="20"/>
      <c r="E31" s="20"/>
      <c r="F31" s="20"/>
      <c r="G31" s="20"/>
      <c r="H31" s="20"/>
    </row>
    <row r="32" spans="1:8" x14ac:dyDescent="0.3">
      <c r="A32" s="20"/>
      <c r="B32" s="20"/>
      <c r="C32" s="20"/>
      <c r="D32" s="20"/>
      <c r="E32" s="20"/>
      <c r="F32" s="20"/>
      <c r="G32" s="20"/>
      <c r="H32" s="20"/>
    </row>
    <row r="33" spans="1:8" x14ac:dyDescent="0.3">
      <c r="A33" s="20"/>
      <c r="B33" s="20"/>
      <c r="C33" s="20"/>
      <c r="D33" s="20"/>
      <c r="E33" s="20"/>
      <c r="F33" s="20"/>
      <c r="G33" s="20"/>
      <c r="H33" s="20"/>
    </row>
    <row r="34" spans="1:8" x14ac:dyDescent="0.3">
      <c r="A34" s="20"/>
      <c r="B34" s="20"/>
      <c r="C34" s="20"/>
      <c r="D34" s="20"/>
      <c r="E34" s="20"/>
      <c r="F34" s="20"/>
      <c r="G34" s="20"/>
      <c r="H34" s="20"/>
    </row>
  </sheetData>
  <mergeCells count="24">
    <mergeCell ref="A20:A21"/>
    <mergeCell ref="A22:A23"/>
    <mergeCell ref="A24:A25"/>
    <mergeCell ref="B20:B21"/>
    <mergeCell ref="B22:B23"/>
    <mergeCell ref="B24:B25"/>
    <mergeCell ref="A14:A15"/>
    <mergeCell ref="B14:B15"/>
    <mergeCell ref="A16:A17"/>
    <mergeCell ref="B16:B17"/>
    <mergeCell ref="A18:A19"/>
    <mergeCell ref="B18:B19"/>
    <mergeCell ref="A8:A9"/>
    <mergeCell ref="B8:B9"/>
    <mergeCell ref="B10:B11"/>
    <mergeCell ref="A10:A11"/>
    <mergeCell ref="B12:B13"/>
    <mergeCell ref="A12:A13"/>
    <mergeCell ref="B2:B3"/>
    <mergeCell ref="B4:B5"/>
    <mergeCell ref="A2:A3"/>
    <mergeCell ref="A4:A5"/>
    <mergeCell ref="A6:A7"/>
    <mergeCell ref="B6:B7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R1120"/>
  <sheetViews>
    <sheetView topLeftCell="A211" workbookViewId="0">
      <selection activeCell="A17" sqref="A17:XFD35"/>
    </sheetView>
  </sheetViews>
  <sheetFormatPr defaultRowHeight="14.4" x14ac:dyDescent="0.3"/>
  <sheetData>
    <row r="1" spans="1:18" ht="193.8" thickBot="1" x14ac:dyDescent="0.35">
      <c r="A1" s="7" t="s">
        <v>558</v>
      </c>
      <c r="B1" s="8" t="s">
        <v>1</v>
      </c>
      <c r="C1" s="8" t="s">
        <v>2</v>
      </c>
      <c r="D1" s="9" t="s">
        <v>33</v>
      </c>
      <c r="E1" s="10" t="s">
        <v>34</v>
      </c>
      <c r="F1" s="10" t="s">
        <v>35</v>
      </c>
      <c r="G1" s="10" t="s">
        <v>36</v>
      </c>
      <c r="H1" s="10" t="s">
        <v>37</v>
      </c>
      <c r="I1" s="7" t="s">
        <v>3</v>
      </c>
      <c r="J1" s="10" t="s">
        <v>559</v>
      </c>
      <c r="K1" s="10" t="s">
        <v>4</v>
      </c>
      <c r="L1" s="7" t="s">
        <v>5</v>
      </c>
      <c r="M1" s="7" t="s">
        <v>6</v>
      </c>
      <c r="N1" s="10" t="s">
        <v>38</v>
      </c>
      <c r="O1" s="7" t="s">
        <v>7</v>
      </c>
      <c r="P1" s="7" t="s">
        <v>568</v>
      </c>
      <c r="Q1" s="11" t="s">
        <v>8</v>
      </c>
      <c r="R1" s="1"/>
    </row>
    <row r="2" spans="1:18" ht="16.2" thickBot="1" x14ac:dyDescent="0.35">
      <c r="A2" s="168">
        <v>1</v>
      </c>
      <c r="B2" s="4">
        <v>2</v>
      </c>
      <c r="C2" s="4">
        <v>3</v>
      </c>
      <c r="D2" s="4">
        <v>4</v>
      </c>
      <c r="E2" s="4">
        <v>5</v>
      </c>
      <c r="F2" s="4">
        <v>6</v>
      </c>
      <c r="G2" s="4">
        <v>7</v>
      </c>
      <c r="H2" s="4">
        <v>8</v>
      </c>
      <c r="I2" s="4">
        <v>9</v>
      </c>
      <c r="J2" s="4">
        <v>10</v>
      </c>
      <c r="K2" s="4">
        <v>11</v>
      </c>
      <c r="L2" s="4">
        <v>12</v>
      </c>
      <c r="M2" s="4">
        <v>13</v>
      </c>
      <c r="N2" s="4">
        <v>14</v>
      </c>
      <c r="O2" s="4">
        <v>15</v>
      </c>
      <c r="P2" s="4"/>
      <c r="Q2" s="4">
        <v>16</v>
      </c>
      <c r="R2" s="1"/>
    </row>
    <row r="3" spans="1:18" ht="16.2" thickBot="1" x14ac:dyDescent="0.35">
      <c r="A3" s="352" t="s">
        <v>93</v>
      </c>
      <c r="B3" s="353"/>
      <c r="C3" s="353"/>
      <c r="D3" s="353"/>
      <c r="E3" s="353"/>
      <c r="F3" s="353"/>
      <c r="G3" s="353"/>
      <c r="H3" s="353"/>
      <c r="I3" s="353"/>
      <c r="J3" s="353"/>
      <c r="K3" s="353"/>
      <c r="L3" s="353"/>
      <c r="M3" s="353"/>
      <c r="N3" s="353"/>
      <c r="O3" s="353"/>
      <c r="P3" s="353"/>
      <c r="Q3" s="354"/>
      <c r="R3" s="1"/>
    </row>
    <row r="4" spans="1:18" ht="15.6" x14ac:dyDescent="0.3">
      <c r="A4" s="385">
        <v>60</v>
      </c>
      <c r="B4" s="385" t="s">
        <v>87</v>
      </c>
      <c r="C4" s="43">
        <v>-13900</v>
      </c>
      <c r="D4" s="385">
        <v>1</v>
      </c>
      <c r="E4" s="385" t="s">
        <v>24</v>
      </c>
      <c r="F4" s="385">
        <v>1450</v>
      </c>
      <c r="G4" s="385">
        <v>1100</v>
      </c>
      <c r="H4" s="385" t="s">
        <v>60</v>
      </c>
      <c r="I4" s="385">
        <v>50</v>
      </c>
      <c r="J4" s="385" t="s">
        <v>13</v>
      </c>
      <c r="K4" s="385">
        <v>135</v>
      </c>
      <c r="L4" s="385">
        <v>-29</v>
      </c>
      <c r="M4" s="355" t="s">
        <v>14</v>
      </c>
      <c r="N4" s="385" t="s">
        <v>95</v>
      </c>
      <c r="O4" s="385" t="s">
        <v>27</v>
      </c>
      <c r="P4" s="139"/>
      <c r="Q4" s="388" t="s">
        <v>86</v>
      </c>
      <c r="R4" s="1"/>
    </row>
    <row r="5" spans="1:18" ht="15.6" x14ac:dyDescent="0.3">
      <c r="A5" s="386"/>
      <c r="B5" s="386"/>
      <c r="C5" s="48">
        <v>13600</v>
      </c>
      <c r="D5" s="386"/>
      <c r="E5" s="386"/>
      <c r="F5" s="386"/>
      <c r="G5" s="386"/>
      <c r="H5" s="386"/>
      <c r="I5" s="386"/>
      <c r="J5" s="386"/>
      <c r="K5" s="386"/>
      <c r="L5" s="386"/>
      <c r="M5" s="356"/>
      <c r="N5" s="386"/>
      <c r="O5" s="386"/>
      <c r="P5" s="140"/>
      <c r="Q5" s="389"/>
      <c r="R5" s="1"/>
    </row>
    <row r="6" spans="1:18" ht="16.2" thickBot="1" x14ac:dyDescent="0.35">
      <c r="A6" s="387"/>
      <c r="B6" s="387"/>
      <c r="C6" s="44">
        <v>26550</v>
      </c>
      <c r="D6" s="387"/>
      <c r="E6" s="387"/>
      <c r="F6" s="387"/>
      <c r="G6" s="387"/>
      <c r="H6" s="387"/>
      <c r="I6" s="387"/>
      <c r="J6" s="387"/>
      <c r="K6" s="387"/>
      <c r="L6" s="387"/>
      <c r="M6" s="357"/>
      <c r="N6" s="387"/>
      <c r="O6" s="387"/>
      <c r="P6" s="141"/>
      <c r="Q6" s="390"/>
      <c r="R6" s="1"/>
    </row>
    <row r="7" spans="1:18" ht="15.6" x14ac:dyDescent="0.3">
      <c r="A7" s="385">
        <v>61</v>
      </c>
      <c r="B7" s="385" t="s">
        <v>84</v>
      </c>
      <c r="C7" s="43">
        <v>-13300</v>
      </c>
      <c r="D7" s="385">
        <v>1</v>
      </c>
      <c r="E7" s="385" t="s">
        <v>24</v>
      </c>
      <c r="F7" s="385">
        <v>1450</v>
      </c>
      <c r="G7" s="385">
        <v>1100</v>
      </c>
      <c r="H7" s="385" t="s">
        <v>60</v>
      </c>
      <c r="I7" s="385">
        <v>50</v>
      </c>
      <c r="J7" s="385" t="s">
        <v>13</v>
      </c>
      <c r="K7" s="385">
        <v>125</v>
      </c>
      <c r="L7" s="385">
        <v>-19</v>
      </c>
      <c r="M7" s="355" t="s">
        <v>14</v>
      </c>
      <c r="N7" s="385" t="s">
        <v>95</v>
      </c>
      <c r="O7" s="385" t="s">
        <v>27</v>
      </c>
      <c r="P7" s="139"/>
      <c r="Q7" s="388" t="s">
        <v>86</v>
      </c>
      <c r="R7" s="1"/>
    </row>
    <row r="8" spans="1:18" ht="15.6" x14ac:dyDescent="0.3">
      <c r="A8" s="386"/>
      <c r="B8" s="386"/>
      <c r="C8" s="48">
        <v>13600</v>
      </c>
      <c r="D8" s="386"/>
      <c r="E8" s="386"/>
      <c r="F8" s="386"/>
      <c r="G8" s="386"/>
      <c r="H8" s="386"/>
      <c r="I8" s="386"/>
      <c r="J8" s="386"/>
      <c r="K8" s="386"/>
      <c r="L8" s="386"/>
      <c r="M8" s="356"/>
      <c r="N8" s="386"/>
      <c r="O8" s="386"/>
      <c r="P8" s="140"/>
      <c r="Q8" s="389"/>
      <c r="R8" s="1"/>
    </row>
    <row r="9" spans="1:18" ht="16.2" thickBot="1" x14ac:dyDescent="0.35">
      <c r="A9" s="387"/>
      <c r="B9" s="387"/>
      <c r="C9" s="44">
        <v>26550</v>
      </c>
      <c r="D9" s="387"/>
      <c r="E9" s="387"/>
      <c r="F9" s="387"/>
      <c r="G9" s="387"/>
      <c r="H9" s="387"/>
      <c r="I9" s="387"/>
      <c r="J9" s="387"/>
      <c r="K9" s="387"/>
      <c r="L9" s="387"/>
      <c r="M9" s="357"/>
      <c r="N9" s="387"/>
      <c r="O9" s="387"/>
      <c r="P9" s="141"/>
      <c r="Q9" s="390"/>
      <c r="R9" s="1"/>
    </row>
    <row r="10" spans="1:18" ht="16.2" thickBot="1" x14ac:dyDescent="0.35">
      <c r="A10" s="352" t="s">
        <v>100</v>
      </c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3"/>
      <c r="M10" s="353"/>
      <c r="N10" s="353"/>
      <c r="O10" s="353"/>
      <c r="P10" s="353"/>
      <c r="Q10" s="354"/>
      <c r="R10" s="1"/>
    </row>
    <row r="11" spans="1:18" ht="15.6" x14ac:dyDescent="0.3">
      <c r="A11" s="385">
        <v>64</v>
      </c>
      <c r="B11" s="385" t="s">
        <v>84</v>
      </c>
      <c r="C11" s="45">
        <v>-18373</v>
      </c>
      <c r="D11" s="385">
        <v>1</v>
      </c>
      <c r="E11" s="385" t="s">
        <v>24</v>
      </c>
      <c r="F11" s="385">
        <v>400</v>
      </c>
      <c r="G11" s="388">
        <v>340</v>
      </c>
      <c r="H11" s="385" t="s">
        <v>96</v>
      </c>
      <c r="I11" s="385">
        <v>50</v>
      </c>
      <c r="J11" s="385" t="s">
        <v>13</v>
      </c>
      <c r="K11" s="385">
        <v>125</v>
      </c>
      <c r="L11" s="385">
        <v>87.5</v>
      </c>
      <c r="M11" s="355" t="s">
        <v>14</v>
      </c>
      <c r="N11" s="388" t="s">
        <v>101</v>
      </c>
      <c r="O11" s="385" t="s">
        <v>27</v>
      </c>
      <c r="P11" s="139"/>
      <c r="Q11" s="388" t="s">
        <v>98</v>
      </c>
      <c r="R11" s="1"/>
    </row>
    <row r="12" spans="1:18" ht="15.6" x14ac:dyDescent="0.3">
      <c r="A12" s="386"/>
      <c r="B12" s="386"/>
      <c r="C12" s="46">
        <v>-9269</v>
      </c>
      <c r="D12" s="386"/>
      <c r="E12" s="386"/>
      <c r="F12" s="386"/>
      <c r="G12" s="389"/>
      <c r="H12" s="386"/>
      <c r="I12" s="386"/>
      <c r="J12" s="386"/>
      <c r="K12" s="386"/>
      <c r="L12" s="386"/>
      <c r="M12" s="356"/>
      <c r="N12" s="389"/>
      <c r="O12" s="386"/>
      <c r="P12" s="140"/>
      <c r="Q12" s="389"/>
      <c r="R12" s="1"/>
    </row>
    <row r="13" spans="1:18" ht="16.2" thickBot="1" x14ac:dyDescent="0.35">
      <c r="A13" s="387"/>
      <c r="B13" s="387"/>
      <c r="C13" s="47">
        <v>34208</v>
      </c>
      <c r="D13" s="387"/>
      <c r="E13" s="387"/>
      <c r="F13" s="387"/>
      <c r="G13" s="390"/>
      <c r="H13" s="387"/>
      <c r="I13" s="387"/>
      <c r="J13" s="387"/>
      <c r="K13" s="387"/>
      <c r="L13" s="387"/>
      <c r="M13" s="357"/>
      <c r="N13" s="390"/>
      <c r="O13" s="387"/>
      <c r="P13" s="141"/>
      <c r="Q13" s="390"/>
      <c r="R13" s="1"/>
    </row>
    <row r="14" spans="1:18" ht="15.6" x14ac:dyDescent="0.3">
      <c r="A14" s="385">
        <v>65</v>
      </c>
      <c r="B14" s="385" t="s">
        <v>87</v>
      </c>
      <c r="C14" s="45">
        <v>-18031</v>
      </c>
      <c r="D14" s="385">
        <v>1</v>
      </c>
      <c r="E14" s="385" t="s">
        <v>24</v>
      </c>
      <c r="F14" s="385">
        <v>400</v>
      </c>
      <c r="G14" s="388">
        <v>340</v>
      </c>
      <c r="H14" s="385" t="s">
        <v>96</v>
      </c>
      <c r="I14" s="385">
        <v>50</v>
      </c>
      <c r="J14" s="385" t="s">
        <v>13</v>
      </c>
      <c r="K14" s="385">
        <v>135</v>
      </c>
      <c r="L14" s="385">
        <v>77.5</v>
      </c>
      <c r="M14" s="355" t="s">
        <v>14</v>
      </c>
      <c r="N14" s="388" t="s">
        <v>101</v>
      </c>
      <c r="O14" s="385" t="s">
        <v>27</v>
      </c>
      <c r="P14" s="139"/>
      <c r="Q14" s="388" t="s">
        <v>98</v>
      </c>
      <c r="R14" s="1"/>
    </row>
    <row r="15" spans="1:18" ht="15.6" x14ac:dyDescent="0.3">
      <c r="A15" s="386"/>
      <c r="B15" s="386"/>
      <c r="C15" s="46">
        <v>-9878</v>
      </c>
      <c r="D15" s="386"/>
      <c r="E15" s="386"/>
      <c r="F15" s="386"/>
      <c r="G15" s="389"/>
      <c r="H15" s="386"/>
      <c r="I15" s="386"/>
      <c r="J15" s="386"/>
      <c r="K15" s="386"/>
      <c r="L15" s="386"/>
      <c r="M15" s="356"/>
      <c r="N15" s="389"/>
      <c r="O15" s="386"/>
      <c r="P15" s="140"/>
      <c r="Q15" s="389"/>
      <c r="R15" s="1"/>
    </row>
    <row r="16" spans="1:18" ht="16.2" thickBot="1" x14ac:dyDescent="0.35">
      <c r="A16" s="387"/>
      <c r="B16" s="387"/>
      <c r="C16" s="47">
        <v>34208</v>
      </c>
      <c r="D16" s="387"/>
      <c r="E16" s="387"/>
      <c r="F16" s="387"/>
      <c r="G16" s="390"/>
      <c r="H16" s="387"/>
      <c r="I16" s="387"/>
      <c r="J16" s="387"/>
      <c r="K16" s="387"/>
      <c r="L16" s="387"/>
      <c r="M16" s="357"/>
      <c r="N16" s="390"/>
      <c r="O16" s="387"/>
      <c r="P16" s="141"/>
      <c r="Q16" s="390"/>
      <c r="R16" s="1"/>
    </row>
    <row r="17" spans="1:18" ht="16.2" thickBot="1" x14ac:dyDescent="0.35">
      <c r="A17" s="352" t="s">
        <v>102</v>
      </c>
      <c r="B17" s="353"/>
      <c r="C17" s="353"/>
      <c r="D17" s="353"/>
      <c r="E17" s="353"/>
      <c r="F17" s="353"/>
      <c r="G17" s="353"/>
      <c r="H17" s="353"/>
      <c r="I17" s="353"/>
      <c r="J17" s="353"/>
      <c r="K17" s="353"/>
      <c r="L17" s="353"/>
      <c r="M17" s="353"/>
      <c r="N17" s="353"/>
      <c r="O17" s="353"/>
      <c r="P17" s="353"/>
      <c r="Q17" s="354"/>
      <c r="R17" s="1"/>
    </row>
    <row r="18" spans="1:18" ht="15.6" x14ac:dyDescent="0.3">
      <c r="A18" s="388">
        <v>66</v>
      </c>
      <c r="B18" s="388" t="s">
        <v>10</v>
      </c>
      <c r="C18" s="45">
        <v>9155</v>
      </c>
      <c r="D18" s="388">
        <v>1</v>
      </c>
      <c r="E18" s="388" t="s">
        <v>30</v>
      </c>
      <c r="F18" s="388">
        <v>800</v>
      </c>
      <c r="G18" s="388">
        <v>800</v>
      </c>
      <c r="H18" s="388" t="s">
        <v>25</v>
      </c>
      <c r="I18" s="388">
        <v>20</v>
      </c>
      <c r="J18" s="388" t="s">
        <v>13</v>
      </c>
      <c r="K18" s="388" t="s">
        <v>13</v>
      </c>
      <c r="L18" s="388">
        <v>29</v>
      </c>
      <c r="M18" s="355" t="s">
        <v>14</v>
      </c>
      <c r="N18" s="388" t="s">
        <v>103</v>
      </c>
      <c r="O18" s="388" t="s">
        <v>27</v>
      </c>
      <c r="P18" s="145"/>
      <c r="Q18" s="388" t="s">
        <v>28</v>
      </c>
      <c r="R18" s="1"/>
    </row>
    <row r="19" spans="1:18" ht="15.6" x14ac:dyDescent="0.3">
      <c r="A19" s="389"/>
      <c r="B19" s="389"/>
      <c r="C19" s="46">
        <v>23693</v>
      </c>
      <c r="D19" s="389"/>
      <c r="E19" s="389"/>
      <c r="F19" s="389"/>
      <c r="G19" s="389"/>
      <c r="H19" s="389"/>
      <c r="I19" s="389"/>
      <c r="J19" s="389"/>
      <c r="K19" s="389"/>
      <c r="L19" s="389"/>
      <c r="M19" s="356"/>
      <c r="N19" s="389"/>
      <c r="O19" s="389"/>
      <c r="P19" s="146"/>
      <c r="Q19" s="389"/>
      <c r="R19" s="1"/>
    </row>
    <row r="20" spans="1:18" ht="16.2" thickBot="1" x14ac:dyDescent="0.35">
      <c r="A20" s="390"/>
      <c r="B20" s="390"/>
      <c r="C20" s="47">
        <v>3800</v>
      </c>
      <c r="D20" s="390"/>
      <c r="E20" s="390"/>
      <c r="F20" s="390"/>
      <c r="G20" s="390"/>
      <c r="H20" s="390"/>
      <c r="I20" s="390"/>
      <c r="J20" s="390"/>
      <c r="K20" s="390"/>
      <c r="L20" s="390"/>
      <c r="M20" s="357"/>
      <c r="N20" s="390"/>
      <c r="O20" s="390"/>
      <c r="P20" s="147"/>
      <c r="Q20" s="390"/>
      <c r="R20" s="1"/>
    </row>
    <row r="21" spans="1:18" ht="15.6" x14ac:dyDescent="0.3">
      <c r="A21" s="388">
        <v>67</v>
      </c>
      <c r="B21" s="388" t="s">
        <v>10</v>
      </c>
      <c r="C21" s="45">
        <v>-24555</v>
      </c>
      <c r="D21" s="388">
        <v>1</v>
      </c>
      <c r="E21" s="388" t="s">
        <v>30</v>
      </c>
      <c r="F21" s="388">
        <v>800</v>
      </c>
      <c r="G21" s="388">
        <v>800</v>
      </c>
      <c r="H21" s="388" t="s">
        <v>25</v>
      </c>
      <c r="I21" s="388">
        <v>20</v>
      </c>
      <c r="J21" s="388" t="s">
        <v>13</v>
      </c>
      <c r="K21" s="388" t="s">
        <v>13</v>
      </c>
      <c r="L21" s="388">
        <v>29</v>
      </c>
      <c r="M21" s="355" t="s">
        <v>14</v>
      </c>
      <c r="N21" s="388" t="s">
        <v>104</v>
      </c>
      <c r="O21" s="388" t="s">
        <v>27</v>
      </c>
      <c r="P21" s="145"/>
      <c r="Q21" s="388" t="s">
        <v>28</v>
      </c>
      <c r="R21" s="1"/>
    </row>
    <row r="22" spans="1:18" ht="15.6" x14ac:dyDescent="0.3">
      <c r="A22" s="389"/>
      <c r="B22" s="389"/>
      <c r="C22" s="46">
        <v>6495</v>
      </c>
      <c r="D22" s="389"/>
      <c r="E22" s="389"/>
      <c r="F22" s="389"/>
      <c r="G22" s="389"/>
      <c r="H22" s="389"/>
      <c r="I22" s="389"/>
      <c r="J22" s="389"/>
      <c r="K22" s="389"/>
      <c r="L22" s="389"/>
      <c r="M22" s="356"/>
      <c r="N22" s="389"/>
      <c r="O22" s="389"/>
      <c r="P22" s="146"/>
      <c r="Q22" s="389"/>
      <c r="R22" s="1"/>
    </row>
    <row r="23" spans="1:18" ht="16.2" thickBot="1" x14ac:dyDescent="0.35">
      <c r="A23" s="390"/>
      <c r="B23" s="390"/>
      <c r="C23" s="47">
        <v>2480</v>
      </c>
      <c r="D23" s="390"/>
      <c r="E23" s="390"/>
      <c r="F23" s="390"/>
      <c r="G23" s="390"/>
      <c r="H23" s="390"/>
      <c r="I23" s="390"/>
      <c r="J23" s="390"/>
      <c r="K23" s="390"/>
      <c r="L23" s="390"/>
      <c r="M23" s="357"/>
      <c r="N23" s="390"/>
      <c r="O23" s="390"/>
      <c r="P23" s="147"/>
      <c r="Q23" s="390"/>
      <c r="R23" s="1"/>
    </row>
    <row r="24" spans="1:18" ht="15.6" x14ac:dyDescent="0.3">
      <c r="A24" s="388">
        <v>68</v>
      </c>
      <c r="B24" s="388" t="s">
        <v>10</v>
      </c>
      <c r="C24" s="45">
        <v>-24555</v>
      </c>
      <c r="D24" s="388">
        <v>1</v>
      </c>
      <c r="E24" s="388" t="s">
        <v>30</v>
      </c>
      <c r="F24" s="388">
        <v>800</v>
      </c>
      <c r="G24" s="388">
        <v>800</v>
      </c>
      <c r="H24" s="388" t="s">
        <v>25</v>
      </c>
      <c r="I24" s="388">
        <v>20</v>
      </c>
      <c r="J24" s="388" t="s">
        <v>13</v>
      </c>
      <c r="K24" s="388" t="s">
        <v>13</v>
      </c>
      <c r="L24" s="388">
        <v>29</v>
      </c>
      <c r="M24" s="355" t="s">
        <v>14</v>
      </c>
      <c r="N24" s="388" t="s">
        <v>105</v>
      </c>
      <c r="O24" s="388" t="s">
        <v>27</v>
      </c>
      <c r="P24" s="145"/>
      <c r="Q24" s="388" t="s">
        <v>28</v>
      </c>
      <c r="R24" s="1"/>
    </row>
    <row r="25" spans="1:18" ht="15.6" x14ac:dyDescent="0.3">
      <c r="A25" s="389"/>
      <c r="B25" s="389"/>
      <c r="C25" s="46">
        <v>-6496</v>
      </c>
      <c r="D25" s="389"/>
      <c r="E25" s="389"/>
      <c r="F25" s="389"/>
      <c r="G25" s="389"/>
      <c r="H25" s="389"/>
      <c r="I25" s="389"/>
      <c r="J25" s="389"/>
      <c r="K25" s="389"/>
      <c r="L25" s="389"/>
      <c r="M25" s="356"/>
      <c r="N25" s="389"/>
      <c r="O25" s="389"/>
      <c r="P25" s="146"/>
      <c r="Q25" s="389"/>
      <c r="R25" s="1"/>
    </row>
    <row r="26" spans="1:18" ht="16.2" thickBot="1" x14ac:dyDescent="0.35">
      <c r="A26" s="390"/>
      <c r="B26" s="390"/>
      <c r="C26" s="47">
        <v>2480</v>
      </c>
      <c r="D26" s="390"/>
      <c r="E26" s="390"/>
      <c r="F26" s="390"/>
      <c r="G26" s="390"/>
      <c r="H26" s="390"/>
      <c r="I26" s="390"/>
      <c r="J26" s="390"/>
      <c r="K26" s="390"/>
      <c r="L26" s="390"/>
      <c r="M26" s="357"/>
      <c r="N26" s="390"/>
      <c r="O26" s="390"/>
      <c r="P26" s="147"/>
      <c r="Q26" s="390"/>
      <c r="R26" s="1"/>
    </row>
    <row r="27" spans="1:18" ht="15.6" x14ac:dyDescent="0.3">
      <c r="A27" s="388">
        <v>69</v>
      </c>
      <c r="B27" s="388" t="s">
        <v>10</v>
      </c>
      <c r="C27" s="45">
        <v>-24701</v>
      </c>
      <c r="D27" s="388">
        <v>1</v>
      </c>
      <c r="E27" s="388" t="s">
        <v>30</v>
      </c>
      <c r="F27" s="388">
        <v>800</v>
      </c>
      <c r="G27" s="388">
        <v>800</v>
      </c>
      <c r="H27" s="388" t="s">
        <v>25</v>
      </c>
      <c r="I27" s="388">
        <v>20</v>
      </c>
      <c r="J27" s="388" t="s">
        <v>13</v>
      </c>
      <c r="K27" s="388" t="s">
        <v>13</v>
      </c>
      <c r="L27" s="388">
        <v>29</v>
      </c>
      <c r="M27" s="355" t="s">
        <v>14</v>
      </c>
      <c r="N27" s="388" t="s">
        <v>106</v>
      </c>
      <c r="O27" s="388" t="s">
        <v>27</v>
      </c>
      <c r="P27" s="145"/>
      <c r="Q27" s="388" t="s">
        <v>28</v>
      </c>
      <c r="R27" s="1"/>
    </row>
    <row r="28" spans="1:18" ht="15.6" x14ac:dyDescent="0.3">
      <c r="A28" s="389"/>
      <c r="B28" s="389"/>
      <c r="C28" s="46">
        <v>-3852</v>
      </c>
      <c r="D28" s="389"/>
      <c r="E28" s="389"/>
      <c r="F28" s="389"/>
      <c r="G28" s="389"/>
      <c r="H28" s="389"/>
      <c r="I28" s="389"/>
      <c r="J28" s="389"/>
      <c r="K28" s="389"/>
      <c r="L28" s="389"/>
      <c r="M28" s="356"/>
      <c r="N28" s="389"/>
      <c r="O28" s="389"/>
      <c r="P28" s="146"/>
      <c r="Q28" s="389"/>
      <c r="R28" s="1"/>
    </row>
    <row r="29" spans="1:18" ht="16.2" thickBot="1" x14ac:dyDescent="0.35">
      <c r="A29" s="390"/>
      <c r="B29" s="390"/>
      <c r="C29" s="47">
        <v>4000</v>
      </c>
      <c r="D29" s="390"/>
      <c r="E29" s="390"/>
      <c r="F29" s="390"/>
      <c r="G29" s="390"/>
      <c r="H29" s="390"/>
      <c r="I29" s="390"/>
      <c r="J29" s="390"/>
      <c r="K29" s="390"/>
      <c r="L29" s="390"/>
      <c r="M29" s="357"/>
      <c r="N29" s="390"/>
      <c r="O29" s="390"/>
      <c r="P29" s="147"/>
      <c r="Q29" s="390"/>
      <c r="R29" s="1"/>
    </row>
    <row r="30" spans="1:18" ht="15.6" x14ac:dyDescent="0.3">
      <c r="A30" s="388">
        <v>70</v>
      </c>
      <c r="B30" s="388" t="s">
        <v>23</v>
      </c>
      <c r="C30" s="45">
        <v>15108</v>
      </c>
      <c r="D30" s="388">
        <v>1</v>
      </c>
      <c r="E30" s="388" t="s">
        <v>24</v>
      </c>
      <c r="F30" s="388">
        <v>800</v>
      </c>
      <c r="G30" s="388">
        <v>800</v>
      </c>
      <c r="H30" s="388" t="s">
        <v>107</v>
      </c>
      <c r="I30" s="388">
        <v>60</v>
      </c>
      <c r="J30" s="388" t="s">
        <v>13</v>
      </c>
      <c r="K30" s="388" t="s">
        <v>13</v>
      </c>
      <c r="L30" s="388">
        <v>17</v>
      </c>
      <c r="M30" s="355" t="s">
        <v>14</v>
      </c>
      <c r="N30" s="388" t="s">
        <v>108</v>
      </c>
      <c r="O30" s="388" t="s">
        <v>27</v>
      </c>
      <c r="P30" s="145"/>
      <c r="Q30" s="388" t="s">
        <v>109</v>
      </c>
      <c r="R30" s="1"/>
    </row>
    <row r="31" spans="1:18" ht="15.6" x14ac:dyDescent="0.3">
      <c r="A31" s="389"/>
      <c r="B31" s="389"/>
      <c r="C31" s="46">
        <v>20418</v>
      </c>
      <c r="D31" s="389"/>
      <c r="E31" s="389"/>
      <c r="F31" s="389"/>
      <c r="G31" s="389"/>
      <c r="H31" s="389"/>
      <c r="I31" s="389"/>
      <c r="J31" s="389"/>
      <c r="K31" s="389"/>
      <c r="L31" s="389"/>
      <c r="M31" s="356"/>
      <c r="N31" s="389"/>
      <c r="O31" s="389"/>
      <c r="P31" s="146"/>
      <c r="Q31" s="389"/>
      <c r="R31" s="1"/>
    </row>
    <row r="32" spans="1:18" ht="16.2" thickBot="1" x14ac:dyDescent="0.35">
      <c r="A32" s="390"/>
      <c r="B32" s="390"/>
      <c r="C32" s="47">
        <v>3607</v>
      </c>
      <c r="D32" s="390"/>
      <c r="E32" s="390"/>
      <c r="F32" s="390"/>
      <c r="G32" s="390"/>
      <c r="H32" s="390"/>
      <c r="I32" s="390"/>
      <c r="J32" s="390"/>
      <c r="K32" s="390"/>
      <c r="L32" s="390"/>
      <c r="M32" s="357"/>
      <c r="N32" s="390"/>
      <c r="O32" s="390"/>
      <c r="P32" s="147"/>
      <c r="Q32" s="390"/>
      <c r="R32" s="1"/>
    </row>
    <row r="33" spans="1:18" ht="15.6" x14ac:dyDescent="0.3">
      <c r="A33" s="385">
        <v>71</v>
      </c>
      <c r="B33" s="385" t="s">
        <v>43</v>
      </c>
      <c r="C33" s="43">
        <v>-25681</v>
      </c>
      <c r="D33" s="385">
        <v>1</v>
      </c>
      <c r="E33" s="385" t="s">
        <v>25</v>
      </c>
      <c r="F33" s="385">
        <v>800</v>
      </c>
      <c r="G33" s="385">
        <v>800</v>
      </c>
      <c r="H33" s="385" t="s">
        <v>44</v>
      </c>
      <c r="I33" s="385">
        <v>90</v>
      </c>
      <c r="J33" s="385" t="s">
        <v>45</v>
      </c>
      <c r="K33" s="385">
        <v>0</v>
      </c>
      <c r="L33" s="385">
        <v>75</v>
      </c>
      <c r="M33" s="355" t="s">
        <v>14</v>
      </c>
      <c r="N33" s="388" t="s">
        <v>110</v>
      </c>
      <c r="O33" s="385" t="s">
        <v>111</v>
      </c>
      <c r="P33" s="139"/>
      <c r="Q33" s="385" t="s">
        <v>112</v>
      </c>
      <c r="R33" s="1"/>
    </row>
    <row r="34" spans="1:18" ht="15.6" x14ac:dyDescent="0.3">
      <c r="A34" s="386"/>
      <c r="B34" s="386"/>
      <c r="C34" s="48">
        <v>2473</v>
      </c>
      <c r="D34" s="386"/>
      <c r="E34" s="386"/>
      <c r="F34" s="386"/>
      <c r="G34" s="386"/>
      <c r="H34" s="386"/>
      <c r="I34" s="386"/>
      <c r="J34" s="386"/>
      <c r="K34" s="386"/>
      <c r="L34" s="386"/>
      <c r="M34" s="356"/>
      <c r="N34" s="389"/>
      <c r="O34" s="386"/>
      <c r="P34" s="140"/>
      <c r="Q34" s="386"/>
      <c r="R34" s="1"/>
    </row>
    <row r="35" spans="1:18" ht="16.2" thickBot="1" x14ac:dyDescent="0.35">
      <c r="A35" s="387"/>
      <c r="B35" s="387"/>
      <c r="C35" s="44">
        <v>2880</v>
      </c>
      <c r="D35" s="387"/>
      <c r="E35" s="387"/>
      <c r="F35" s="387"/>
      <c r="G35" s="387"/>
      <c r="H35" s="387"/>
      <c r="I35" s="387"/>
      <c r="J35" s="387"/>
      <c r="K35" s="387"/>
      <c r="L35" s="387"/>
      <c r="M35" s="357"/>
      <c r="N35" s="390"/>
      <c r="O35" s="387"/>
      <c r="P35" s="141"/>
      <c r="Q35" s="387"/>
      <c r="R35" s="1"/>
    </row>
    <row r="36" spans="1:18" ht="16.2" thickBot="1" x14ac:dyDescent="0.35">
      <c r="A36" s="352" t="s">
        <v>113</v>
      </c>
      <c r="B36" s="353"/>
      <c r="C36" s="353"/>
      <c r="D36" s="353"/>
      <c r="E36" s="353"/>
      <c r="F36" s="353"/>
      <c r="G36" s="353"/>
      <c r="H36" s="353"/>
      <c r="I36" s="353"/>
      <c r="J36" s="353"/>
      <c r="K36" s="353"/>
      <c r="L36" s="353"/>
      <c r="M36" s="353"/>
      <c r="N36" s="353"/>
      <c r="O36" s="353"/>
      <c r="P36" s="353"/>
      <c r="Q36" s="354"/>
      <c r="R36" s="1"/>
    </row>
    <row r="37" spans="1:18" ht="15.6" x14ac:dyDescent="0.3">
      <c r="A37" s="385">
        <v>72</v>
      </c>
      <c r="B37" s="385" t="s">
        <v>114</v>
      </c>
      <c r="C37" s="43">
        <v>-20073</v>
      </c>
      <c r="D37" s="385">
        <v>1</v>
      </c>
      <c r="E37" s="385" t="s">
        <v>25</v>
      </c>
      <c r="F37" s="385">
        <v>500</v>
      </c>
      <c r="G37" s="385">
        <v>400</v>
      </c>
      <c r="H37" s="385" t="s">
        <v>44</v>
      </c>
      <c r="I37" s="385">
        <v>90</v>
      </c>
      <c r="J37" s="385" t="s">
        <v>45</v>
      </c>
      <c r="K37" s="385">
        <v>0</v>
      </c>
      <c r="L37" s="385">
        <v>75</v>
      </c>
      <c r="M37" s="355" t="s">
        <v>14</v>
      </c>
      <c r="N37" s="385" t="s">
        <v>115</v>
      </c>
      <c r="O37" s="385" t="s">
        <v>16</v>
      </c>
      <c r="P37" s="139"/>
      <c r="Q37" s="385" t="s">
        <v>116</v>
      </c>
      <c r="R37" s="1"/>
    </row>
    <row r="38" spans="1:18" ht="15.6" x14ac:dyDescent="0.3">
      <c r="A38" s="386"/>
      <c r="B38" s="386"/>
      <c r="C38" s="48">
        <v>16993</v>
      </c>
      <c r="D38" s="386"/>
      <c r="E38" s="386"/>
      <c r="F38" s="386"/>
      <c r="G38" s="386"/>
      <c r="H38" s="386"/>
      <c r="I38" s="386"/>
      <c r="J38" s="386"/>
      <c r="K38" s="386"/>
      <c r="L38" s="386"/>
      <c r="M38" s="356"/>
      <c r="N38" s="386"/>
      <c r="O38" s="386"/>
      <c r="P38" s="140"/>
      <c r="Q38" s="386"/>
      <c r="R38" s="1"/>
    </row>
    <row r="39" spans="1:18" ht="16.2" thickBot="1" x14ac:dyDescent="0.35">
      <c r="A39" s="387"/>
      <c r="B39" s="387"/>
      <c r="C39" s="44">
        <v>54050</v>
      </c>
      <c r="D39" s="387"/>
      <c r="E39" s="387"/>
      <c r="F39" s="387"/>
      <c r="G39" s="387"/>
      <c r="H39" s="387"/>
      <c r="I39" s="387"/>
      <c r="J39" s="387"/>
      <c r="K39" s="387"/>
      <c r="L39" s="387"/>
      <c r="M39" s="357"/>
      <c r="N39" s="387"/>
      <c r="O39" s="387"/>
      <c r="P39" s="141"/>
      <c r="Q39" s="387"/>
      <c r="R39" s="1"/>
    </row>
    <row r="40" spans="1:18" ht="16.2" thickBot="1" x14ac:dyDescent="0.35">
      <c r="A40" s="352" t="s">
        <v>117</v>
      </c>
      <c r="B40" s="353"/>
      <c r="C40" s="353"/>
      <c r="D40" s="353"/>
      <c r="E40" s="353"/>
      <c r="F40" s="353"/>
      <c r="G40" s="353"/>
      <c r="H40" s="353"/>
      <c r="I40" s="353"/>
      <c r="J40" s="353"/>
      <c r="K40" s="353"/>
      <c r="L40" s="353"/>
      <c r="M40" s="353"/>
      <c r="N40" s="353"/>
      <c r="O40" s="353"/>
      <c r="P40" s="353"/>
      <c r="Q40" s="354"/>
      <c r="R40" s="1"/>
    </row>
    <row r="41" spans="1:18" ht="15.6" x14ac:dyDescent="0.3">
      <c r="A41" s="385">
        <v>73</v>
      </c>
      <c r="B41" s="385" t="s">
        <v>118</v>
      </c>
      <c r="C41" s="43">
        <v>-12342</v>
      </c>
      <c r="D41" s="385">
        <v>1</v>
      </c>
      <c r="E41" s="385" t="s">
        <v>25</v>
      </c>
      <c r="F41" s="385">
        <v>400</v>
      </c>
      <c r="G41" s="385">
        <v>400</v>
      </c>
      <c r="H41" s="385" t="s">
        <v>44</v>
      </c>
      <c r="I41" s="385">
        <v>115</v>
      </c>
      <c r="J41" s="385" t="s">
        <v>45</v>
      </c>
      <c r="K41" s="385">
        <v>0</v>
      </c>
      <c r="L41" s="385">
        <v>64.7</v>
      </c>
      <c r="M41" s="355" t="s">
        <v>14</v>
      </c>
      <c r="N41" s="388" t="s">
        <v>119</v>
      </c>
      <c r="O41" s="385" t="s">
        <v>16</v>
      </c>
      <c r="P41" s="139"/>
      <c r="Q41" s="385" t="s">
        <v>120</v>
      </c>
      <c r="R41" s="1"/>
    </row>
    <row r="42" spans="1:18" ht="15.6" x14ac:dyDescent="0.3">
      <c r="A42" s="386"/>
      <c r="B42" s="386"/>
      <c r="C42" s="48">
        <v>18831</v>
      </c>
      <c r="D42" s="386"/>
      <c r="E42" s="386"/>
      <c r="F42" s="386"/>
      <c r="G42" s="386"/>
      <c r="H42" s="386"/>
      <c r="I42" s="386"/>
      <c r="J42" s="386"/>
      <c r="K42" s="386"/>
      <c r="L42" s="386"/>
      <c r="M42" s="356"/>
      <c r="N42" s="389"/>
      <c r="O42" s="386"/>
      <c r="P42" s="140"/>
      <c r="Q42" s="386"/>
      <c r="R42" s="1"/>
    </row>
    <row r="43" spans="1:18" ht="16.2" thickBot="1" x14ac:dyDescent="0.35">
      <c r="A43" s="387"/>
      <c r="B43" s="387"/>
      <c r="C43" s="44">
        <v>57565</v>
      </c>
      <c r="D43" s="387"/>
      <c r="E43" s="387"/>
      <c r="F43" s="387"/>
      <c r="G43" s="387"/>
      <c r="H43" s="387"/>
      <c r="I43" s="387"/>
      <c r="J43" s="387"/>
      <c r="K43" s="387"/>
      <c r="L43" s="387"/>
      <c r="M43" s="357"/>
      <c r="N43" s="390"/>
      <c r="O43" s="387"/>
      <c r="P43" s="141"/>
      <c r="Q43" s="387"/>
      <c r="R43" s="1"/>
    </row>
    <row r="44" spans="1:18" ht="15.6" x14ac:dyDescent="0.3">
      <c r="A44" s="385">
        <v>74</v>
      </c>
      <c r="B44" s="385" t="s">
        <v>118</v>
      </c>
      <c r="C44" s="43">
        <v>-9812</v>
      </c>
      <c r="D44" s="385">
        <v>1</v>
      </c>
      <c r="E44" s="385" t="s">
        <v>25</v>
      </c>
      <c r="F44" s="385">
        <v>400</v>
      </c>
      <c r="G44" s="385">
        <v>400</v>
      </c>
      <c r="H44" s="385" t="s">
        <v>44</v>
      </c>
      <c r="I44" s="385">
        <v>115</v>
      </c>
      <c r="J44" s="385" t="s">
        <v>45</v>
      </c>
      <c r="K44" s="385">
        <v>0</v>
      </c>
      <c r="L44" s="385">
        <v>56.3</v>
      </c>
      <c r="M44" s="355" t="s">
        <v>14</v>
      </c>
      <c r="N44" s="385" t="s">
        <v>121</v>
      </c>
      <c r="O44" s="385" t="s">
        <v>16</v>
      </c>
      <c r="P44" s="139"/>
      <c r="Q44" s="385" t="s">
        <v>120</v>
      </c>
      <c r="R44" s="1"/>
    </row>
    <row r="45" spans="1:18" ht="15.6" x14ac:dyDescent="0.3">
      <c r="A45" s="386"/>
      <c r="B45" s="386"/>
      <c r="C45" s="48">
        <v>20337</v>
      </c>
      <c r="D45" s="386"/>
      <c r="E45" s="386"/>
      <c r="F45" s="386"/>
      <c r="G45" s="386"/>
      <c r="H45" s="386"/>
      <c r="I45" s="386"/>
      <c r="J45" s="386"/>
      <c r="K45" s="386"/>
      <c r="L45" s="386"/>
      <c r="M45" s="356"/>
      <c r="N45" s="386"/>
      <c r="O45" s="386"/>
      <c r="P45" s="140"/>
      <c r="Q45" s="386"/>
      <c r="R45" s="1"/>
    </row>
    <row r="46" spans="1:18" ht="16.2" thickBot="1" x14ac:dyDescent="0.35">
      <c r="A46" s="387"/>
      <c r="B46" s="387"/>
      <c r="C46" s="44">
        <v>57575</v>
      </c>
      <c r="D46" s="387"/>
      <c r="E46" s="387"/>
      <c r="F46" s="387"/>
      <c r="G46" s="387"/>
      <c r="H46" s="387"/>
      <c r="I46" s="387"/>
      <c r="J46" s="387"/>
      <c r="K46" s="387"/>
      <c r="L46" s="387"/>
      <c r="M46" s="357"/>
      <c r="N46" s="387"/>
      <c r="O46" s="387"/>
      <c r="P46" s="141"/>
      <c r="Q46" s="387"/>
      <c r="R46" s="1"/>
    </row>
    <row r="47" spans="1:18" ht="15.6" x14ac:dyDescent="0.3">
      <c r="A47" s="385">
        <v>75</v>
      </c>
      <c r="B47" s="385" t="s">
        <v>122</v>
      </c>
      <c r="C47" s="43">
        <v>12342</v>
      </c>
      <c r="D47" s="385">
        <v>1</v>
      </c>
      <c r="E47" s="385" t="s">
        <v>25</v>
      </c>
      <c r="F47" s="385">
        <v>400</v>
      </c>
      <c r="G47" s="385">
        <v>400</v>
      </c>
      <c r="H47" s="385" t="s">
        <v>44</v>
      </c>
      <c r="I47" s="385">
        <v>115</v>
      </c>
      <c r="J47" s="385" t="s">
        <v>45</v>
      </c>
      <c r="K47" s="385">
        <v>0</v>
      </c>
      <c r="L47" s="385">
        <v>65</v>
      </c>
      <c r="M47" s="355" t="s">
        <v>14</v>
      </c>
      <c r="N47" s="385" t="s">
        <v>123</v>
      </c>
      <c r="O47" s="385" t="s">
        <v>16</v>
      </c>
      <c r="P47" s="139"/>
      <c r="Q47" s="385" t="s">
        <v>120</v>
      </c>
      <c r="R47" s="1"/>
    </row>
    <row r="48" spans="1:18" ht="15.6" x14ac:dyDescent="0.3">
      <c r="A48" s="386"/>
      <c r="B48" s="386"/>
      <c r="C48" s="48">
        <v>-18831</v>
      </c>
      <c r="D48" s="386"/>
      <c r="E48" s="386"/>
      <c r="F48" s="386"/>
      <c r="G48" s="386"/>
      <c r="H48" s="386"/>
      <c r="I48" s="386"/>
      <c r="J48" s="386"/>
      <c r="K48" s="386"/>
      <c r="L48" s="386"/>
      <c r="M48" s="356"/>
      <c r="N48" s="386"/>
      <c r="O48" s="386"/>
      <c r="P48" s="140"/>
      <c r="Q48" s="386"/>
      <c r="R48" s="1"/>
    </row>
    <row r="49" spans="1:18" ht="16.2" thickBot="1" x14ac:dyDescent="0.35">
      <c r="A49" s="387"/>
      <c r="B49" s="387"/>
      <c r="C49" s="44">
        <v>57675</v>
      </c>
      <c r="D49" s="387"/>
      <c r="E49" s="387"/>
      <c r="F49" s="387"/>
      <c r="G49" s="387"/>
      <c r="H49" s="387"/>
      <c r="I49" s="387"/>
      <c r="J49" s="387"/>
      <c r="K49" s="387"/>
      <c r="L49" s="387"/>
      <c r="M49" s="357"/>
      <c r="N49" s="387"/>
      <c r="O49" s="387"/>
      <c r="P49" s="141"/>
      <c r="Q49" s="387"/>
      <c r="R49" s="1"/>
    </row>
    <row r="50" spans="1:18" ht="15.6" x14ac:dyDescent="0.3">
      <c r="A50" s="385">
        <v>76</v>
      </c>
      <c r="B50" s="385" t="s">
        <v>122</v>
      </c>
      <c r="C50" s="43">
        <v>9812</v>
      </c>
      <c r="D50" s="385">
        <v>1</v>
      </c>
      <c r="E50" s="385" t="s">
        <v>25</v>
      </c>
      <c r="F50" s="385">
        <v>400</v>
      </c>
      <c r="G50" s="385">
        <v>400</v>
      </c>
      <c r="H50" s="385" t="s">
        <v>44</v>
      </c>
      <c r="I50" s="385">
        <v>115</v>
      </c>
      <c r="J50" s="385" t="s">
        <v>45</v>
      </c>
      <c r="K50" s="385">
        <v>0</v>
      </c>
      <c r="L50" s="385">
        <v>56.1</v>
      </c>
      <c r="M50" s="355" t="s">
        <v>14</v>
      </c>
      <c r="N50" s="385" t="s">
        <v>124</v>
      </c>
      <c r="O50" s="385" t="s">
        <v>16</v>
      </c>
      <c r="P50" s="139"/>
      <c r="Q50" s="385" t="s">
        <v>120</v>
      </c>
      <c r="R50" s="1"/>
    </row>
    <row r="51" spans="1:18" ht="15.6" x14ac:dyDescent="0.3">
      <c r="A51" s="386"/>
      <c r="B51" s="386"/>
      <c r="C51" s="48">
        <v>-20337</v>
      </c>
      <c r="D51" s="386"/>
      <c r="E51" s="386"/>
      <c r="F51" s="386"/>
      <c r="G51" s="386"/>
      <c r="H51" s="386"/>
      <c r="I51" s="386"/>
      <c r="J51" s="386"/>
      <c r="K51" s="386"/>
      <c r="L51" s="386"/>
      <c r="M51" s="356"/>
      <c r="N51" s="386"/>
      <c r="O51" s="386"/>
      <c r="P51" s="140"/>
      <c r="Q51" s="386"/>
      <c r="R51" s="1"/>
    </row>
    <row r="52" spans="1:18" ht="16.2" thickBot="1" x14ac:dyDescent="0.35">
      <c r="A52" s="387"/>
      <c r="B52" s="387"/>
      <c r="C52" s="44">
        <v>57665</v>
      </c>
      <c r="D52" s="387"/>
      <c r="E52" s="387"/>
      <c r="F52" s="387"/>
      <c r="G52" s="387"/>
      <c r="H52" s="387"/>
      <c r="I52" s="387"/>
      <c r="J52" s="387"/>
      <c r="K52" s="387"/>
      <c r="L52" s="387"/>
      <c r="M52" s="357"/>
      <c r="N52" s="387"/>
      <c r="O52" s="387"/>
      <c r="P52" s="141"/>
      <c r="Q52" s="387"/>
      <c r="R52" s="1"/>
    </row>
    <row r="53" spans="1:18" ht="15.6" x14ac:dyDescent="0.3">
      <c r="A53" s="385">
        <v>77</v>
      </c>
      <c r="B53" s="385" t="s">
        <v>122</v>
      </c>
      <c r="C53" s="43">
        <v>-18831</v>
      </c>
      <c r="D53" s="385">
        <v>1</v>
      </c>
      <c r="E53" s="385" t="s">
        <v>25</v>
      </c>
      <c r="F53" s="385">
        <v>400</v>
      </c>
      <c r="G53" s="385">
        <v>400</v>
      </c>
      <c r="H53" s="385" t="s">
        <v>44</v>
      </c>
      <c r="I53" s="385">
        <v>115</v>
      </c>
      <c r="J53" s="385" t="s">
        <v>45</v>
      </c>
      <c r="K53" s="385">
        <v>0</v>
      </c>
      <c r="L53" s="385">
        <v>65.099999999999994</v>
      </c>
      <c r="M53" s="355" t="s">
        <v>14</v>
      </c>
      <c r="N53" s="385" t="s">
        <v>125</v>
      </c>
      <c r="O53" s="385" t="s">
        <v>16</v>
      </c>
      <c r="P53" s="139"/>
      <c r="Q53" s="385" t="s">
        <v>120</v>
      </c>
      <c r="R53" s="1"/>
    </row>
    <row r="54" spans="1:18" ht="15.6" x14ac:dyDescent="0.3">
      <c r="A54" s="386"/>
      <c r="B54" s="386"/>
      <c r="C54" s="48">
        <v>-12342</v>
      </c>
      <c r="D54" s="386"/>
      <c r="E54" s="386"/>
      <c r="F54" s="386"/>
      <c r="G54" s="386"/>
      <c r="H54" s="386"/>
      <c r="I54" s="386"/>
      <c r="J54" s="386"/>
      <c r="K54" s="386"/>
      <c r="L54" s="386"/>
      <c r="M54" s="356"/>
      <c r="N54" s="386"/>
      <c r="O54" s="386"/>
      <c r="P54" s="140"/>
      <c r="Q54" s="386"/>
      <c r="R54" s="1"/>
    </row>
    <row r="55" spans="1:18" ht="16.2" thickBot="1" x14ac:dyDescent="0.35">
      <c r="A55" s="387"/>
      <c r="B55" s="387"/>
      <c r="C55" s="44">
        <v>57535</v>
      </c>
      <c r="D55" s="387"/>
      <c r="E55" s="387"/>
      <c r="F55" s="387"/>
      <c r="G55" s="387"/>
      <c r="H55" s="387"/>
      <c r="I55" s="387"/>
      <c r="J55" s="387"/>
      <c r="K55" s="387"/>
      <c r="L55" s="387"/>
      <c r="M55" s="357"/>
      <c r="N55" s="387"/>
      <c r="O55" s="387"/>
      <c r="P55" s="141"/>
      <c r="Q55" s="387"/>
      <c r="R55" s="1"/>
    </row>
    <row r="56" spans="1:18" ht="15.6" x14ac:dyDescent="0.3">
      <c r="A56" s="385">
        <v>78</v>
      </c>
      <c r="B56" s="385" t="s">
        <v>122</v>
      </c>
      <c r="C56" s="43">
        <v>-20337</v>
      </c>
      <c r="D56" s="385">
        <v>1</v>
      </c>
      <c r="E56" s="385" t="s">
        <v>25</v>
      </c>
      <c r="F56" s="385">
        <v>400</v>
      </c>
      <c r="G56" s="385">
        <v>400</v>
      </c>
      <c r="H56" s="385" t="s">
        <v>44</v>
      </c>
      <c r="I56" s="385">
        <v>115</v>
      </c>
      <c r="J56" s="385" t="s">
        <v>45</v>
      </c>
      <c r="K56" s="385">
        <v>0</v>
      </c>
      <c r="L56" s="385">
        <v>56.4</v>
      </c>
      <c r="M56" s="355" t="s">
        <v>14</v>
      </c>
      <c r="N56" s="385" t="s">
        <v>126</v>
      </c>
      <c r="O56" s="385" t="s">
        <v>16</v>
      </c>
      <c r="P56" s="139"/>
      <c r="Q56" s="385" t="s">
        <v>120</v>
      </c>
      <c r="R56" s="1"/>
    </row>
    <row r="57" spans="1:18" ht="15.6" x14ac:dyDescent="0.3">
      <c r="A57" s="386"/>
      <c r="B57" s="386"/>
      <c r="C57" s="48">
        <v>-9812</v>
      </c>
      <c r="D57" s="386"/>
      <c r="E57" s="386"/>
      <c r="F57" s="386"/>
      <c r="G57" s="386"/>
      <c r="H57" s="386"/>
      <c r="I57" s="386"/>
      <c r="J57" s="386"/>
      <c r="K57" s="386"/>
      <c r="L57" s="386"/>
      <c r="M57" s="356"/>
      <c r="N57" s="386"/>
      <c r="O57" s="386"/>
      <c r="P57" s="140"/>
      <c r="Q57" s="386"/>
      <c r="R57" s="1"/>
    </row>
    <row r="58" spans="1:18" ht="16.2" thickBot="1" x14ac:dyDescent="0.35">
      <c r="A58" s="387"/>
      <c r="B58" s="387"/>
      <c r="C58" s="44">
        <v>57520</v>
      </c>
      <c r="D58" s="387"/>
      <c r="E58" s="387"/>
      <c r="F58" s="387"/>
      <c r="G58" s="387"/>
      <c r="H58" s="387"/>
      <c r="I58" s="387"/>
      <c r="J58" s="387"/>
      <c r="K58" s="387"/>
      <c r="L58" s="387"/>
      <c r="M58" s="357"/>
      <c r="N58" s="387"/>
      <c r="O58" s="387"/>
      <c r="P58" s="141"/>
      <c r="Q58" s="387"/>
      <c r="R58" s="1"/>
    </row>
    <row r="59" spans="1:18" ht="15.6" x14ac:dyDescent="0.3">
      <c r="A59" s="385">
        <v>79</v>
      </c>
      <c r="B59" s="385" t="s">
        <v>114</v>
      </c>
      <c r="C59" s="43">
        <v>-19691</v>
      </c>
      <c r="D59" s="385">
        <v>1</v>
      </c>
      <c r="E59" s="385" t="s">
        <v>25</v>
      </c>
      <c r="F59" s="385">
        <v>600</v>
      </c>
      <c r="G59" s="385">
        <v>600</v>
      </c>
      <c r="H59" s="385" t="s">
        <v>44</v>
      </c>
      <c r="I59" s="385">
        <v>90</v>
      </c>
      <c r="J59" s="385" t="s">
        <v>45</v>
      </c>
      <c r="K59" s="385">
        <v>0</v>
      </c>
      <c r="L59" s="385">
        <v>75</v>
      </c>
      <c r="M59" s="355" t="s">
        <v>14</v>
      </c>
      <c r="N59" s="385" t="s">
        <v>127</v>
      </c>
      <c r="O59" s="385" t="s">
        <v>16</v>
      </c>
      <c r="P59" s="139"/>
      <c r="Q59" s="385" t="s">
        <v>120</v>
      </c>
      <c r="R59" s="1"/>
    </row>
    <row r="60" spans="1:18" ht="15.6" x14ac:dyDescent="0.3">
      <c r="A60" s="386"/>
      <c r="B60" s="386"/>
      <c r="C60" s="48">
        <v>16670</v>
      </c>
      <c r="D60" s="386"/>
      <c r="E60" s="386"/>
      <c r="F60" s="386"/>
      <c r="G60" s="386"/>
      <c r="H60" s="386"/>
      <c r="I60" s="386"/>
      <c r="J60" s="386"/>
      <c r="K60" s="386"/>
      <c r="L60" s="386"/>
      <c r="M60" s="356"/>
      <c r="N60" s="386"/>
      <c r="O60" s="386"/>
      <c r="P60" s="140"/>
      <c r="Q60" s="386"/>
      <c r="R60" s="1"/>
    </row>
    <row r="61" spans="1:18" ht="16.2" thickBot="1" x14ac:dyDescent="0.35">
      <c r="A61" s="387"/>
      <c r="B61" s="387"/>
      <c r="C61" s="44">
        <v>56650</v>
      </c>
      <c r="D61" s="387"/>
      <c r="E61" s="387"/>
      <c r="F61" s="387"/>
      <c r="G61" s="387"/>
      <c r="H61" s="387"/>
      <c r="I61" s="387"/>
      <c r="J61" s="387"/>
      <c r="K61" s="387"/>
      <c r="L61" s="387"/>
      <c r="M61" s="357"/>
      <c r="N61" s="387"/>
      <c r="O61" s="387"/>
      <c r="P61" s="141"/>
      <c r="Q61" s="387"/>
      <c r="R61" s="1"/>
    </row>
    <row r="62" spans="1:18" ht="16.2" thickBot="1" x14ac:dyDescent="0.35">
      <c r="A62" s="352" t="s">
        <v>128</v>
      </c>
      <c r="B62" s="353"/>
      <c r="C62" s="353"/>
      <c r="D62" s="353"/>
      <c r="E62" s="353"/>
      <c r="F62" s="353"/>
      <c r="G62" s="353"/>
      <c r="H62" s="353"/>
      <c r="I62" s="353"/>
      <c r="J62" s="353"/>
      <c r="K62" s="353"/>
      <c r="L62" s="353"/>
      <c r="M62" s="353"/>
      <c r="N62" s="353"/>
      <c r="O62" s="353"/>
      <c r="P62" s="353"/>
      <c r="Q62" s="354"/>
      <c r="R62" s="1"/>
    </row>
    <row r="63" spans="1:18" ht="15.6" x14ac:dyDescent="0.3">
      <c r="A63" s="385">
        <v>80</v>
      </c>
      <c r="B63" s="385" t="s">
        <v>129</v>
      </c>
      <c r="C63" s="43">
        <v>-23000</v>
      </c>
      <c r="D63" s="385">
        <v>1</v>
      </c>
      <c r="E63" s="385" t="s">
        <v>130</v>
      </c>
      <c r="F63" s="385">
        <v>500</v>
      </c>
      <c r="G63" s="385">
        <v>400</v>
      </c>
      <c r="H63" s="385" t="s">
        <v>61</v>
      </c>
      <c r="I63" s="385">
        <v>300</v>
      </c>
      <c r="J63" s="385" t="s">
        <v>45</v>
      </c>
      <c r="K63" s="385">
        <v>90</v>
      </c>
      <c r="L63" s="385">
        <v>168</v>
      </c>
      <c r="M63" s="355" t="s">
        <v>14</v>
      </c>
      <c r="N63" s="385" t="s">
        <v>131</v>
      </c>
      <c r="O63" s="385" t="s">
        <v>16</v>
      </c>
      <c r="P63" s="139"/>
      <c r="Q63" s="385" t="s">
        <v>132</v>
      </c>
      <c r="R63" s="1"/>
    </row>
    <row r="64" spans="1:18" ht="15.6" x14ac:dyDescent="0.3">
      <c r="A64" s="386"/>
      <c r="B64" s="386"/>
      <c r="C64" s="48">
        <v>-8145</v>
      </c>
      <c r="D64" s="386"/>
      <c r="E64" s="386"/>
      <c r="F64" s="386"/>
      <c r="G64" s="386"/>
      <c r="H64" s="386"/>
      <c r="I64" s="386"/>
      <c r="J64" s="386"/>
      <c r="K64" s="386"/>
      <c r="L64" s="386"/>
      <c r="M64" s="356"/>
      <c r="N64" s="386"/>
      <c r="O64" s="386"/>
      <c r="P64" s="140"/>
      <c r="Q64" s="386"/>
      <c r="R64" s="1"/>
    </row>
    <row r="65" spans="1:18" ht="16.2" thickBot="1" x14ac:dyDescent="0.35">
      <c r="A65" s="387"/>
      <c r="B65" s="387"/>
      <c r="C65" s="44">
        <v>59450</v>
      </c>
      <c r="D65" s="387"/>
      <c r="E65" s="387"/>
      <c r="F65" s="387"/>
      <c r="G65" s="387"/>
      <c r="H65" s="387"/>
      <c r="I65" s="387"/>
      <c r="J65" s="387"/>
      <c r="K65" s="387"/>
      <c r="L65" s="387"/>
      <c r="M65" s="357"/>
      <c r="N65" s="387"/>
      <c r="O65" s="387"/>
      <c r="P65" s="141"/>
      <c r="Q65" s="387"/>
      <c r="R65" s="1"/>
    </row>
    <row r="66" spans="1:18" ht="15.6" x14ac:dyDescent="0.3">
      <c r="A66" s="385">
        <v>81</v>
      </c>
      <c r="B66" s="385" t="s">
        <v>129</v>
      </c>
      <c r="C66" s="43">
        <v>-24065</v>
      </c>
      <c r="D66" s="385">
        <v>1</v>
      </c>
      <c r="E66" s="385" t="s">
        <v>130</v>
      </c>
      <c r="F66" s="385">
        <v>500</v>
      </c>
      <c r="G66" s="385">
        <v>400</v>
      </c>
      <c r="H66" s="385" t="s">
        <v>61</v>
      </c>
      <c r="I66" s="385">
        <v>300</v>
      </c>
      <c r="J66" s="385" t="s">
        <v>45</v>
      </c>
      <c r="K66" s="385">
        <v>90</v>
      </c>
      <c r="L66" s="385">
        <v>168</v>
      </c>
      <c r="M66" s="355" t="s">
        <v>14</v>
      </c>
      <c r="N66" s="385" t="s">
        <v>131</v>
      </c>
      <c r="O66" s="385" t="s">
        <v>16</v>
      </c>
      <c r="P66" s="139"/>
      <c r="Q66" s="385" t="s">
        <v>132</v>
      </c>
      <c r="R66" s="1"/>
    </row>
    <row r="67" spans="1:18" ht="15.6" x14ac:dyDescent="0.3">
      <c r="A67" s="386"/>
      <c r="B67" s="386"/>
      <c r="C67" s="48">
        <v>-4027</v>
      </c>
      <c r="D67" s="386"/>
      <c r="E67" s="386"/>
      <c r="F67" s="386"/>
      <c r="G67" s="386"/>
      <c r="H67" s="386"/>
      <c r="I67" s="386"/>
      <c r="J67" s="386"/>
      <c r="K67" s="386"/>
      <c r="L67" s="386"/>
      <c r="M67" s="356"/>
      <c r="N67" s="386"/>
      <c r="O67" s="386"/>
      <c r="P67" s="140"/>
      <c r="Q67" s="386"/>
      <c r="R67" s="1"/>
    </row>
    <row r="68" spans="1:18" ht="16.2" thickBot="1" x14ac:dyDescent="0.35">
      <c r="A68" s="387"/>
      <c r="B68" s="387"/>
      <c r="C68" s="44">
        <v>59450</v>
      </c>
      <c r="D68" s="387"/>
      <c r="E68" s="387"/>
      <c r="F68" s="387"/>
      <c r="G68" s="387"/>
      <c r="H68" s="387"/>
      <c r="I68" s="387"/>
      <c r="J68" s="387"/>
      <c r="K68" s="387"/>
      <c r="L68" s="387"/>
      <c r="M68" s="357"/>
      <c r="N68" s="387"/>
      <c r="O68" s="387"/>
      <c r="P68" s="141"/>
      <c r="Q68" s="387"/>
      <c r="R68" s="1"/>
    </row>
    <row r="69" spans="1:18" ht="15.6" x14ac:dyDescent="0.3">
      <c r="A69" s="385">
        <v>82</v>
      </c>
      <c r="B69" s="385" t="s">
        <v>129</v>
      </c>
      <c r="C69" s="43">
        <v>-24399</v>
      </c>
      <c r="D69" s="385">
        <v>1</v>
      </c>
      <c r="E69" s="385" t="s">
        <v>130</v>
      </c>
      <c r="F69" s="385">
        <v>500</v>
      </c>
      <c r="G69" s="385">
        <v>400</v>
      </c>
      <c r="H69" s="385" t="s">
        <v>61</v>
      </c>
      <c r="I69" s="385">
        <v>300</v>
      </c>
      <c r="J69" s="385" t="s">
        <v>45</v>
      </c>
      <c r="K69" s="385">
        <v>90</v>
      </c>
      <c r="L69" s="385">
        <v>168</v>
      </c>
      <c r="M69" s="355" t="s">
        <v>14</v>
      </c>
      <c r="N69" s="385" t="s">
        <v>131</v>
      </c>
      <c r="O69" s="385" t="s">
        <v>16</v>
      </c>
      <c r="P69" s="139"/>
      <c r="Q69" s="385" t="s">
        <v>132</v>
      </c>
      <c r="R69" s="1"/>
    </row>
    <row r="70" spans="1:18" ht="15.6" x14ac:dyDescent="0.3">
      <c r="A70" s="386"/>
      <c r="B70" s="386"/>
      <c r="C70" s="48">
        <v>213</v>
      </c>
      <c r="D70" s="386"/>
      <c r="E70" s="386"/>
      <c r="F70" s="386"/>
      <c r="G70" s="386"/>
      <c r="H70" s="386"/>
      <c r="I70" s="386"/>
      <c r="J70" s="386"/>
      <c r="K70" s="386"/>
      <c r="L70" s="386"/>
      <c r="M70" s="356"/>
      <c r="N70" s="386"/>
      <c r="O70" s="386"/>
      <c r="P70" s="140"/>
      <c r="Q70" s="386"/>
      <c r="R70" s="1"/>
    </row>
    <row r="71" spans="1:18" ht="16.2" thickBot="1" x14ac:dyDescent="0.35">
      <c r="A71" s="387"/>
      <c r="B71" s="387"/>
      <c r="C71" s="44">
        <v>59450</v>
      </c>
      <c r="D71" s="387"/>
      <c r="E71" s="387"/>
      <c r="F71" s="387"/>
      <c r="G71" s="387"/>
      <c r="H71" s="387"/>
      <c r="I71" s="387"/>
      <c r="J71" s="387"/>
      <c r="K71" s="387"/>
      <c r="L71" s="387"/>
      <c r="M71" s="357"/>
      <c r="N71" s="387"/>
      <c r="O71" s="387"/>
      <c r="P71" s="141"/>
      <c r="Q71" s="387"/>
      <c r="R71" s="1"/>
    </row>
    <row r="72" spans="1:18" ht="15.6" x14ac:dyDescent="0.3">
      <c r="A72" s="385">
        <v>83</v>
      </c>
      <c r="B72" s="385" t="s">
        <v>129</v>
      </c>
      <c r="C72" s="43">
        <v>-23991</v>
      </c>
      <c r="D72" s="385">
        <v>1</v>
      </c>
      <c r="E72" s="385" t="s">
        <v>130</v>
      </c>
      <c r="F72" s="385">
        <v>500</v>
      </c>
      <c r="G72" s="385">
        <v>400</v>
      </c>
      <c r="H72" s="385" t="s">
        <v>61</v>
      </c>
      <c r="I72" s="385">
        <v>300</v>
      </c>
      <c r="J72" s="385" t="s">
        <v>45</v>
      </c>
      <c r="K72" s="385">
        <v>90</v>
      </c>
      <c r="L72" s="385">
        <v>168</v>
      </c>
      <c r="M72" s="355" t="s">
        <v>14</v>
      </c>
      <c r="N72" s="385" t="s">
        <v>131</v>
      </c>
      <c r="O72" s="385" t="s">
        <v>16</v>
      </c>
      <c r="P72" s="139"/>
      <c r="Q72" s="385" t="s">
        <v>132</v>
      </c>
      <c r="R72" s="1"/>
    </row>
    <row r="73" spans="1:18" ht="15.6" x14ac:dyDescent="0.3">
      <c r="A73" s="386"/>
      <c r="B73" s="386"/>
      <c r="C73" s="48">
        <v>4447</v>
      </c>
      <c r="D73" s="386"/>
      <c r="E73" s="386"/>
      <c r="F73" s="386"/>
      <c r="G73" s="386"/>
      <c r="H73" s="386"/>
      <c r="I73" s="386"/>
      <c r="J73" s="386"/>
      <c r="K73" s="386"/>
      <c r="L73" s="386"/>
      <c r="M73" s="356"/>
      <c r="N73" s="386"/>
      <c r="O73" s="386"/>
      <c r="P73" s="140"/>
      <c r="Q73" s="386"/>
      <c r="R73" s="1"/>
    </row>
    <row r="74" spans="1:18" ht="16.2" thickBot="1" x14ac:dyDescent="0.35">
      <c r="A74" s="387"/>
      <c r="B74" s="387"/>
      <c r="C74" s="44">
        <v>59450</v>
      </c>
      <c r="D74" s="387"/>
      <c r="E74" s="387"/>
      <c r="F74" s="387"/>
      <c r="G74" s="387"/>
      <c r="H74" s="387"/>
      <c r="I74" s="387"/>
      <c r="J74" s="387"/>
      <c r="K74" s="387"/>
      <c r="L74" s="387"/>
      <c r="M74" s="357"/>
      <c r="N74" s="387"/>
      <c r="O74" s="387"/>
      <c r="P74" s="141"/>
      <c r="Q74" s="387"/>
      <c r="R74" s="1"/>
    </row>
    <row r="75" spans="1:18" ht="15.6" x14ac:dyDescent="0.3">
      <c r="A75" s="385">
        <v>84</v>
      </c>
      <c r="B75" s="385" t="s">
        <v>129</v>
      </c>
      <c r="C75" s="43">
        <v>-23802</v>
      </c>
      <c r="D75" s="385">
        <v>1</v>
      </c>
      <c r="E75" s="385" t="s">
        <v>133</v>
      </c>
      <c r="F75" s="385">
        <v>500</v>
      </c>
      <c r="G75" s="385">
        <v>400</v>
      </c>
      <c r="H75" s="385" t="s">
        <v>134</v>
      </c>
      <c r="I75" s="385">
        <v>300</v>
      </c>
      <c r="J75" s="385" t="s">
        <v>45</v>
      </c>
      <c r="K75" s="385">
        <v>120</v>
      </c>
      <c r="L75" s="385">
        <v>264.5</v>
      </c>
      <c r="M75" s="355" t="s">
        <v>14</v>
      </c>
      <c r="N75" s="385" t="s">
        <v>131</v>
      </c>
      <c r="O75" s="385" t="s">
        <v>16</v>
      </c>
      <c r="P75" s="139"/>
      <c r="Q75" s="385" t="s">
        <v>135</v>
      </c>
      <c r="R75" s="1"/>
    </row>
    <row r="76" spans="1:18" ht="15.6" x14ac:dyDescent="0.3">
      <c r="A76" s="386"/>
      <c r="B76" s="386"/>
      <c r="C76" s="48">
        <v>6601</v>
      </c>
      <c r="D76" s="386"/>
      <c r="E76" s="386"/>
      <c r="F76" s="386"/>
      <c r="G76" s="386"/>
      <c r="H76" s="386"/>
      <c r="I76" s="386"/>
      <c r="J76" s="386"/>
      <c r="K76" s="386"/>
      <c r="L76" s="386"/>
      <c r="M76" s="356"/>
      <c r="N76" s="386"/>
      <c r="O76" s="386"/>
      <c r="P76" s="140"/>
      <c r="Q76" s="386"/>
      <c r="R76" s="1"/>
    </row>
    <row r="77" spans="1:18" ht="16.2" thickBot="1" x14ac:dyDescent="0.35">
      <c r="A77" s="387"/>
      <c r="B77" s="387"/>
      <c r="C77" s="44">
        <v>59450</v>
      </c>
      <c r="D77" s="387"/>
      <c r="E77" s="387"/>
      <c r="F77" s="387"/>
      <c r="G77" s="387"/>
      <c r="H77" s="387"/>
      <c r="I77" s="387"/>
      <c r="J77" s="387"/>
      <c r="K77" s="387"/>
      <c r="L77" s="387"/>
      <c r="M77" s="357"/>
      <c r="N77" s="387"/>
      <c r="O77" s="387"/>
      <c r="P77" s="141"/>
      <c r="Q77" s="387"/>
      <c r="R77" s="1"/>
    </row>
    <row r="78" spans="1:18" ht="15.6" x14ac:dyDescent="0.3">
      <c r="A78" s="385">
        <v>85</v>
      </c>
      <c r="B78" s="385" t="s">
        <v>129</v>
      </c>
      <c r="C78" s="43">
        <v>-22855</v>
      </c>
      <c r="D78" s="385">
        <v>1</v>
      </c>
      <c r="E78" s="385" t="s">
        <v>130</v>
      </c>
      <c r="F78" s="385">
        <v>500</v>
      </c>
      <c r="G78" s="385">
        <v>400</v>
      </c>
      <c r="H78" s="385" t="s">
        <v>61</v>
      </c>
      <c r="I78" s="385">
        <v>300</v>
      </c>
      <c r="J78" s="385" t="s">
        <v>45</v>
      </c>
      <c r="K78" s="385">
        <v>90</v>
      </c>
      <c r="L78" s="385">
        <v>168</v>
      </c>
      <c r="M78" s="355" t="s">
        <v>14</v>
      </c>
      <c r="N78" s="385" t="s">
        <v>131</v>
      </c>
      <c r="O78" s="385" t="s">
        <v>16</v>
      </c>
      <c r="P78" s="139"/>
      <c r="Q78" s="385" t="s">
        <v>132</v>
      </c>
      <c r="R78" s="1"/>
    </row>
    <row r="79" spans="1:18" ht="15.6" x14ac:dyDescent="0.3">
      <c r="A79" s="386"/>
      <c r="B79" s="386"/>
      <c r="C79" s="48">
        <v>8545</v>
      </c>
      <c r="D79" s="386"/>
      <c r="E79" s="386"/>
      <c r="F79" s="386"/>
      <c r="G79" s="386"/>
      <c r="H79" s="386"/>
      <c r="I79" s="386"/>
      <c r="J79" s="386"/>
      <c r="K79" s="386"/>
      <c r="L79" s="386"/>
      <c r="M79" s="356"/>
      <c r="N79" s="386"/>
      <c r="O79" s="386"/>
      <c r="P79" s="140"/>
      <c r="Q79" s="386"/>
      <c r="R79" s="1"/>
    </row>
    <row r="80" spans="1:18" ht="16.2" thickBot="1" x14ac:dyDescent="0.35">
      <c r="A80" s="387"/>
      <c r="B80" s="387"/>
      <c r="C80" s="44">
        <v>59450</v>
      </c>
      <c r="D80" s="387"/>
      <c r="E80" s="387"/>
      <c r="F80" s="387"/>
      <c r="G80" s="387"/>
      <c r="H80" s="387"/>
      <c r="I80" s="387"/>
      <c r="J80" s="387"/>
      <c r="K80" s="387"/>
      <c r="L80" s="387"/>
      <c r="M80" s="357"/>
      <c r="N80" s="387"/>
      <c r="O80" s="387"/>
      <c r="P80" s="141"/>
      <c r="Q80" s="387"/>
      <c r="R80" s="1"/>
    </row>
    <row r="81" spans="1:18" ht="15.6" x14ac:dyDescent="0.3">
      <c r="A81" s="385">
        <v>86</v>
      </c>
      <c r="B81" s="385" t="s">
        <v>129</v>
      </c>
      <c r="C81" s="43">
        <v>-21024</v>
      </c>
      <c r="D81" s="385">
        <v>1</v>
      </c>
      <c r="E81" s="385" t="s">
        <v>130</v>
      </c>
      <c r="F81" s="385">
        <v>500</v>
      </c>
      <c r="G81" s="385">
        <v>400</v>
      </c>
      <c r="H81" s="385" t="s">
        <v>61</v>
      </c>
      <c r="I81" s="385">
        <v>300</v>
      </c>
      <c r="J81" s="385" t="s">
        <v>45</v>
      </c>
      <c r="K81" s="385">
        <v>90</v>
      </c>
      <c r="L81" s="385">
        <v>168</v>
      </c>
      <c r="M81" s="355" t="s">
        <v>14</v>
      </c>
      <c r="N81" s="385" t="s">
        <v>131</v>
      </c>
      <c r="O81" s="385" t="s">
        <v>16</v>
      </c>
      <c r="P81" s="139"/>
      <c r="Q81" s="385" t="s">
        <v>132</v>
      </c>
      <c r="R81" s="1"/>
    </row>
    <row r="82" spans="1:18" ht="15.6" x14ac:dyDescent="0.3">
      <c r="A82" s="386"/>
      <c r="B82" s="386"/>
      <c r="C82" s="48">
        <v>12384</v>
      </c>
      <c r="D82" s="386"/>
      <c r="E82" s="386"/>
      <c r="F82" s="386"/>
      <c r="G82" s="386"/>
      <c r="H82" s="386"/>
      <c r="I82" s="386"/>
      <c r="J82" s="386"/>
      <c r="K82" s="386"/>
      <c r="L82" s="386"/>
      <c r="M82" s="356"/>
      <c r="N82" s="386"/>
      <c r="O82" s="386"/>
      <c r="P82" s="140"/>
      <c r="Q82" s="386"/>
      <c r="R82" s="1"/>
    </row>
    <row r="83" spans="1:18" ht="16.2" thickBot="1" x14ac:dyDescent="0.35">
      <c r="A83" s="387"/>
      <c r="B83" s="387"/>
      <c r="C83" s="44">
        <v>59450</v>
      </c>
      <c r="D83" s="387"/>
      <c r="E83" s="387"/>
      <c r="F83" s="387"/>
      <c r="G83" s="387"/>
      <c r="H83" s="387"/>
      <c r="I83" s="387"/>
      <c r="J83" s="387"/>
      <c r="K83" s="387"/>
      <c r="L83" s="387"/>
      <c r="M83" s="357"/>
      <c r="N83" s="387"/>
      <c r="O83" s="387"/>
      <c r="P83" s="141"/>
      <c r="Q83" s="387"/>
      <c r="R83" s="1"/>
    </row>
    <row r="84" spans="1:18" ht="15.6" x14ac:dyDescent="0.3">
      <c r="A84" s="385">
        <v>87</v>
      </c>
      <c r="B84" s="385" t="s">
        <v>129</v>
      </c>
      <c r="C84" s="43">
        <v>-18554</v>
      </c>
      <c r="D84" s="385">
        <v>1</v>
      </c>
      <c r="E84" s="385" t="s">
        <v>130</v>
      </c>
      <c r="F84" s="385">
        <v>500</v>
      </c>
      <c r="G84" s="385">
        <v>400</v>
      </c>
      <c r="H84" s="385" t="s">
        <v>61</v>
      </c>
      <c r="I84" s="385">
        <v>300</v>
      </c>
      <c r="J84" s="385" t="s">
        <v>45</v>
      </c>
      <c r="K84" s="385">
        <v>90</v>
      </c>
      <c r="L84" s="385">
        <v>168</v>
      </c>
      <c r="M84" s="355" t="s">
        <v>14</v>
      </c>
      <c r="N84" s="385" t="s">
        <v>131</v>
      </c>
      <c r="O84" s="385" t="s">
        <v>16</v>
      </c>
      <c r="P84" s="139"/>
      <c r="Q84" s="385" t="s">
        <v>132</v>
      </c>
      <c r="R84" s="1"/>
    </row>
    <row r="85" spans="1:18" ht="15.6" x14ac:dyDescent="0.3">
      <c r="A85" s="386"/>
      <c r="B85" s="386"/>
      <c r="C85" s="48">
        <v>15847</v>
      </c>
      <c r="D85" s="386"/>
      <c r="E85" s="386"/>
      <c r="F85" s="386"/>
      <c r="G85" s="386"/>
      <c r="H85" s="386"/>
      <c r="I85" s="386"/>
      <c r="J85" s="386"/>
      <c r="K85" s="386"/>
      <c r="L85" s="386"/>
      <c r="M85" s="356"/>
      <c r="N85" s="386"/>
      <c r="O85" s="386"/>
      <c r="P85" s="140"/>
      <c r="Q85" s="386"/>
      <c r="R85" s="1"/>
    </row>
    <row r="86" spans="1:18" ht="16.2" thickBot="1" x14ac:dyDescent="0.35">
      <c r="A86" s="387"/>
      <c r="B86" s="387"/>
      <c r="C86" s="44">
        <v>59450</v>
      </c>
      <c r="D86" s="387"/>
      <c r="E86" s="387"/>
      <c r="F86" s="387"/>
      <c r="G86" s="387"/>
      <c r="H86" s="387"/>
      <c r="I86" s="387"/>
      <c r="J86" s="387"/>
      <c r="K86" s="387"/>
      <c r="L86" s="387"/>
      <c r="M86" s="357"/>
      <c r="N86" s="387"/>
      <c r="O86" s="387"/>
      <c r="P86" s="141"/>
      <c r="Q86" s="387"/>
      <c r="R86" s="1"/>
    </row>
    <row r="87" spans="1:18" ht="15.6" x14ac:dyDescent="0.3">
      <c r="A87" s="385">
        <v>88</v>
      </c>
      <c r="B87" s="385" t="s">
        <v>129</v>
      </c>
      <c r="C87" s="43">
        <v>-15520</v>
      </c>
      <c r="D87" s="385">
        <v>1</v>
      </c>
      <c r="E87" s="385" t="s">
        <v>130</v>
      </c>
      <c r="F87" s="385">
        <v>500</v>
      </c>
      <c r="G87" s="385">
        <v>400</v>
      </c>
      <c r="H87" s="385" t="s">
        <v>61</v>
      </c>
      <c r="I87" s="385">
        <v>300</v>
      </c>
      <c r="J87" s="385" t="s">
        <v>45</v>
      </c>
      <c r="K87" s="385">
        <v>90</v>
      </c>
      <c r="L87" s="385">
        <v>168</v>
      </c>
      <c r="M87" s="355" t="s">
        <v>14</v>
      </c>
      <c r="N87" s="385" t="s">
        <v>131</v>
      </c>
      <c r="O87" s="385" t="s">
        <v>16</v>
      </c>
      <c r="P87" s="139"/>
      <c r="Q87" s="385" t="s">
        <v>132</v>
      </c>
      <c r="R87" s="1"/>
    </row>
    <row r="88" spans="1:18" ht="15.6" x14ac:dyDescent="0.3">
      <c r="A88" s="386"/>
      <c r="B88" s="386"/>
      <c r="C88" s="48">
        <v>18828</v>
      </c>
      <c r="D88" s="386"/>
      <c r="E88" s="386"/>
      <c r="F88" s="386"/>
      <c r="G88" s="386"/>
      <c r="H88" s="386"/>
      <c r="I88" s="386"/>
      <c r="J88" s="386"/>
      <c r="K88" s="386"/>
      <c r="L88" s="386"/>
      <c r="M88" s="356"/>
      <c r="N88" s="386"/>
      <c r="O88" s="386"/>
      <c r="P88" s="140"/>
      <c r="Q88" s="386"/>
      <c r="R88" s="1"/>
    </row>
    <row r="89" spans="1:18" ht="16.2" thickBot="1" x14ac:dyDescent="0.35">
      <c r="A89" s="387"/>
      <c r="B89" s="387"/>
      <c r="C89" s="44">
        <v>59450</v>
      </c>
      <c r="D89" s="387"/>
      <c r="E89" s="387"/>
      <c r="F89" s="387"/>
      <c r="G89" s="387"/>
      <c r="H89" s="387"/>
      <c r="I89" s="387"/>
      <c r="J89" s="387"/>
      <c r="K89" s="387"/>
      <c r="L89" s="387"/>
      <c r="M89" s="357"/>
      <c r="N89" s="387"/>
      <c r="O89" s="387"/>
      <c r="P89" s="141"/>
      <c r="Q89" s="387"/>
      <c r="R89" s="1"/>
    </row>
    <row r="90" spans="1:18" ht="15.6" x14ac:dyDescent="0.3">
      <c r="A90" s="385">
        <v>89</v>
      </c>
      <c r="B90" s="385" t="s">
        <v>114</v>
      </c>
      <c r="C90" s="43">
        <v>-19864</v>
      </c>
      <c r="D90" s="385">
        <v>1</v>
      </c>
      <c r="E90" s="385" t="s">
        <v>25</v>
      </c>
      <c r="F90" s="385">
        <v>500</v>
      </c>
      <c r="G90" s="385">
        <v>400</v>
      </c>
      <c r="H90" s="385" t="s">
        <v>44</v>
      </c>
      <c r="I90" s="385">
        <v>115</v>
      </c>
      <c r="J90" s="385" t="s">
        <v>45</v>
      </c>
      <c r="K90" s="385">
        <v>0</v>
      </c>
      <c r="L90" s="385">
        <v>75</v>
      </c>
      <c r="M90" s="355" t="s">
        <v>14</v>
      </c>
      <c r="N90" s="385" t="s">
        <v>131</v>
      </c>
      <c r="O90" s="385" t="s">
        <v>16</v>
      </c>
      <c r="P90" s="139"/>
      <c r="Q90" s="385" t="s">
        <v>132</v>
      </c>
      <c r="R90" s="1"/>
    </row>
    <row r="91" spans="1:18" ht="15.6" x14ac:dyDescent="0.3">
      <c r="A91" s="386"/>
      <c r="B91" s="386"/>
      <c r="C91" s="48">
        <v>14169</v>
      </c>
      <c r="D91" s="386"/>
      <c r="E91" s="386"/>
      <c r="F91" s="386"/>
      <c r="G91" s="386"/>
      <c r="H91" s="386"/>
      <c r="I91" s="386"/>
      <c r="J91" s="386"/>
      <c r="K91" s="386"/>
      <c r="L91" s="386"/>
      <c r="M91" s="356"/>
      <c r="N91" s="386"/>
      <c r="O91" s="386"/>
      <c r="P91" s="140"/>
      <c r="Q91" s="386"/>
      <c r="R91" s="1"/>
    </row>
    <row r="92" spans="1:18" ht="16.2" thickBot="1" x14ac:dyDescent="0.35">
      <c r="A92" s="387"/>
      <c r="B92" s="387"/>
      <c r="C92" s="44">
        <v>59450</v>
      </c>
      <c r="D92" s="387"/>
      <c r="E92" s="387"/>
      <c r="F92" s="387"/>
      <c r="G92" s="387"/>
      <c r="H92" s="387"/>
      <c r="I92" s="387"/>
      <c r="J92" s="387"/>
      <c r="K92" s="387"/>
      <c r="L92" s="387"/>
      <c r="M92" s="357"/>
      <c r="N92" s="387"/>
      <c r="O92" s="387"/>
      <c r="P92" s="141"/>
      <c r="Q92" s="387"/>
      <c r="R92" s="1"/>
    </row>
    <row r="93" spans="1:18" ht="15.6" x14ac:dyDescent="0.3">
      <c r="A93" s="385">
        <v>90</v>
      </c>
      <c r="B93" s="385" t="s">
        <v>136</v>
      </c>
      <c r="C93" s="43">
        <v>-11577</v>
      </c>
      <c r="D93" s="385">
        <v>1</v>
      </c>
      <c r="E93" s="385" t="s">
        <v>24</v>
      </c>
      <c r="F93" s="385">
        <v>500</v>
      </c>
      <c r="G93" s="385">
        <v>400</v>
      </c>
      <c r="H93" s="385" t="s">
        <v>44</v>
      </c>
      <c r="I93" s="385">
        <v>115</v>
      </c>
      <c r="J93" s="385" t="s">
        <v>45</v>
      </c>
      <c r="K93" s="385">
        <v>0</v>
      </c>
      <c r="L93" s="385">
        <v>110</v>
      </c>
      <c r="M93" s="355" t="s">
        <v>14</v>
      </c>
      <c r="N93" s="385" t="s">
        <v>137</v>
      </c>
      <c r="O93" s="385" t="s">
        <v>16</v>
      </c>
      <c r="P93" s="139"/>
      <c r="Q93" s="385" t="s">
        <v>138</v>
      </c>
      <c r="R93" s="1"/>
    </row>
    <row r="94" spans="1:18" ht="15.6" x14ac:dyDescent="0.3">
      <c r="A94" s="386"/>
      <c r="B94" s="386"/>
      <c r="C94" s="48">
        <v>21478</v>
      </c>
      <c r="D94" s="386"/>
      <c r="E94" s="386"/>
      <c r="F94" s="386"/>
      <c r="G94" s="386"/>
      <c r="H94" s="386"/>
      <c r="I94" s="386"/>
      <c r="J94" s="386"/>
      <c r="K94" s="386"/>
      <c r="L94" s="386"/>
      <c r="M94" s="356"/>
      <c r="N94" s="386"/>
      <c r="O94" s="386"/>
      <c r="P94" s="140"/>
      <c r="Q94" s="386"/>
      <c r="R94" s="1"/>
    </row>
    <row r="95" spans="1:18" ht="16.2" thickBot="1" x14ac:dyDescent="0.35">
      <c r="A95" s="387"/>
      <c r="B95" s="387"/>
      <c r="C95" s="44">
        <v>59450</v>
      </c>
      <c r="D95" s="387"/>
      <c r="E95" s="387"/>
      <c r="F95" s="387"/>
      <c r="G95" s="387"/>
      <c r="H95" s="387"/>
      <c r="I95" s="387"/>
      <c r="J95" s="387"/>
      <c r="K95" s="387"/>
      <c r="L95" s="387"/>
      <c r="M95" s="357"/>
      <c r="N95" s="387"/>
      <c r="O95" s="387"/>
      <c r="P95" s="141"/>
      <c r="Q95" s="387"/>
      <c r="R95" s="1"/>
    </row>
    <row r="96" spans="1:18" ht="15.6" x14ac:dyDescent="0.3">
      <c r="A96" s="385">
        <v>91</v>
      </c>
      <c r="B96" s="385" t="s">
        <v>139</v>
      </c>
      <c r="C96" s="43">
        <v>-8145</v>
      </c>
      <c r="D96" s="385">
        <v>1</v>
      </c>
      <c r="E96" s="385" t="s">
        <v>130</v>
      </c>
      <c r="F96" s="385">
        <v>500</v>
      </c>
      <c r="G96" s="385">
        <v>400</v>
      </c>
      <c r="H96" s="385" t="s">
        <v>61</v>
      </c>
      <c r="I96" s="385">
        <v>300</v>
      </c>
      <c r="J96" s="385" t="s">
        <v>45</v>
      </c>
      <c r="K96" s="385">
        <v>90</v>
      </c>
      <c r="L96" s="385">
        <v>168</v>
      </c>
      <c r="M96" s="355" t="s">
        <v>14</v>
      </c>
      <c r="N96" s="385" t="s">
        <v>140</v>
      </c>
      <c r="O96" s="385" t="s">
        <v>16</v>
      </c>
      <c r="P96" s="139"/>
      <c r="Q96" s="385" t="s">
        <v>132</v>
      </c>
      <c r="R96" s="1"/>
    </row>
    <row r="97" spans="1:18" ht="15.6" x14ac:dyDescent="0.3">
      <c r="A97" s="386"/>
      <c r="B97" s="386"/>
      <c r="C97" s="48">
        <v>23000</v>
      </c>
      <c r="D97" s="386"/>
      <c r="E97" s="386"/>
      <c r="F97" s="386"/>
      <c r="G97" s="386"/>
      <c r="H97" s="386"/>
      <c r="I97" s="386"/>
      <c r="J97" s="386"/>
      <c r="K97" s="386"/>
      <c r="L97" s="386"/>
      <c r="M97" s="356"/>
      <c r="N97" s="386"/>
      <c r="O97" s="386"/>
      <c r="P97" s="140"/>
      <c r="Q97" s="386"/>
      <c r="R97" s="1"/>
    </row>
    <row r="98" spans="1:18" ht="16.2" thickBot="1" x14ac:dyDescent="0.35">
      <c r="A98" s="387"/>
      <c r="B98" s="387"/>
      <c r="C98" s="44">
        <v>59450</v>
      </c>
      <c r="D98" s="387"/>
      <c r="E98" s="387"/>
      <c r="F98" s="387"/>
      <c r="G98" s="387"/>
      <c r="H98" s="387"/>
      <c r="I98" s="387"/>
      <c r="J98" s="387"/>
      <c r="K98" s="387"/>
      <c r="L98" s="387"/>
      <c r="M98" s="357"/>
      <c r="N98" s="387"/>
      <c r="O98" s="387"/>
      <c r="P98" s="141"/>
      <c r="Q98" s="387"/>
      <c r="R98" s="1"/>
    </row>
    <row r="99" spans="1:18" ht="15.6" x14ac:dyDescent="0.3">
      <c r="A99" s="385">
        <v>92</v>
      </c>
      <c r="B99" s="385" t="s">
        <v>139</v>
      </c>
      <c r="C99" s="43">
        <v>-4027</v>
      </c>
      <c r="D99" s="385">
        <v>1</v>
      </c>
      <c r="E99" s="385" t="s">
        <v>130</v>
      </c>
      <c r="F99" s="385">
        <v>500</v>
      </c>
      <c r="G99" s="385">
        <v>400</v>
      </c>
      <c r="H99" s="385" t="s">
        <v>61</v>
      </c>
      <c r="I99" s="385">
        <v>300</v>
      </c>
      <c r="J99" s="385" t="s">
        <v>45</v>
      </c>
      <c r="K99" s="385">
        <v>90</v>
      </c>
      <c r="L99" s="385">
        <v>168</v>
      </c>
      <c r="M99" s="355" t="s">
        <v>14</v>
      </c>
      <c r="N99" s="385" t="s">
        <v>140</v>
      </c>
      <c r="O99" s="385" t="s">
        <v>16</v>
      </c>
      <c r="P99" s="139"/>
      <c r="Q99" s="385" t="s">
        <v>132</v>
      </c>
      <c r="R99" s="1"/>
    </row>
    <row r="100" spans="1:18" ht="15.6" x14ac:dyDescent="0.3">
      <c r="A100" s="386"/>
      <c r="B100" s="386"/>
      <c r="C100" s="48">
        <v>24065</v>
      </c>
      <c r="D100" s="386"/>
      <c r="E100" s="386"/>
      <c r="F100" s="386"/>
      <c r="G100" s="386"/>
      <c r="H100" s="386"/>
      <c r="I100" s="386"/>
      <c r="J100" s="386"/>
      <c r="K100" s="386"/>
      <c r="L100" s="386"/>
      <c r="M100" s="356"/>
      <c r="N100" s="386"/>
      <c r="O100" s="386"/>
      <c r="P100" s="140"/>
      <c r="Q100" s="386"/>
      <c r="R100" s="1"/>
    </row>
    <row r="101" spans="1:18" ht="16.2" thickBot="1" x14ac:dyDescent="0.35">
      <c r="A101" s="387"/>
      <c r="B101" s="387"/>
      <c r="C101" s="44">
        <v>59450</v>
      </c>
      <c r="D101" s="387"/>
      <c r="E101" s="387"/>
      <c r="F101" s="387"/>
      <c r="G101" s="387"/>
      <c r="H101" s="387"/>
      <c r="I101" s="387"/>
      <c r="J101" s="387"/>
      <c r="K101" s="387"/>
      <c r="L101" s="387"/>
      <c r="M101" s="357"/>
      <c r="N101" s="387"/>
      <c r="O101" s="387"/>
      <c r="P101" s="141"/>
      <c r="Q101" s="387"/>
      <c r="R101" s="1"/>
    </row>
    <row r="102" spans="1:18" ht="15.6" x14ac:dyDescent="0.3">
      <c r="A102" s="385">
        <v>93</v>
      </c>
      <c r="B102" s="385" t="s">
        <v>139</v>
      </c>
      <c r="C102" s="43">
        <v>213</v>
      </c>
      <c r="D102" s="385">
        <v>1</v>
      </c>
      <c r="E102" s="385" t="s">
        <v>130</v>
      </c>
      <c r="F102" s="385">
        <v>500</v>
      </c>
      <c r="G102" s="385">
        <v>400</v>
      </c>
      <c r="H102" s="385" t="s">
        <v>61</v>
      </c>
      <c r="I102" s="385">
        <v>300</v>
      </c>
      <c r="J102" s="385" t="s">
        <v>45</v>
      </c>
      <c r="K102" s="385">
        <v>90</v>
      </c>
      <c r="L102" s="385">
        <v>168</v>
      </c>
      <c r="M102" s="355" t="s">
        <v>14</v>
      </c>
      <c r="N102" s="385" t="s">
        <v>140</v>
      </c>
      <c r="O102" s="385" t="s">
        <v>16</v>
      </c>
      <c r="P102" s="139"/>
      <c r="Q102" s="385" t="s">
        <v>132</v>
      </c>
      <c r="R102" s="1"/>
    </row>
    <row r="103" spans="1:18" ht="15.6" x14ac:dyDescent="0.3">
      <c r="A103" s="386"/>
      <c r="B103" s="386"/>
      <c r="C103" s="48">
        <v>24399</v>
      </c>
      <c r="D103" s="386"/>
      <c r="E103" s="386"/>
      <c r="F103" s="386"/>
      <c r="G103" s="386"/>
      <c r="H103" s="386"/>
      <c r="I103" s="386"/>
      <c r="J103" s="386"/>
      <c r="K103" s="386"/>
      <c r="L103" s="386"/>
      <c r="M103" s="356"/>
      <c r="N103" s="386"/>
      <c r="O103" s="386"/>
      <c r="P103" s="140"/>
      <c r="Q103" s="386"/>
      <c r="R103" s="1"/>
    </row>
    <row r="104" spans="1:18" ht="16.2" thickBot="1" x14ac:dyDescent="0.35">
      <c r="A104" s="387"/>
      <c r="B104" s="387"/>
      <c r="C104" s="44">
        <v>59450</v>
      </c>
      <c r="D104" s="387"/>
      <c r="E104" s="387"/>
      <c r="F104" s="387"/>
      <c r="G104" s="387"/>
      <c r="H104" s="387"/>
      <c r="I104" s="387"/>
      <c r="J104" s="387"/>
      <c r="K104" s="387"/>
      <c r="L104" s="387"/>
      <c r="M104" s="357"/>
      <c r="N104" s="387"/>
      <c r="O104" s="387"/>
      <c r="P104" s="141"/>
      <c r="Q104" s="387"/>
      <c r="R104" s="1"/>
    </row>
    <row r="105" spans="1:18" ht="15.6" x14ac:dyDescent="0.3">
      <c r="A105" s="385">
        <v>94</v>
      </c>
      <c r="B105" s="385" t="s">
        <v>139</v>
      </c>
      <c r="C105" s="43">
        <v>4447</v>
      </c>
      <c r="D105" s="385">
        <v>1</v>
      </c>
      <c r="E105" s="385" t="s">
        <v>130</v>
      </c>
      <c r="F105" s="385">
        <v>500</v>
      </c>
      <c r="G105" s="385">
        <v>400</v>
      </c>
      <c r="H105" s="385" t="s">
        <v>61</v>
      </c>
      <c r="I105" s="385">
        <v>300</v>
      </c>
      <c r="J105" s="385" t="s">
        <v>45</v>
      </c>
      <c r="K105" s="385">
        <v>90</v>
      </c>
      <c r="L105" s="385">
        <v>168</v>
      </c>
      <c r="M105" s="355" t="s">
        <v>14</v>
      </c>
      <c r="N105" s="385" t="s">
        <v>140</v>
      </c>
      <c r="O105" s="385" t="s">
        <v>16</v>
      </c>
      <c r="P105" s="139"/>
      <c r="Q105" s="385" t="s">
        <v>132</v>
      </c>
      <c r="R105" s="1"/>
    </row>
    <row r="106" spans="1:18" ht="15.6" x14ac:dyDescent="0.3">
      <c r="A106" s="386"/>
      <c r="B106" s="386"/>
      <c r="C106" s="48">
        <v>23991</v>
      </c>
      <c r="D106" s="386"/>
      <c r="E106" s="386"/>
      <c r="F106" s="386"/>
      <c r="G106" s="386"/>
      <c r="H106" s="386"/>
      <c r="I106" s="386"/>
      <c r="J106" s="386"/>
      <c r="K106" s="386"/>
      <c r="L106" s="386"/>
      <c r="M106" s="356"/>
      <c r="N106" s="386"/>
      <c r="O106" s="386"/>
      <c r="P106" s="140"/>
      <c r="Q106" s="386"/>
      <c r="R106" s="1"/>
    </row>
    <row r="107" spans="1:18" ht="16.2" thickBot="1" x14ac:dyDescent="0.35">
      <c r="A107" s="387"/>
      <c r="B107" s="387"/>
      <c r="C107" s="44">
        <v>59450</v>
      </c>
      <c r="D107" s="387"/>
      <c r="E107" s="387"/>
      <c r="F107" s="387"/>
      <c r="G107" s="387"/>
      <c r="H107" s="387"/>
      <c r="I107" s="387"/>
      <c r="J107" s="387"/>
      <c r="K107" s="387"/>
      <c r="L107" s="387"/>
      <c r="M107" s="357"/>
      <c r="N107" s="387"/>
      <c r="O107" s="387"/>
      <c r="P107" s="141"/>
      <c r="Q107" s="387"/>
      <c r="R107" s="1"/>
    </row>
    <row r="108" spans="1:18" ht="15.6" x14ac:dyDescent="0.3">
      <c r="A108" s="385">
        <v>95</v>
      </c>
      <c r="B108" s="385" t="s">
        <v>139</v>
      </c>
      <c r="C108" s="43">
        <v>6467</v>
      </c>
      <c r="D108" s="385">
        <v>1</v>
      </c>
      <c r="E108" s="385" t="s">
        <v>133</v>
      </c>
      <c r="F108" s="385">
        <v>500</v>
      </c>
      <c r="G108" s="385">
        <v>400</v>
      </c>
      <c r="H108" s="385" t="s">
        <v>134</v>
      </c>
      <c r="I108" s="385">
        <v>300</v>
      </c>
      <c r="J108" s="385" t="s">
        <v>45</v>
      </c>
      <c r="K108" s="385">
        <v>120</v>
      </c>
      <c r="L108" s="385">
        <v>264.5</v>
      </c>
      <c r="M108" s="355" t="s">
        <v>14</v>
      </c>
      <c r="N108" s="385" t="s">
        <v>140</v>
      </c>
      <c r="O108" s="385" t="s">
        <v>16</v>
      </c>
      <c r="P108" s="139"/>
      <c r="Q108" s="385" t="s">
        <v>135</v>
      </c>
      <c r="R108" s="1"/>
    </row>
    <row r="109" spans="1:18" ht="15.6" x14ac:dyDescent="0.3">
      <c r="A109" s="386"/>
      <c r="B109" s="386"/>
      <c r="C109" s="48">
        <v>23320</v>
      </c>
      <c r="D109" s="386"/>
      <c r="E109" s="386"/>
      <c r="F109" s="386"/>
      <c r="G109" s="386"/>
      <c r="H109" s="386"/>
      <c r="I109" s="386"/>
      <c r="J109" s="386"/>
      <c r="K109" s="386"/>
      <c r="L109" s="386"/>
      <c r="M109" s="356"/>
      <c r="N109" s="386"/>
      <c r="O109" s="386"/>
      <c r="P109" s="140"/>
      <c r="Q109" s="386"/>
      <c r="R109" s="1"/>
    </row>
    <row r="110" spans="1:18" ht="16.2" thickBot="1" x14ac:dyDescent="0.35">
      <c r="A110" s="387"/>
      <c r="B110" s="387"/>
      <c r="C110" s="44">
        <v>59450</v>
      </c>
      <c r="D110" s="387"/>
      <c r="E110" s="387"/>
      <c r="F110" s="387"/>
      <c r="G110" s="387"/>
      <c r="H110" s="387"/>
      <c r="I110" s="387"/>
      <c r="J110" s="387"/>
      <c r="K110" s="387"/>
      <c r="L110" s="387"/>
      <c r="M110" s="357"/>
      <c r="N110" s="387"/>
      <c r="O110" s="387"/>
      <c r="P110" s="141"/>
      <c r="Q110" s="387"/>
      <c r="R110" s="1"/>
    </row>
    <row r="111" spans="1:18" ht="15.6" x14ac:dyDescent="0.3">
      <c r="A111" s="385">
        <v>96</v>
      </c>
      <c r="B111" s="385" t="s">
        <v>139</v>
      </c>
      <c r="C111" s="43">
        <v>8545</v>
      </c>
      <c r="D111" s="385">
        <v>1</v>
      </c>
      <c r="E111" s="385" t="s">
        <v>130</v>
      </c>
      <c r="F111" s="385">
        <v>500</v>
      </c>
      <c r="G111" s="385">
        <v>400</v>
      </c>
      <c r="H111" s="385" t="s">
        <v>61</v>
      </c>
      <c r="I111" s="385">
        <v>300</v>
      </c>
      <c r="J111" s="385" t="s">
        <v>45</v>
      </c>
      <c r="K111" s="385">
        <v>90</v>
      </c>
      <c r="L111" s="385">
        <v>168</v>
      </c>
      <c r="M111" s="355" t="s">
        <v>14</v>
      </c>
      <c r="N111" s="385" t="s">
        <v>140</v>
      </c>
      <c r="O111" s="385" t="s">
        <v>16</v>
      </c>
      <c r="P111" s="139"/>
      <c r="Q111" s="385" t="s">
        <v>132</v>
      </c>
      <c r="R111" s="1"/>
    </row>
    <row r="112" spans="1:18" ht="15.6" x14ac:dyDescent="0.3">
      <c r="A112" s="386"/>
      <c r="B112" s="386"/>
      <c r="C112" s="48">
        <v>22855</v>
      </c>
      <c r="D112" s="386"/>
      <c r="E112" s="386"/>
      <c r="F112" s="386"/>
      <c r="G112" s="386"/>
      <c r="H112" s="386"/>
      <c r="I112" s="386"/>
      <c r="J112" s="386"/>
      <c r="K112" s="386"/>
      <c r="L112" s="386"/>
      <c r="M112" s="356"/>
      <c r="N112" s="386"/>
      <c r="O112" s="386"/>
      <c r="P112" s="140"/>
      <c r="Q112" s="386"/>
      <c r="R112" s="1"/>
    </row>
    <row r="113" spans="1:18" ht="16.2" thickBot="1" x14ac:dyDescent="0.35">
      <c r="A113" s="387"/>
      <c r="B113" s="387"/>
      <c r="C113" s="44">
        <v>59450</v>
      </c>
      <c r="D113" s="387"/>
      <c r="E113" s="387"/>
      <c r="F113" s="387"/>
      <c r="G113" s="387"/>
      <c r="H113" s="387"/>
      <c r="I113" s="387"/>
      <c r="J113" s="387"/>
      <c r="K113" s="387"/>
      <c r="L113" s="387"/>
      <c r="M113" s="357"/>
      <c r="N113" s="387"/>
      <c r="O113" s="387"/>
      <c r="P113" s="141"/>
      <c r="Q113" s="387"/>
      <c r="R113" s="1"/>
    </row>
    <row r="114" spans="1:18" ht="15.6" x14ac:dyDescent="0.3">
      <c r="A114" s="385">
        <v>97</v>
      </c>
      <c r="B114" s="385" t="s">
        <v>139</v>
      </c>
      <c r="C114" s="43">
        <v>12384</v>
      </c>
      <c r="D114" s="385">
        <v>1</v>
      </c>
      <c r="E114" s="385" t="s">
        <v>130</v>
      </c>
      <c r="F114" s="385">
        <v>500</v>
      </c>
      <c r="G114" s="385">
        <v>400</v>
      </c>
      <c r="H114" s="385" t="s">
        <v>61</v>
      </c>
      <c r="I114" s="385">
        <v>300</v>
      </c>
      <c r="J114" s="385" t="s">
        <v>45</v>
      </c>
      <c r="K114" s="385">
        <v>90</v>
      </c>
      <c r="L114" s="385">
        <v>168</v>
      </c>
      <c r="M114" s="355" t="s">
        <v>14</v>
      </c>
      <c r="N114" s="385" t="s">
        <v>140</v>
      </c>
      <c r="O114" s="385" t="s">
        <v>16</v>
      </c>
      <c r="P114" s="139"/>
      <c r="Q114" s="385" t="s">
        <v>132</v>
      </c>
      <c r="R114" s="1"/>
    </row>
    <row r="115" spans="1:18" ht="15.6" x14ac:dyDescent="0.3">
      <c r="A115" s="386"/>
      <c r="B115" s="386"/>
      <c r="C115" s="48">
        <v>21024</v>
      </c>
      <c r="D115" s="386"/>
      <c r="E115" s="386"/>
      <c r="F115" s="386"/>
      <c r="G115" s="386"/>
      <c r="H115" s="386"/>
      <c r="I115" s="386"/>
      <c r="J115" s="386"/>
      <c r="K115" s="386"/>
      <c r="L115" s="386"/>
      <c r="M115" s="356"/>
      <c r="N115" s="386"/>
      <c r="O115" s="386"/>
      <c r="P115" s="140"/>
      <c r="Q115" s="386"/>
      <c r="R115" s="1"/>
    </row>
    <row r="116" spans="1:18" ht="16.2" thickBot="1" x14ac:dyDescent="0.35">
      <c r="A116" s="387"/>
      <c r="B116" s="387"/>
      <c r="C116" s="44">
        <v>59450</v>
      </c>
      <c r="D116" s="387"/>
      <c r="E116" s="387"/>
      <c r="F116" s="387"/>
      <c r="G116" s="387"/>
      <c r="H116" s="387"/>
      <c r="I116" s="387"/>
      <c r="J116" s="387"/>
      <c r="K116" s="387"/>
      <c r="L116" s="387"/>
      <c r="M116" s="357"/>
      <c r="N116" s="387"/>
      <c r="O116" s="387"/>
      <c r="P116" s="141"/>
      <c r="Q116" s="387"/>
      <c r="R116" s="1"/>
    </row>
    <row r="117" spans="1:18" ht="15.6" x14ac:dyDescent="0.3">
      <c r="A117" s="385">
        <v>98</v>
      </c>
      <c r="B117" s="385" t="s">
        <v>139</v>
      </c>
      <c r="C117" s="43">
        <v>15847</v>
      </c>
      <c r="D117" s="385">
        <v>1</v>
      </c>
      <c r="E117" s="385" t="s">
        <v>130</v>
      </c>
      <c r="F117" s="385">
        <v>500</v>
      </c>
      <c r="G117" s="385">
        <v>400</v>
      </c>
      <c r="H117" s="385" t="s">
        <v>61</v>
      </c>
      <c r="I117" s="385">
        <v>300</v>
      </c>
      <c r="J117" s="385" t="s">
        <v>45</v>
      </c>
      <c r="K117" s="385">
        <v>90</v>
      </c>
      <c r="L117" s="385">
        <v>168</v>
      </c>
      <c r="M117" s="355" t="s">
        <v>14</v>
      </c>
      <c r="N117" s="385" t="s">
        <v>140</v>
      </c>
      <c r="O117" s="385" t="s">
        <v>16</v>
      </c>
      <c r="P117" s="139"/>
      <c r="Q117" s="385" t="s">
        <v>132</v>
      </c>
      <c r="R117" s="1"/>
    </row>
    <row r="118" spans="1:18" ht="15.6" x14ac:dyDescent="0.3">
      <c r="A118" s="386"/>
      <c r="B118" s="386"/>
      <c r="C118" s="48">
        <v>18554</v>
      </c>
      <c r="D118" s="386"/>
      <c r="E118" s="386"/>
      <c r="F118" s="386"/>
      <c r="G118" s="386"/>
      <c r="H118" s="386"/>
      <c r="I118" s="386"/>
      <c r="J118" s="386"/>
      <c r="K118" s="386"/>
      <c r="L118" s="386"/>
      <c r="M118" s="356"/>
      <c r="N118" s="386"/>
      <c r="O118" s="386"/>
      <c r="P118" s="140"/>
      <c r="Q118" s="386"/>
      <c r="R118" s="1"/>
    </row>
    <row r="119" spans="1:18" ht="16.2" thickBot="1" x14ac:dyDescent="0.35">
      <c r="A119" s="387"/>
      <c r="B119" s="387"/>
      <c r="C119" s="44">
        <v>59450</v>
      </c>
      <c r="D119" s="387"/>
      <c r="E119" s="387"/>
      <c r="F119" s="387"/>
      <c r="G119" s="387"/>
      <c r="H119" s="387"/>
      <c r="I119" s="387"/>
      <c r="J119" s="387"/>
      <c r="K119" s="387"/>
      <c r="L119" s="387"/>
      <c r="M119" s="357"/>
      <c r="N119" s="387"/>
      <c r="O119" s="387"/>
      <c r="P119" s="141"/>
      <c r="Q119" s="387"/>
      <c r="R119" s="1"/>
    </row>
    <row r="120" spans="1:18" ht="15.6" x14ac:dyDescent="0.3">
      <c r="A120" s="385">
        <v>99</v>
      </c>
      <c r="B120" s="385" t="s">
        <v>139</v>
      </c>
      <c r="C120" s="43">
        <v>18828</v>
      </c>
      <c r="D120" s="385">
        <v>1</v>
      </c>
      <c r="E120" s="385" t="s">
        <v>130</v>
      </c>
      <c r="F120" s="385">
        <v>500</v>
      </c>
      <c r="G120" s="385">
        <v>400</v>
      </c>
      <c r="H120" s="385" t="s">
        <v>61</v>
      </c>
      <c r="I120" s="385">
        <v>300</v>
      </c>
      <c r="J120" s="385" t="s">
        <v>45</v>
      </c>
      <c r="K120" s="385">
        <v>90</v>
      </c>
      <c r="L120" s="385">
        <v>168</v>
      </c>
      <c r="M120" s="355" t="s">
        <v>14</v>
      </c>
      <c r="N120" s="385" t="s">
        <v>140</v>
      </c>
      <c r="O120" s="385" t="s">
        <v>16</v>
      </c>
      <c r="P120" s="139"/>
      <c r="Q120" s="385" t="s">
        <v>132</v>
      </c>
      <c r="R120" s="1"/>
    </row>
    <row r="121" spans="1:18" ht="15.6" x14ac:dyDescent="0.3">
      <c r="A121" s="386"/>
      <c r="B121" s="386"/>
      <c r="C121" s="48">
        <v>15520</v>
      </c>
      <c r="D121" s="386"/>
      <c r="E121" s="386"/>
      <c r="F121" s="386"/>
      <c r="G121" s="386"/>
      <c r="H121" s="386"/>
      <c r="I121" s="386"/>
      <c r="J121" s="386"/>
      <c r="K121" s="386"/>
      <c r="L121" s="386"/>
      <c r="M121" s="356"/>
      <c r="N121" s="386"/>
      <c r="O121" s="386"/>
      <c r="P121" s="140"/>
      <c r="Q121" s="386"/>
      <c r="R121" s="1"/>
    </row>
    <row r="122" spans="1:18" ht="16.2" thickBot="1" x14ac:dyDescent="0.35">
      <c r="A122" s="387"/>
      <c r="B122" s="387"/>
      <c r="C122" s="44">
        <v>59450</v>
      </c>
      <c r="D122" s="387"/>
      <c r="E122" s="387"/>
      <c r="F122" s="387"/>
      <c r="G122" s="387"/>
      <c r="H122" s="387"/>
      <c r="I122" s="387"/>
      <c r="J122" s="387"/>
      <c r="K122" s="387"/>
      <c r="L122" s="387"/>
      <c r="M122" s="357"/>
      <c r="N122" s="387"/>
      <c r="O122" s="387"/>
      <c r="P122" s="141"/>
      <c r="Q122" s="387"/>
      <c r="R122" s="1"/>
    </row>
    <row r="123" spans="1:18" ht="15.6" x14ac:dyDescent="0.3">
      <c r="A123" s="385">
        <v>100</v>
      </c>
      <c r="B123" s="385" t="s">
        <v>141</v>
      </c>
      <c r="C123" s="43">
        <v>23000</v>
      </c>
      <c r="D123" s="385">
        <v>1</v>
      </c>
      <c r="E123" s="385" t="s">
        <v>130</v>
      </c>
      <c r="F123" s="385">
        <v>500</v>
      </c>
      <c r="G123" s="385">
        <v>400</v>
      </c>
      <c r="H123" s="385" t="s">
        <v>61</v>
      </c>
      <c r="I123" s="385">
        <v>300</v>
      </c>
      <c r="J123" s="385" t="s">
        <v>45</v>
      </c>
      <c r="K123" s="385">
        <v>90</v>
      </c>
      <c r="L123" s="385">
        <v>168</v>
      </c>
      <c r="M123" s="355" t="s">
        <v>14</v>
      </c>
      <c r="N123" s="385" t="s">
        <v>142</v>
      </c>
      <c r="O123" s="385" t="s">
        <v>16</v>
      </c>
      <c r="P123" s="139"/>
      <c r="Q123" s="385" t="s">
        <v>132</v>
      </c>
      <c r="R123" s="1"/>
    </row>
    <row r="124" spans="1:18" ht="15.6" x14ac:dyDescent="0.3">
      <c r="A124" s="386"/>
      <c r="B124" s="386"/>
      <c r="C124" s="48">
        <v>8145</v>
      </c>
      <c r="D124" s="386"/>
      <c r="E124" s="386"/>
      <c r="F124" s="386"/>
      <c r="G124" s="386"/>
      <c r="H124" s="386"/>
      <c r="I124" s="386"/>
      <c r="J124" s="386"/>
      <c r="K124" s="386"/>
      <c r="L124" s="386"/>
      <c r="M124" s="356"/>
      <c r="N124" s="386"/>
      <c r="O124" s="386"/>
      <c r="P124" s="140"/>
      <c r="Q124" s="386"/>
      <c r="R124" s="1"/>
    </row>
    <row r="125" spans="1:18" ht="16.2" thickBot="1" x14ac:dyDescent="0.35">
      <c r="A125" s="387"/>
      <c r="B125" s="387"/>
      <c r="C125" s="44">
        <v>59450</v>
      </c>
      <c r="D125" s="387"/>
      <c r="E125" s="387"/>
      <c r="F125" s="387"/>
      <c r="G125" s="387"/>
      <c r="H125" s="387"/>
      <c r="I125" s="387"/>
      <c r="J125" s="387"/>
      <c r="K125" s="387"/>
      <c r="L125" s="387"/>
      <c r="M125" s="357"/>
      <c r="N125" s="387"/>
      <c r="O125" s="387"/>
      <c r="P125" s="141"/>
      <c r="Q125" s="387"/>
      <c r="R125" s="1"/>
    </row>
    <row r="126" spans="1:18" ht="15.6" x14ac:dyDescent="0.3">
      <c r="A126" s="385">
        <v>101</v>
      </c>
      <c r="B126" s="385" t="s">
        <v>141</v>
      </c>
      <c r="C126" s="43">
        <v>24065</v>
      </c>
      <c r="D126" s="385">
        <v>1</v>
      </c>
      <c r="E126" s="385" t="s">
        <v>130</v>
      </c>
      <c r="F126" s="385">
        <v>500</v>
      </c>
      <c r="G126" s="385">
        <v>400</v>
      </c>
      <c r="H126" s="385" t="s">
        <v>61</v>
      </c>
      <c r="I126" s="385">
        <v>300</v>
      </c>
      <c r="J126" s="385" t="s">
        <v>45</v>
      </c>
      <c r="K126" s="385">
        <v>90</v>
      </c>
      <c r="L126" s="385">
        <v>168</v>
      </c>
      <c r="M126" s="355" t="s">
        <v>14</v>
      </c>
      <c r="N126" s="385" t="s">
        <v>142</v>
      </c>
      <c r="O126" s="385" t="s">
        <v>16</v>
      </c>
      <c r="P126" s="139"/>
      <c r="Q126" s="385" t="s">
        <v>132</v>
      </c>
      <c r="R126" s="1"/>
    </row>
    <row r="127" spans="1:18" ht="15.6" x14ac:dyDescent="0.3">
      <c r="A127" s="386"/>
      <c r="B127" s="386"/>
      <c r="C127" s="48">
        <v>4027</v>
      </c>
      <c r="D127" s="386"/>
      <c r="E127" s="386"/>
      <c r="F127" s="386"/>
      <c r="G127" s="386"/>
      <c r="H127" s="386"/>
      <c r="I127" s="386"/>
      <c r="J127" s="386"/>
      <c r="K127" s="386"/>
      <c r="L127" s="386"/>
      <c r="M127" s="356"/>
      <c r="N127" s="386"/>
      <c r="O127" s="386"/>
      <c r="P127" s="140"/>
      <c r="Q127" s="386"/>
      <c r="R127" s="1"/>
    </row>
    <row r="128" spans="1:18" ht="16.2" thickBot="1" x14ac:dyDescent="0.35">
      <c r="A128" s="387"/>
      <c r="B128" s="387"/>
      <c r="C128" s="44">
        <v>59450</v>
      </c>
      <c r="D128" s="387"/>
      <c r="E128" s="387"/>
      <c r="F128" s="387"/>
      <c r="G128" s="387"/>
      <c r="H128" s="387"/>
      <c r="I128" s="387"/>
      <c r="J128" s="387"/>
      <c r="K128" s="387"/>
      <c r="L128" s="387"/>
      <c r="M128" s="357"/>
      <c r="N128" s="387"/>
      <c r="O128" s="387"/>
      <c r="P128" s="141"/>
      <c r="Q128" s="387"/>
      <c r="R128" s="1"/>
    </row>
    <row r="129" spans="1:18" ht="15.6" x14ac:dyDescent="0.3">
      <c r="A129" s="385">
        <v>102</v>
      </c>
      <c r="B129" s="385" t="s">
        <v>141</v>
      </c>
      <c r="C129" s="43">
        <v>24399</v>
      </c>
      <c r="D129" s="385">
        <v>1</v>
      </c>
      <c r="E129" s="385" t="s">
        <v>130</v>
      </c>
      <c r="F129" s="385">
        <v>500</v>
      </c>
      <c r="G129" s="385">
        <v>400</v>
      </c>
      <c r="H129" s="385" t="s">
        <v>61</v>
      </c>
      <c r="I129" s="385">
        <v>300</v>
      </c>
      <c r="J129" s="385" t="s">
        <v>45</v>
      </c>
      <c r="K129" s="385">
        <v>90</v>
      </c>
      <c r="L129" s="385">
        <v>168</v>
      </c>
      <c r="M129" s="355" t="s">
        <v>14</v>
      </c>
      <c r="N129" s="385" t="s">
        <v>142</v>
      </c>
      <c r="O129" s="385" t="s">
        <v>16</v>
      </c>
      <c r="P129" s="139"/>
      <c r="Q129" s="385" t="s">
        <v>132</v>
      </c>
      <c r="R129" s="1"/>
    </row>
    <row r="130" spans="1:18" ht="15.6" x14ac:dyDescent="0.3">
      <c r="A130" s="386"/>
      <c r="B130" s="386"/>
      <c r="C130" s="48">
        <v>-213</v>
      </c>
      <c r="D130" s="386"/>
      <c r="E130" s="386"/>
      <c r="F130" s="386"/>
      <c r="G130" s="386"/>
      <c r="H130" s="386"/>
      <c r="I130" s="386"/>
      <c r="J130" s="386"/>
      <c r="K130" s="386"/>
      <c r="L130" s="386"/>
      <c r="M130" s="356"/>
      <c r="N130" s="386"/>
      <c r="O130" s="386"/>
      <c r="P130" s="140"/>
      <c r="Q130" s="386"/>
      <c r="R130" s="1"/>
    </row>
    <row r="131" spans="1:18" ht="16.2" thickBot="1" x14ac:dyDescent="0.35">
      <c r="A131" s="387"/>
      <c r="B131" s="387"/>
      <c r="C131" s="44">
        <v>59450</v>
      </c>
      <c r="D131" s="387"/>
      <c r="E131" s="387"/>
      <c r="F131" s="387"/>
      <c r="G131" s="387"/>
      <c r="H131" s="387"/>
      <c r="I131" s="387"/>
      <c r="J131" s="387"/>
      <c r="K131" s="387"/>
      <c r="L131" s="387"/>
      <c r="M131" s="357"/>
      <c r="N131" s="387"/>
      <c r="O131" s="387"/>
      <c r="P131" s="141"/>
      <c r="Q131" s="387"/>
      <c r="R131" s="1"/>
    </row>
    <row r="132" spans="1:18" ht="15.6" x14ac:dyDescent="0.3">
      <c r="A132" s="385">
        <v>103</v>
      </c>
      <c r="B132" s="385" t="s">
        <v>141</v>
      </c>
      <c r="C132" s="43">
        <v>23991</v>
      </c>
      <c r="D132" s="385">
        <v>1</v>
      </c>
      <c r="E132" s="385" t="s">
        <v>130</v>
      </c>
      <c r="F132" s="385">
        <v>500</v>
      </c>
      <c r="G132" s="385">
        <v>400</v>
      </c>
      <c r="H132" s="385" t="s">
        <v>61</v>
      </c>
      <c r="I132" s="385">
        <v>300</v>
      </c>
      <c r="J132" s="385" t="s">
        <v>45</v>
      </c>
      <c r="K132" s="385">
        <v>90</v>
      </c>
      <c r="L132" s="385">
        <v>168</v>
      </c>
      <c r="M132" s="355" t="s">
        <v>14</v>
      </c>
      <c r="N132" s="385" t="s">
        <v>142</v>
      </c>
      <c r="O132" s="385" t="s">
        <v>16</v>
      </c>
      <c r="P132" s="139"/>
      <c r="Q132" s="385" t="s">
        <v>132</v>
      </c>
      <c r="R132" s="1"/>
    </row>
    <row r="133" spans="1:18" ht="15.6" x14ac:dyDescent="0.3">
      <c r="A133" s="386"/>
      <c r="B133" s="386"/>
      <c r="C133" s="48">
        <v>-4447</v>
      </c>
      <c r="D133" s="386"/>
      <c r="E133" s="386"/>
      <c r="F133" s="386"/>
      <c r="G133" s="386"/>
      <c r="H133" s="386"/>
      <c r="I133" s="386"/>
      <c r="J133" s="386"/>
      <c r="K133" s="386"/>
      <c r="L133" s="386"/>
      <c r="M133" s="356"/>
      <c r="N133" s="386"/>
      <c r="O133" s="386"/>
      <c r="P133" s="140"/>
      <c r="Q133" s="386"/>
      <c r="R133" s="1"/>
    </row>
    <row r="134" spans="1:18" ht="16.2" thickBot="1" x14ac:dyDescent="0.35">
      <c r="A134" s="387"/>
      <c r="B134" s="387"/>
      <c r="C134" s="44">
        <v>59450</v>
      </c>
      <c r="D134" s="387"/>
      <c r="E134" s="387"/>
      <c r="F134" s="387"/>
      <c r="G134" s="387"/>
      <c r="H134" s="387"/>
      <c r="I134" s="387"/>
      <c r="J134" s="387"/>
      <c r="K134" s="387"/>
      <c r="L134" s="387"/>
      <c r="M134" s="357"/>
      <c r="N134" s="387"/>
      <c r="O134" s="387"/>
      <c r="P134" s="141"/>
      <c r="Q134" s="387"/>
      <c r="R134" s="1"/>
    </row>
    <row r="135" spans="1:18" ht="15.6" x14ac:dyDescent="0.3">
      <c r="A135" s="385">
        <v>104</v>
      </c>
      <c r="B135" s="385" t="s">
        <v>141</v>
      </c>
      <c r="C135" s="43">
        <v>23802</v>
      </c>
      <c r="D135" s="385">
        <v>1</v>
      </c>
      <c r="E135" s="385" t="s">
        <v>133</v>
      </c>
      <c r="F135" s="385">
        <v>500</v>
      </c>
      <c r="G135" s="385">
        <v>400</v>
      </c>
      <c r="H135" s="385" t="s">
        <v>134</v>
      </c>
      <c r="I135" s="385">
        <v>300</v>
      </c>
      <c r="J135" s="385" t="s">
        <v>45</v>
      </c>
      <c r="K135" s="385">
        <v>120</v>
      </c>
      <c r="L135" s="385">
        <v>264.5</v>
      </c>
      <c r="M135" s="355" t="s">
        <v>14</v>
      </c>
      <c r="N135" s="385" t="s">
        <v>142</v>
      </c>
      <c r="O135" s="385" t="s">
        <v>16</v>
      </c>
      <c r="P135" s="139"/>
      <c r="Q135" s="385" t="s">
        <v>135</v>
      </c>
      <c r="R135" s="1"/>
    </row>
    <row r="136" spans="1:18" ht="15.6" x14ac:dyDescent="0.3">
      <c r="A136" s="386"/>
      <c r="B136" s="386"/>
      <c r="C136" s="48">
        <v>-6601</v>
      </c>
      <c r="D136" s="386"/>
      <c r="E136" s="386"/>
      <c r="F136" s="386"/>
      <c r="G136" s="386"/>
      <c r="H136" s="386"/>
      <c r="I136" s="386"/>
      <c r="J136" s="386"/>
      <c r="K136" s="386"/>
      <c r="L136" s="386"/>
      <c r="M136" s="356"/>
      <c r="N136" s="386"/>
      <c r="O136" s="386"/>
      <c r="P136" s="140"/>
      <c r="Q136" s="386"/>
      <c r="R136" s="1"/>
    </row>
    <row r="137" spans="1:18" ht="16.2" thickBot="1" x14ac:dyDescent="0.35">
      <c r="A137" s="387"/>
      <c r="B137" s="387"/>
      <c r="C137" s="44">
        <v>59450</v>
      </c>
      <c r="D137" s="387"/>
      <c r="E137" s="387"/>
      <c r="F137" s="387"/>
      <c r="G137" s="387"/>
      <c r="H137" s="387"/>
      <c r="I137" s="387"/>
      <c r="J137" s="387"/>
      <c r="K137" s="387"/>
      <c r="L137" s="387"/>
      <c r="M137" s="357"/>
      <c r="N137" s="387"/>
      <c r="O137" s="387"/>
      <c r="P137" s="141"/>
      <c r="Q137" s="387"/>
      <c r="R137" s="1"/>
    </row>
    <row r="138" spans="1:18" ht="15.6" x14ac:dyDescent="0.3">
      <c r="A138" s="385">
        <v>105</v>
      </c>
      <c r="B138" s="385" t="s">
        <v>141</v>
      </c>
      <c r="C138" s="43">
        <v>22855</v>
      </c>
      <c r="D138" s="385">
        <v>1</v>
      </c>
      <c r="E138" s="385" t="s">
        <v>130</v>
      </c>
      <c r="F138" s="385">
        <v>500</v>
      </c>
      <c r="G138" s="385">
        <v>400</v>
      </c>
      <c r="H138" s="385" t="s">
        <v>61</v>
      </c>
      <c r="I138" s="385">
        <v>300</v>
      </c>
      <c r="J138" s="385" t="s">
        <v>45</v>
      </c>
      <c r="K138" s="385">
        <v>90</v>
      </c>
      <c r="L138" s="385">
        <v>168</v>
      </c>
      <c r="M138" s="355" t="s">
        <v>14</v>
      </c>
      <c r="N138" s="385" t="s">
        <v>142</v>
      </c>
      <c r="O138" s="385" t="s">
        <v>16</v>
      </c>
      <c r="P138" s="139"/>
      <c r="Q138" s="385" t="s">
        <v>132</v>
      </c>
      <c r="R138" s="1"/>
    </row>
    <row r="139" spans="1:18" ht="15.6" x14ac:dyDescent="0.3">
      <c r="A139" s="386"/>
      <c r="B139" s="386"/>
      <c r="C139" s="48">
        <v>-8545</v>
      </c>
      <c r="D139" s="386"/>
      <c r="E139" s="386"/>
      <c r="F139" s="386"/>
      <c r="G139" s="386"/>
      <c r="H139" s="386"/>
      <c r="I139" s="386"/>
      <c r="J139" s="386"/>
      <c r="K139" s="386"/>
      <c r="L139" s="386"/>
      <c r="M139" s="356"/>
      <c r="N139" s="386"/>
      <c r="O139" s="386"/>
      <c r="P139" s="140"/>
      <c r="Q139" s="386"/>
      <c r="R139" s="1"/>
    </row>
    <row r="140" spans="1:18" ht="16.2" thickBot="1" x14ac:dyDescent="0.35">
      <c r="A140" s="387"/>
      <c r="B140" s="387"/>
      <c r="C140" s="44">
        <v>59450</v>
      </c>
      <c r="D140" s="387"/>
      <c r="E140" s="387"/>
      <c r="F140" s="387"/>
      <c r="G140" s="387"/>
      <c r="H140" s="387"/>
      <c r="I140" s="387"/>
      <c r="J140" s="387"/>
      <c r="K140" s="387"/>
      <c r="L140" s="387"/>
      <c r="M140" s="357"/>
      <c r="N140" s="387"/>
      <c r="O140" s="387"/>
      <c r="P140" s="141"/>
      <c r="Q140" s="387"/>
      <c r="R140" s="1"/>
    </row>
    <row r="141" spans="1:18" ht="15.6" x14ac:dyDescent="0.3">
      <c r="A141" s="385">
        <v>106</v>
      </c>
      <c r="B141" s="385" t="s">
        <v>141</v>
      </c>
      <c r="C141" s="43">
        <v>21024</v>
      </c>
      <c r="D141" s="385">
        <v>1</v>
      </c>
      <c r="E141" s="385" t="s">
        <v>130</v>
      </c>
      <c r="F141" s="385">
        <v>500</v>
      </c>
      <c r="G141" s="385">
        <v>400</v>
      </c>
      <c r="H141" s="385" t="s">
        <v>61</v>
      </c>
      <c r="I141" s="385">
        <v>300</v>
      </c>
      <c r="J141" s="385" t="s">
        <v>45</v>
      </c>
      <c r="K141" s="385">
        <v>90</v>
      </c>
      <c r="L141" s="385">
        <v>168</v>
      </c>
      <c r="M141" s="355" t="s">
        <v>14</v>
      </c>
      <c r="N141" s="385" t="s">
        <v>142</v>
      </c>
      <c r="O141" s="385" t="s">
        <v>16</v>
      </c>
      <c r="P141" s="139"/>
      <c r="Q141" s="385" t="s">
        <v>132</v>
      </c>
      <c r="R141" s="1"/>
    </row>
    <row r="142" spans="1:18" ht="15.6" x14ac:dyDescent="0.3">
      <c r="A142" s="386"/>
      <c r="B142" s="386"/>
      <c r="C142" s="48">
        <v>-12384</v>
      </c>
      <c r="D142" s="386"/>
      <c r="E142" s="386"/>
      <c r="F142" s="386"/>
      <c r="G142" s="386"/>
      <c r="H142" s="386"/>
      <c r="I142" s="386"/>
      <c r="J142" s="386"/>
      <c r="K142" s="386"/>
      <c r="L142" s="386"/>
      <c r="M142" s="356"/>
      <c r="N142" s="386"/>
      <c r="O142" s="386"/>
      <c r="P142" s="140"/>
      <c r="Q142" s="386"/>
      <c r="R142" s="1"/>
    </row>
    <row r="143" spans="1:18" ht="16.2" thickBot="1" x14ac:dyDescent="0.35">
      <c r="A143" s="387"/>
      <c r="B143" s="387"/>
      <c r="C143" s="44">
        <v>59450</v>
      </c>
      <c r="D143" s="387"/>
      <c r="E143" s="387"/>
      <c r="F143" s="387"/>
      <c r="G143" s="387"/>
      <c r="H143" s="387"/>
      <c r="I143" s="387"/>
      <c r="J143" s="387"/>
      <c r="K143" s="387"/>
      <c r="L143" s="387"/>
      <c r="M143" s="357"/>
      <c r="N143" s="387"/>
      <c r="O143" s="387"/>
      <c r="P143" s="141"/>
      <c r="Q143" s="387"/>
      <c r="R143" s="1"/>
    </row>
    <row r="144" spans="1:18" ht="15.6" x14ac:dyDescent="0.3">
      <c r="A144" s="385">
        <v>107</v>
      </c>
      <c r="B144" s="385" t="s">
        <v>141</v>
      </c>
      <c r="C144" s="43">
        <v>18554</v>
      </c>
      <c r="D144" s="385">
        <v>1</v>
      </c>
      <c r="E144" s="385" t="s">
        <v>130</v>
      </c>
      <c r="F144" s="385">
        <v>500</v>
      </c>
      <c r="G144" s="385">
        <v>400</v>
      </c>
      <c r="H144" s="385" t="s">
        <v>61</v>
      </c>
      <c r="I144" s="385">
        <v>300</v>
      </c>
      <c r="J144" s="385" t="s">
        <v>45</v>
      </c>
      <c r="K144" s="385">
        <v>90</v>
      </c>
      <c r="L144" s="385">
        <v>168</v>
      </c>
      <c r="M144" s="355" t="s">
        <v>14</v>
      </c>
      <c r="N144" s="385" t="s">
        <v>142</v>
      </c>
      <c r="O144" s="385" t="s">
        <v>16</v>
      </c>
      <c r="P144" s="139"/>
      <c r="Q144" s="385" t="s">
        <v>132</v>
      </c>
      <c r="R144" s="1"/>
    </row>
    <row r="145" spans="1:18" ht="15.6" x14ac:dyDescent="0.3">
      <c r="A145" s="386"/>
      <c r="B145" s="386"/>
      <c r="C145" s="48">
        <v>-15847</v>
      </c>
      <c r="D145" s="386"/>
      <c r="E145" s="386"/>
      <c r="F145" s="386"/>
      <c r="G145" s="386"/>
      <c r="H145" s="386"/>
      <c r="I145" s="386"/>
      <c r="J145" s="386"/>
      <c r="K145" s="386"/>
      <c r="L145" s="386"/>
      <c r="M145" s="356"/>
      <c r="N145" s="386"/>
      <c r="O145" s="386"/>
      <c r="P145" s="140"/>
      <c r="Q145" s="386"/>
      <c r="R145" s="1"/>
    </row>
    <row r="146" spans="1:18" ht="16.2" thickBot="1" x14ac:dyDescent="0.35">
      <c r="A146" s="387"/>
      <c r="B146" s="387"/>
      <c r="C146" s="44">
        <v>59450</v>
      </c>
      <c r="D146" s="387"/>
      <c r="E146" s="387"/>
      <c r="F146" s="387"/>
      <c r="G146" s="387"/>
      <c r="H146" s="387"/>
      <c r="I146" s="387"/>
      <c r="J146" s="387"/>
      <c r="K146" s="387"/>
      <c r="L146" s="387"/>
      <c r="M146" s="357"/>
      <c r="N146" s="387"/>
      <c r="O146" s="387"/>
      <c r="P146" s="141"/>
      <c r="Q146" s="387"/>
      <c r="R146" s="1"/>
    </row>
    <row r="147" spans="1:18" ht="15.6" x14ac:dyDescent="0.3">
      <c r="A147" s="385">
        <v>108</v>
      </c>
      <c r="B147" s="385" t="s">
        <v>141</v>
      </c>
      <c r="C147" s="43">
        <v>15520</v>
      </c>
      <c r="D147" s="385">
        <v>1</v>
      </c>
      <c r="E147" s="385" t="s">
        <v>130</v>
      </c>
      <c r="F147" s="385">
        <v>500</v>
      </c>
      <c r="G147" s="385">
        <v>400</v>
      </c>
      <c r="H147" s="385" t="s">
        <v>61</v>
      </c>
      <c r="I147" s="385">
        <v>300</v>
      </c>
      <c r="J147" s="385" t="s">
        <v>45</v>
      </c>
      <c r="K147" s="385">
        <v>90</v>
      </c>
      <c r="L147" s="385">
        <v>168</v>
      </c>
      <c r="M147" s="355" t="s">
        <v>14</v>
      </c>
      <c r="N147" s="385" t="s">
        <v>142</v>
      </c>
      <c r="O147" s="385" t="s">
        <v>16</v>
      </c>
      <c r="P147" s="139"/>
      <c r="Q147" s="385" t="s">
        <v>132</v>
      </c>
      <c r="R147" s="1"/>
    </row>
    <row r="148" spans="1:18" ht="15.6" x14ac:dyDescent="0.3">
      <c r="A148" s="386"/>
      <c r="B148" s="386"/>
      <c r="C148" s="48">
        <v>-18828</v>
      </c>
      <c r="D148" s="386"/>
      <c r="E148" s="386"/>
      <c r="F148" s="386"/>
      <c r="G148" s="386"/>
      <c r="H148" s="386"/>
      <c r="I148" s="386"/>
      <c r="J148" s="386"/>
      <c r="K148" s="386"/>
      <c r="L148" s="386"/>
      <c r="M148" s="356"/>
      <c r="N148" s="386"/>
      <c r="O148" s="386"/>
      <c r="P148" s="140"/>
      <c r="Q148" s="386"/>
      <c r="R148" s="1"/>
    </row>
    <row r="149" spans="1:18" ht="16.2" thickBot="1" x14ac:dyDescent="0.35">
      <c r="A149" s="387"/>
      <c r="B149" s="387"/>
      <c r="C149" s="44">
        <v>59450</v>
      </c>
      <c r="D149" s="387"/>
      <c r="E149" s="387"/>
      <c r="F149" s="387"/>
      <c r="G149" s="387"/>
      <c r="H149" s="387"/>
      <c r="I149" s="387"/>
      <c r="J149" s="387"/>
      <c r="K149" s="387"/>
      <c r="L149" s="387"/>
      <c r="M149" s="357"/>
      <c r="N149" s="387"/>
      <c r="O149" s="387"/>
      <c r="P149" s="141"/>
      <c r="Q149" s="387"/>
      <c r="R149" s="1"/>
    </row>
    <row r="150" spans="1:18" ht="15.6" x14ac:dyDescent="0.3">
      <c r="A150" s="385">
        <v>109</v>
      </c>
      <c r="B150" s="385" t="s">
        <v>143</v>
      </c>
      <c r="C150" s="43">
        <v>11577</v>
      </c>
      <c r="D150" s="385">
        <v>1</v>
      </c>
      <c r="E150" s="385" t="s">
        <v>24</v>
      </c>
      <c r="F150" s="385">
        <v>500</v>
      </c>
      <c r="G150" s="385">
        <v>400</v>
      </c>
      <c r="H150" s="385" t="s">
        <v>44</v>
      </c>
      <c r="I150" s="385">
        <v>115</v>
      </c>
      <c r="J150" s="385" t="s">
        <v>45</v>
      </c>
      <c r="K150" s="385">
        <v>0</v>
      </c>
      <c r="L150" s="385">
        <v>110</v>
      </c>
      <c r="M150" s="355" t="s">
        <v>14</v>
      </c>
      <c r="N150" s="385" t="s">
        <v>144</v>
      </c>
      <c r="O150" s="385" t="s">
        <v>16</v>
      </c>
      <c r="P150" s="139"/>
      <c r="Q150" s="385" t="s">
        <v>138</v>
      </c>
      <c r="R150" s="1"/>
    </row>
    <row r="151" spans="1:18" ht="15.6" x14ac:dyDescent="0.3">
      <c r="A151" s="386"/>
      <c r="B151" s="386"/>
      <c r="C151" s="48">
        <v>-21478</v>
      </c>
      <c r="D151" s="386"/>
      <c r="E151" s="386"/>
      <c r="F151" s="386"/>
      <c r="G151" s="386"/>
      <c r="H151" s="386"/>
      <c r="I151" s="386"/>
      <c r="J151" s="386"/>
      <c r="K151" s="386"/>
      <c r="L151" s="386"/>
      <c r="M151" s="356"/>
      <c r="N151" s="386"/>
      <c r="O151" s="386"/>
      <c r="P151" s="140"/>
      <c r="Q151" s="386"/>
      <c r="R151" s="1"/>
    </row>
    <row r="152" spans="1:18" ht="16.2" thickBot="1" x14ac:dyDescent="0.35">
      <c r="A152" s="387"/>
      <c r="B152" s="387"/>
      <c r="C152" s="44">
        <v>59450</v>
      </c>
      <c r="D152" s="387"/>
      <c r="E152" s="387"/>
      <c r="F152" s="387"/>
      <c r="G152" s="387"/>
      <c r="H152" s="387"/>
      <c r="I152" s="387"/>
      <c r="J152" s="387"/>
      <c r="K152" s="387"/>
      <c r="L152" s="387"/>
      <c r="M152" s="357"/>
      <c r="N152" s="387"/>
      <c r="O152" s="387"/>
      <c r="P152" s="141"/>
      <c r="Q152" s="387"/>
      <c r="R152" s="1"/>
    </row>
    <row r="153" spans="1:18" ht="15.6" x14ac:dyDescent="0.3">
      <c r="A153" s="385">
        <v>110</v>
      </c>
      <c r="B153" s="385" t="s">
        <v>145</v>
      </c>
      <c r="C153" s="43">
        <v>8145</v>
      </c>
      <c r="D153" s="385">
        <v>1</v>
      </c>
      <c r="E153" s="385" t="s">
        <v>130</v>
      </c>
      <c r="F153" s="385">
        <v>500</v>
      </c>
      <c r="G153" s="385">
        <v>400</v>
      </c>
      <c r="H153" s="385" t="s">
        <v>61</v>
      </c>
      <c r="I153" s="385">
        <v>300</v>
      </c>
      <c r="J153" s="385" t="s">
        <v>45</v>
      </c>
      <c r="K153" s="385">
        <v>90</v>
      </c>
      <c r="L153" s="385">
        <v>168</v>
      </c>
      <c r="M153" s="355" t="s">
        <v>14</v>
      </c>
      <c r="N153" s="385" t="s">
        <v>146</v>
      </c>
      <c r="O153" s="385" t="s">
        <v>16</v>
      </c>
      <c r="P153" s="139"/>
      <c r="Q153" s="385" t="s">
        <v>132</v>
      </c>
      <c r="R153" s="1"/>
    </row>
    <row r="154" spans="1:18" ht="15.6" x14ac:dyDescent="0.3">
      <c r="A154" s="386"/>
      <c r="B154" s="386"/>
      <c r="C154" s="48">
        <v>-23000</v>
      </c>
      <c r="D154" s="386"/>
      <c r="E154" s="386"/>
      <c r="F154" s="386"/>
      <c r="G154" s="386"/>
      <c r="H154" s="386"/>
      <c r="I154" s="386"/>
      <c r="J154" s="386"/>
      <c r="K154" s="386"/>
      <c r="L154" s="386"/>
      <c r="M154" s="356"/>
      <c r="N154" s="386"/>
      <c r="O154" s="386"/>
      <c r="P154" s="140"/>
      <c r="Q154" s="386"/>
      <c r="R154" s="1"/>
    </row>
    <row r="155" spans="1:18" ht="16.2" thickBot="1" x14ac:dyDescent="0.35">
      <c r="A155" s="387"/>
      <c r="B155" s="387"/>
      <c r="C155" s="44">
        <v>59450</v>
      </c>
      <c r="D155" s="387"/>
      <c r="E155" s="387"/>
      <c r="F155" s="387"/>
      <c r="G155" s="387"/>
      <c r="H155" s="387"/>
      <c r="I155" s="387"/>
      <c r="J155" s="387"/>
      <c r="K155" s="387"/>
      <c r="L155" s="387"/>
      <c r="M155" s="357"/>
      <c r="N155" s="387"/>
      <c r="O155" s="387"/>
      <c r="P155" s="141"/>
      <c r="Q155" s="387"/>
      <c r="R155" s="1"/>
    </row>
    <row r="156" spans="1:18" ht="15.6" x14ac:dyDescent="0.3">
      <c r="A156" s="385">
        <v>111</v>
      </c>
      <c r="B156" s="385" t="s">
        <v>145</v>
      </c>
      <c r="C156" s="43">
        <v>4027</v>
      </c>
      <c r="D156" s="385">
        <v>1</v>
      </c>
      <c r="E156" s="385" t="s">
        <v>130</v>
      </c>
      <c r="F156" s="385">
        <v>500</v>
      </c>
      <c r="G156" s="385">
        <v>400</v>
      </c>
      <c r="H156" s="385" t="s">
        <v>61</v>
      </c>
      <c r="I156" s="385">
        <v>300</v>
      </c>
      <c r="J156" s="385" t="s">
        <v>45</v>
      </c>
      <c r="K156" s="385">
        <v>90</v>
      </c>
      <c r="L156" s="385">
        <v>168</v>
      </c>
      <c r="M156" s="355" t="s">
        <v>14</v>
      </c>
      <c r="N156" s="385" t="s">
        <v>146</v>
      </c>
      <c r="O156" s="385" t="s">
        <v>16</v>
      </c>
      <c r="P156" s="139"/>
      <c r="Q156" s="385" t="s">
        <v>132</v>
      </c>
      <c r="R156" s="1"/>
    </row>
    <row r="157" spans="1:18" ht="15.6" x14ac:dyDescent="0.3">
      <c r="A157" s="386"/>
      <c r="B157" s="386"/>
      <c r="C157" s="48">
        <v>-24065</v>
      </c>
      <c r="D157" s="386"/>
      <c r="E157" s="386"/>
      <c r="F157" s="386"/>
      <c r="G157" s="386"/>
      <c r="H157" s="386"/>
      <c r="I157" s="386"/>
      <c r="J157" s="386"/>
      <c r="K157" s="386"/>
      <c r="L157" s="386"/>
      <c r="M157" s="356"/>
      <c r="N157" s="386"/>
      <c r="O157" s="386"/>
      <c r="P157" s="140"/>
      <c r="Q157" s="386"/>
      <c r="R157" s="1"/>
    </row>
    <row r="158" spans="1:18" ht="16.2" thickBot="1" x14ac:dyDescent="0.35">
      <c r="A158" s="387"/>
      <c r="B158" s="387"/>
      <c r="C158" s="44">
        <v>59450</v>
      </c>
      <c r="D158" s="387"/>
      <c r="E158" s="387"/>
      <c r="F158" s="387"/>
      <c r="G158" s="387"/>
      <c r="H158" s="387"/>
      <c r="I158" s="387"/>
      <c r="J158" s="387"/>
      <c r="K158" s="387"/>
      <c r="L158" s="387"/>
      <c r="M158" s="357"/>
      <c r="N158" s="387"/>
      <c r="O158" s="387"/>
      <c r="P158" s="141"/>
      <c r="Q158" s="387"/>
      <c r="R158" s="1"/>
    </row>
    <row r="159" spans="1:18" ht="15.6" x14ac:dyDescent="0.3">
      <c r="A159" s="385">
        <v>112</v>
      </c>
      <c r="B159" s="385" t="s">
        <v>145</v>
      </c>
      <c r="C159" s="43">
        <v>-213</v>
      </c>
      <c r="D159" s="385">
        <v>1</v>
      </c>
      <c r="E159" s="385" t="s">
        <v>130</v>
      </c>
      <c r="F159" s="385">
        <v>500</v>
      </c>
      <c r="G159" s="385">
        <v>400</v>
      </c>
      <c r="H159" s="385" t="s">
        <v>61</v>
      </c>
      <c r="I159" s="385">
        <v>300</v>
      </c>
      <c r="J159" s="385" t="s">
        <v>45</v>
      </c>
      <c r="K159" s="385">
        <v>90</v>
      </c>
      <c r="L159" s="385">
        <v>168</v>
      </c>
      <c r="M159" s="355" t="s">
        <v>14</v>
      </c>
      <c r="N159" s="385" t="s">
        <v>146</v>
      </c>
      <c r="O159" s="385" t="s">
        <v>16</v>
      </c>
      <c r="P159" s="139"/>
      <c r="Q159" s="385" t="s">
        <v>132</v>
      </c>
      <c r="R159" s="1"/>
    </row>
    <row r="160" spans="1:18" ht="15.6" x14ac:dyDescent="0.3">
      <c r="A160" s="386"/>
      <c r="B160" s="386"/>
      <c r="C160" s="48">
        <v>-24399</v>
      </c>
      <c r="D160" s="386"/>
      <c r="E160" s="386"/>
      <c r="F160" s="386"/>
      <c r="G160" s="386"/>
      <c r="H160" s="386"/>
      <c r="I160" s="386"/>
      <c r="J160" s="386"/>
      <c r="K160" s="386"/>
      <c r="L160" s="386"/>
      <c r="M160" s="356"/>
      <c r="N160" s="386"/>
      <c r="O160" s="386"/>
      <c r="P160" s="140"/>
      <c r="Q160" s="386"/>
      <c r="R160" s="1"/>
    </row>
    <row r="161" spans="1:18" ht="16.2" thickBot="1" x14ac:dyDescent="0.35">
      <c r="A161" s="387"/>
      <c r="B161" s="387"/>
      <c r="C161" s="44">
        <v>59450</v>
      </c>
      <c r="D161" s="387"/>
      <c r="E161" s="387"/>
      <c r="F161" s="387"/>
      <c r="G161" s="387"/>
      <c r="H161" s="387"/>
      <c r="I161" s="387"/>
      <c r="J161" s="387"/>
      <c r="K161" s="387"/>
      <c r="L161" s="387"/>
      <c r="M161" s="357"/>
      <c r="N161" s="387"/>
      <c r="O161" s="387"/>
      <c r="P161" s="141"/>
      <c r="Q161" s="387"/>
      <c r="R161" s="1"/>
    </row>
    <row r="162" spans="1:18" ht="15.6" x14ac:dyDescent="0.3">
      <c r="A162" s="385">
        <v>113</v>
      </c>
      <c r="B162" s="385" t="s">
        <v>145</v>
      </c>
      <c r="C162" s="43">
        <v>-4447</v>
      </c>
      <c r="D162" s="385">
        <v>1</v>
      </c>
      <c r="E162" s="385" t="s">
        <v>130</v>
      </c>
      <c r="F162" s="385">
        <v>500</v>
      </c>
      <c r="G162" s="385">
        <v>400</v>
      </c>
      <c r="H162" s="385" t="s">
        <v>61</v>
      </c>
      <c r="I162" s="385">
        <v>300</v>
      </c>
      <c r="J162" s="385" t="s">
        <v>45</v>
      </c>
      <c r="K162" s="385">
        <v>90</v>
      </c>
      <c r="L162" s="385">
        <v>168</v>
      </c>
      <c r="M162" s="355" t="s">
        <v>14</v>
      </c>
      <c r="N162" s="385" t="s">
        <v>146</v>
      </c>
      <c r="O162" s="385" t="s">
        <v>16</v>
      </c>
      <c r="P162" s="139"/>
      <c r="Q162" s="385" t="s">
        <v>132</v>
      </c>
      <c r="R162" s="1"/>
    </row>
    <row r="163" spans="1:18" ht="15.6" x14ac:dyDescent="0.3">
      <c r="A163" s="386"/>
      <c r="B163" s="386"/>
      <c r="C163" s="48">
        <v>-23991</v>
      </c>
      <c r="D163" s="386"/>
      <c r="E163" s="386"/>
      <c r="F163" s="386"/>
      <c r="G163" s="386"/>
      <c r="H163" s="386"/>
      <c r="I163" s="386"/>
      <c r="J163" s="386"/>
      <c r="K163" s="386"/>
      <c r="L163" s="386"/>
      <c r="M163" s="356"/>
      <c r="N163" s="386"/>
      <c r="O163" s="386"/>
      <c r="P163" s="140"/>
      <c r="Q163" s="386"/>
      <c r="R163" s="1"/>
    </row>
    <row r="164" spans="1:18" ht="16.2" thickBot="1" x14ac:dyDescent="0.35">
      <c r="A164" s="387"/>
      <c r="B164" s="387"/>
      <c r="C164" s="44">
        <v>59450</v>
      </c>
      <c r="D164" s="387"/>
      <c r="E164" s="387"/>
      <c r="F164" s="387"/>
      <c r="G164" s="387"/>
      <c r="H164" s="387"/>
      <c r="I164" s="387"/>
      <c r="J164" s="387"/>
      <c r="K164" s="387"/>
      <c r="L164" s="387"/>
      <c r="M164" s="357"/>
      <c r="N164" s="387"/>
      <c r="O164" s="387"/>
      <c r="P164" s="141"/>
      <c r="Q164" s="387"/>
      <c r="R164" s="1"/>
    </row>
    <row r="165" spans="1:18" ht="15.6" x14ac:dyDescent="0.3">
      <c r="A165" s="385">
        <v>114</v>
      </c>
      <c r="B165" s="385" t="s">
        <v>145</v>
      </c>
      <c r="C165" s="43">
        <v>-6467</v>
      </c>
      <c r="D165" s="385">
        <v>1</v>
      </c>
      <c r="E165" s="385" t="s">
        <v>133</v>
      </c>
      <c r="F165" s="385">
        <v>500</v>
      </c>
      <c r="G165" s="385">
        <v>400</v>
      </c>
      <c r="H165" s="385" t="s">
        <v>134</v>
      </c>
      <c r="I165" s="385">
        <v>300</v>
      </c>
      <c r="J165" s="385" t="s">
        <v>45</v>
      </c>
      <c r="K165" s="385">
        <v>120</v>
      </c>
      <c r="L165" s="385">
        <v>264.5</v>
      </c>
      <c r="M165" s="355" t="s">
        <v>14</v>
      </c>
      <c r="N165" s="385" t="s">
        <v>146</v>
      </c>
      <c r="O165" s="385" t="s">
        <v>16</v>
      </c>
      <c r="P165" s="139"/>
      <c r="Q165" s="385" t="s">
        <v>135</v>
      </c>
      <c r="R165" s="1"/>
    </row>
    <row r="166" spans="1:18" ht="15.6" x14ac:dyDescent="0.3">
      <c r="A166" s="386"/>
      <c r="B166" s="386"/>
      <c r="C166" s="48">
        <v>-23320</v>
      </c>
      <c r="D166" s="386"/>
      <c r="E166" s="386"/>
      <c r="F166" s="386"/>
      <c r="G166" s="386"/>
      <c r="H166" s="386"/>
      <c r="I166" s="386"/>
      <c r="J166" s="386"/>
      <c r="K166" s="386"/>
      <c r="L166" s="386"/>
      <c r="M166" s="356"/>
      <c r="N166" s="386"/>
      <c r="O166" s="386"/>
      <c r="P166" s="140"/>
      <c r="Q166" s="386"/>
      <c r="R166" s="1"/>
    </row>
    <row r="167" spans="1:18" ht="16.2" thickBot="1" x14ac:dyDescent="0.35">
      <c r="A167" s="387"/>
      <c r="B167" s="387"/>
      <c r="C167" s="44">
        <v>59450</v>
      </c>
      <c r="D167" s="387"/>
      <c r="E167" s="387"/>
      <c r="F167" s="387"/>
      <c r="G167" s="387"/>
      <c r="H167" s="387"/>
      <c r="I167" s="387"/>
      <c r="J167" s="387"/>
      <c r="K167" s="387"/>
      <c r="L167" s="387"/>
      <c r="M167" s="357"/>
      <c r="N167" s="387"/>
      <c r="O167" s="387"/>
      <c r="P167" s="141"/>
      <c r="Q167" s="387"/>
      <c r="R167" s="1"/>
    </row>
    <row r="168" spans="1:18" ht="15.6" x14ac:dyDescent="0.3">
      <c r="A168" s="385">
        <v>115</v>
      </c>
      <c r="B168" s="385" t="s">
        <v>145</v>
      </c>
      <c r="C168" s="43">
        <v>-8545</v>
      </c>
      <c r="D168" s="385">
        <v>1</v>
      </c>
      <c r="E168" s="385" t="s">
        <v>130</v>
      </c>
      <c r="F168" s="385">
        <v>500</v>
      </c>
      <c r="G168" s="385">
        <v>400</v>
      </c>
      <c r="H168" s="385" t="s">
        <v>61</v>
      </c>
      <c r="I168" s="385">
        <v>300</v>
      </c>
      <c r="J168" s="385" t="s">
        <v>45</v>
      </c>
      <c r="K168" s="385">
        <v>90</v>
      </c>
      <c r="L168" s="385">
        <v>168</v>
      </c>
      <c r="M168" s="355" t="s">
        <v>14</v>
      </c>
      <c r="N168" s="385" t="s">
        <v>146</v>
      </c>
      <c r="O168" s="385" t="s">
        <v>16</v>
      </c>
      <c r="P168" s="139"/>
      <c r="Q168" s="385" t="s">
        <v>132</v>
      </c>
      <c r="R168" s="1"/>
    </row>
    <row r="169" spans="1:18" ht="15.6" x14ac:dyDescent="0.3">
      <c r="A169" s="386"/>
      <c r="B169" s="386"/>
      <c r="C169" s="48">
        <v>-22855</v>
      </c>
      <c r="D169" s="386"/>
      <c r="E169" s="386"/>
      <c r="F169" s="386"/>
      <c r="G169" s="386"/>
      <c r="H169" s="386"/>
      <c r="I169" s="386"/>
      <c r="J169" s="386"/>
      <c r="K169" s="386"/>
      <c r="L169" s="386"/>
      <c r="M169" s="356"/>
      <c r="N169" s="386"/>
      <c r="O169" s="386"/>
      <c r="P169" s="140"/>
      <c r="Q169" s="386"/>
      <c r="R169" s="1"/>
    </row>
    <row r="170" spans="1:18" ht="16.2" thickBot="1" x14ac:dyDescent="0.35">
      <c r="A170" s="387"/>
      <c r="B170" s="387"/>
      <c r="C170" s="44">
        <v>59450</v>
      </c>
      <c r="D170" s="387"/>
      <c r="E170" s="387"/>
      <c r="F170" s="387"/>
      <c r="G170" s="387"/>
      <c r="H170" s="387"/>
      <c r="I170" s="387"/>
      <c r="J170" s="387"/>
      <c r="K170" s="387"/>
      <c r="L170" s="387"/>
      <c r="M170" s="357"/>
      <c r="N170" s="387"/>
      <c r="O170" s="387"/>
      <c r="P170" s="141"/>
      <c r="Q170" s="387"/>
      <c r="R170" s="1"/>
    </row>
    <row r="171" spans="1:18" ht="15.6" x14ac:dyDescent="0.3">
      <c r="A171" s="385">
        <v>116</v>
      </c>
      <c r="B171" s="385" t="s">
        <v>145</v>
      </c>
      <c r="C171" s="43">
        <v>-12384</v>
      </c>
      <c r="D171" s="385">
        <v>1</v>
      </c>
      <c r="E171" s="385" t="s">
        <v>130</v>
      </c>
      <c r="F171" s="385">
        <v>500</v>
      </c>
      <c r="G171" s="385">
        <v>400</v>
      </c>
      <c r="H171" s="385" t="s">
        <v>61</v>
      </c>
      <c r="I171" s="385">
        <v>300</v>
      </c>
      <c r="J171" s="385" t="s">
        <v>45</v>
      </c>
      <c r="K171" s="385">
        <v>90</v>
      </c>
      <c r="L171" s="385">
        <v>168</v>
      </c>
      <c r="M171" s="355" t="s">
        <v>14</v>
      </c>
      <c r="N171" s="385" t="s">
        <v>146</v>
      </c>
      <c r="O171" s="385" t="s">
        <v>16</v>
      </c>
      <c r="P171" s="139"/>
      <c r="Q171" s="385" t="s">
        <v>132</v>
      </c>
      <c r="R171" s="1"/>
    </row>
    <row r="172" spans="1:18" ht="15.6" x14ac:dyDescent="0.3">
      <c r="A172" s="386"/>
      <c r="B172" s="386"/>
      <c r="C172" s="48">
        <v>-21024</v>
      </c>
      <c r="D172" s="386"/>
      <c r="E172" s="386"/>
      <c r="F172" s="386"/>
      <c r="G172" s="386"/>
      <c r="H172" s="386"/>
      <c r="I172" s="386"/>
      <c r="J172" s="386"/>
      <c r="K172" s="386"/>
      <c r="L172" s="386"/>
      <c r="M172" s="356"/>
      <c r="N172" s="386"/>
      <c r="O172" s="386"/>
      <c r="P172" s="140"/>
      <c r="Q172" s="386"/>
      <c r="R172" s="1"/>
    </row>
    <row r="173" spans="1:18" ht="16.2" thickBot="1" x14ac:dyDescent="0.35">
      <c r="A173" s="387"/>
      <c r="B173" s="387"/>
      <c r="C173" s="44">
        <v>59450</v>
      </c>
      <c r="D173" s="387"/>
      <c r="E173" s="387"/>
      <c r="F173" s="387"/>
      <c r="G173" s="387"/>
      <c r="H173" s="387"/>
      <c r="I173" s="387"/>
      <c r="J173" s="387"/>
      <c r="K173" s="387"/>
      <c r="L173" s="387"/>
      <c r="M173" s="357"/>
      <c r="N173" s="387"/>
      <c r="O173" s="387"/>
      <c r="P173" s="141"/>
      <c r="Q173" s="387"/>
      <c r="R173" s="1"/>
    </row>
    <row r="174" spans="1:18" ht="15.6" x14ac:dyDescent="0.3">
      <c r="A174" s="385">
        <v>117</v>
      </c>
      <c r="B174" s="385" t="s">
        <v>145</v>
      </c>
      <c r="C174" s="43">
        <v>-15847</v>
      </c>
      <c r="D174" s="385">
        <v>1</v>
      </c>
      <c r="E174" s="385" t="s">
        <v>130</v>
      </c>
      <c r="F174" s="385">
        <v>500</v>
      </c>
      <c r="G174" s="385">
        <v>400</v>
      </c>
      <c r="H174" s="385" t="s">
        <v>61</v>
      </c>
      <c r="I174" s="385">
        <v>300</v>
      </c>
      <c r="J174" s="385" t="s">
        <v>45</v>
      </c>
      <c r="K174" s="385">
        <v>90</v>
      </c>
      <c r="L174" s="385">
        <v>168</v>
      </c>
      <c r="M174" s="355" t="s">
        <v>14</v>
      </c>
      <c r="N174" s="385" t="s">
        <v>146</v>
      </c>
      <c r="O174" s="385" t="s">
        <v>16</v>
      </c>
      <c r="P174" s="139"/>
      <c r="Q174" s="385" t="s">
        <v>132</v>
      </c>
      <c r="R174" s="1"/>
    </row>
    <row r="175" spans="1:18" ht="15.6" x14ac:dyDescent="0.3">
      <c r="A175" s="386"/>
      <c r="B175" s="386"/>
      <c r="C175" s="48">
        <v>-18554</v>
      </c>
      <c r="D175" s="386"/>
      <c r="E175" s="386"/>
      <c r="F175" s="386"/>
      <c r="G175" s="386"/>
      <c r="H175" s="386"/>
      <c r="I175" s="386"/>
      <c r="J175" s="386"/>
      <c r="K175" s="386"/>
      <c r="L175" s="386"/>
      <c r="M175" s="356"/>
      <c r="N175" s="386"/>
      <c r="O175" s="386"/>
      <c r="P175" s="140"/>
      <c r="Q175" s="386"/>
      <c r="R175" s="1"/>
    </row>
    <row r="176" spans="1:18" ht="16.2" thickBot="1" x14ac:dyDescent="0.35">
      <c r="A176" s="387"/>
      <c r="B176" s="387"/>
      <c r="C176" s="44">
        <v>59450</v>
      </c>
      <c r="D176" s="387"/>
      <c r="E176" s="387"/>
      <c r="F176" s="387"/>
      <c r="G176" s="387"/>
      <c r="H176" s="387"/>
      <c r="I176" s="387"/>
      <c r="J176" s="387"/>
      <c r="K176" s="387"/>
      <c r="L176" s="387"/>
      <c r="M176" s="357"/>
      <c r="N176" s="387"/>
      <c r="O176" s="387"/>
      <c r="P176" s="141"/>
      <c r="Q176" s="387"/>
      <c r="R176" s="1"/>
    </row>
    <row r="177" spans="1:18" ht="15.6" x14ac:dyDescent="0.3">
      <c r="A177" s="385">
        <v>118</v>
      </c>
      <c r="B177" s="385" t="s">
        <v>145</v>
      </c>
      <c r="C177" s="43">
        <v>-18828</v>
      </c>
      <c r="D177" s="385">
        <v>1</v>
      </c>
      <c r="E177" s="385" t="s">
        <v>130</v>
      </c>
      <c r="F177" s="385">
        <v>500</v>
      </c>
      <c r="G177" s="385">
        <v>400</v>
      </c>
      <c r="H177" s="385" t="s">
        <v>61</v>
      </c>
      <c r="I177" s="385">
        <v>300</v>
      </c>
      <c r="J177" s="385" t="s">
        <v>45</v>
      </c>
      <c r="K177" s="385">
        <v>90</v>
      </c>
      <c r="L177" s="385">
        <v>168</v>
      </c>
      <c r="M177" s="355" t="s">
        <v>14</v>
      </c>
      <c r="N177" s="385" t="s">
        <v>146</v>
      </c>
      <c r="O177" s="385" t="s">
        <v>16</v>
      </c>
      <c r="P177" s="139"/>
      <c r="Q177" s="385" t="s">
        <v>132</v>
      </c>
      <c r="R177" s="1"/>
    </row>
    <row r="178" spans="1:18" ht="15.6" x14ac:dyDescent="0.3">
      <c r="A178" s="386"/>
      <c r="B178" s="386"/>
      <c r="C178" s="48">
        <v>-15520</v>
      </c>
      <c r="D178" s="386"/>
      <c r="E178" s="386"/>
      <c r="F178" s="386"/>
      <c r="G178" s="386"/>
      <c r="H178" s="386"/>
      <c r="I178" s="386"/>
      <c r="J178" s="386"/>
      <c r="K178" s="386"/>
      <c r="L178" s="386"/>
      <c r="M178" s="356"/>
      <c r="N178" s="386"/>
      <c r="O178" s="386"/>
      <c r="P178" s="140"/>
      <c r="Q178" s="386"/>
      <c r="R178" s="1"/>
    </row>
    <row r="179" spans="1:18" ht="16.2" thickBot="1" x14ac:dyDescent="0.35">
      <c r="A179" s="387"/>
      <c r="B179" s="387"/>
      <c r="C179" s="44">
        <v>59450</v>
      </c>
      <c r="D179" s="387"/>
      <c r="E179" s="387"/>
      <c r="F179" s="387"/>
      <c r="G179" s="387"/>
      <c r="H179" s="387"/>
      <c r="I179" s="387"/>
      <c r="J179" s="387"/>
      <c r="K179" s="387"/>
      <c r="L179" s="387"/>
      <c r="M179" s="357"/>
      <c r="N179" s="387"/>
      <c r="O179" s="387"/>
      <c r="P179" s="141"/>
      <c r="Q179" s="387"/>
      <c r="R179" s="1"/>
    </row>
    <row r="180" spans="1:18" ht="16.2" thickBot="1" x14ac:dyDescent="0.35">
      <c r="A180" s="352" t="s">
        <v>147</v>
      </c>
      <c r="B180" s="353"/>
      <c r="C180" s="353"/>
      <c r="D180" s="353"/>
      <c r="E180" s="353"/>
      <c r="F180" s="353"/>
      <c r="G180" s="353"/>
      <c r="H180" s="353"/>
      <c r="I180" s="353"/>
      <c r="J180" s="353"/>
      <c r="K180" s="353"/>
      <c r="L180" s="353"/>
      <c r="M180" s="353"/>
      <c r="N180" s="353"/>
      <c r="O180" s="353"/>
      <c r="P180" s="353"/>
      <c r="Q180" s="354"/>
      <c r="R180" s="1"/>
    </row>
    <row r="181" spans="1:18" ht="15.6" x14ac:dyDescent="0.3">
      <c r="A181" s="385">
        <v>119</v>
      </c>
      <c r="B181" s="385" t="s">
        <v>148</v>
      </c>
      <c r="C181" s="43">
        <v>-13175</v>
      </c>
      <c r="D181" s="385">
        <v>1</v>
      </c>
      <c r="E181" s="385" t="s">
        <v>25</v>
      </c>
      <c r="F181" s="385">
        <v>400</v>
      </c>
      <c r="G181" s="385">
        <v>400</v>
      </c>
      <c r="H181" s="385" t="s">
        <v>44</v>
      </c>
      <c r="I181" s="385">
        <v>115</v>
      </c>
      <c r="J181" s="385" t="s">
        <v>45</v>
      </c>
      <c r="K181" s="385">
        <v>0</v>
      </c>
      <c r="L181" s="385">
        <v>35.200000000000003</v>
      </c>
      <c r="M181" s="355" t="s">
        <v>14</v>
      </c>
      <c r="N181" s="385" t="s">
        <v>149</v>
      </c>
      <c r="O181" s="385" t="s">
        <v>16</v>
      </c>
      <c r="P181" s="139"/>
      <c r="Q181" s="385" t="s">
        <v>120</v>
      </c>
      <c r="R181" s="1"/>
    </row>
    <row r="182" spans="1:18" ht="15.6" x14ac:dyDescent="0.3">
      <c r="A182" s="386"/>
      <c r="B182" s="386"/>
      <c r="C182" s="48">
        <v>20078</v>
      </c>
      <c r="D182" s="386"/>
      <c r="E182" s="386"/>
      <c r="F182" s="386"/>
      <c r="G182" s="386"/>
      <c r="H182" s="386"/>
      <c r="I182" s="386"/>
      <c r="J182" s="386"/>
      <c r="K182" s="386"/>
      <c r="L182" s="386"/>
      <c r="M182" s="356"/>
      <c r="N182" s="386"/>
      <c r="O182" s="386"/>
      <c r="P182" s="140"/>
      <c r="Q182" s="386"/>
      <c r="R182" s="1"/>
    </row>
    <row r="183" spans="1:18" ht="16.2" thickBot="1" x14ac:dyDescent="0.35">
      <c r="A183" s="387"/>
      <c r="B183" s="387"/>
      <c r="C183" s="44">
        <v>62265</v>
      </c>
      <c r="D183" s="387"/>
      <c r="E183" s="387"/>
      <c r="F183" s="387"/>
      <c r="G183" s="387"/>
      <c r="H183" s="387"/>
      <c r="I183" s="387"/>
      <c r="J183" s="387"/>
      <c r="K183" s="387"/>
      <c r="L183" s="387"/>
      <c r="M183" s="357"/>
      <c r="N183" s="387"/>
      <c r="O183" s="387"/>
      <c r="P183" s="141"/>
      <c r="Q183" s="387"/>
      <c r="R183" s="1"/>
    </row>
    <row r="184" spans="1:18" ht="15.6" x14ac:dyDescent="0.3">
      <c r="A184" s="385">
        <v>120</v>
      </c>
      <c r="B184" s="385" t="s">
        <v>148</v>
      </c>
      <c r="C184" s="43">
        <v>-10425</v>
      </c>
      <c r="D184" s="385">
        <v>1</v>
      </c>
      <c r="E184" s="385" t="s">
        <v>25</v>
      </c>
      <c r="F184" s="385">
        <v>400</v>
      </c>
      <c r="G184" s="385">
        <v>400</v>
      </c>
      <c r="H184" s="385" t="s">
        <v>44</v>
      </c>
      <c r="I184" s="385">
        <v>115</v>
      </c>
      <c r="J184" s="385" t="s">
        <v>45</v>
      </c>
      <c r="K184" s="385">
        <v>0</v>
      </c>
      <c r="L184" s="385">
        <v>34.9</v>
      </c>
      <c r="M184" s="355" t="s">
        <v>14</v>
      </c>
      <c r="N184" s="385" t="s">
        <v>150</v>
      </c>
      <c r="O184" s="385" t="s">
        <v>16</v>
      </c>
      <c r="P184" s="139"/>
      <c r="Q184" s="385" t="s">
        <v>120</v>
      </c>
      <c r="R184" s="1"/>
    </row>
    <row r="185" spans="1:18" ht="15.6" x14ac:dyDescent="0.3">
      <c r="A185" s="386"/>
      <c r="B185" s="386"/>
      <c r="C185" s="48">
        <v>21634</v>
      </c>
      <c r="D185" s="386"/>
      <c r="E185" s="386"/>
      <c r="F185" s="386"/>
      <c r="G185" s="386"/>
      <c r="H185" s="386"/>
      <c r="I185" s="386"/>
      <c r="J185" s="386"/>
      <c r="K185" s="386"/>
      <c r="L185" s="386"/>
      <c r="M185" s="356"/>
      <c r="N185" s="386"/>
      <c r="O185" s="386"/>
      <c r="P185" s="140"/>
      <c r="Q185" s="386"/>
      <c r="R185" s="1"/>
    </row>
    <row r="186" spans="1:18" ht="16.2" thickBot="1" x14ac:dyDescent="0.35">
      <c r="A186" s="387"/>
      <c r="B186" s="387"/>
      <c r="C186" s="44">
        <v>62280</v>
      </c>
      <c r="D186" s="387"/>
      <c r="E186" s="387"/>
      <c r="F186" s="387"/>
      <c r="G186" s="387"/>
      <c r="H186" s="387"/>
      <c r="I186" s="387"/>
      <c r="J186" s="387"/>
      <c r="K186" s="387"/>
      <c r="L186" s="387"/>
      <c r="M186" s="357"/>
      <c r="N186" s="387"/>
      <c r="O186" s="387"/>
      <c r="P186" s="141"/>
      <c r="Q186" s="387"/>
      <c r="R186" s="1"/>
    </row>
    <row r="187" spans="1:18" ht="15.6" x14ac:dyDescent="0.3">
      <c r="A187" s="385">
        <v>121</v>
      </c>
      <c r="B187" s="385" t="s">
        <v>148</v>
      </c>
      <c r="C187" s="43">
        <v>20078</v>
      </c>
      <c r="D187" s="385">
        <v>1</v>
      </c>
      <c r="E187" s="385" t="s">
        <v>25</v>
      </c>
      <c r="F187" s="385">
        <v>400</v>
      </c>
      <c r="G187" s="385">
        <v>400</v>
      </c>
      <c r="H187" s="385" t="s">
        <v>44</v>
      </c>
      <c r="I187" s="385">
        <v>115</v>
      </c>
      <c r="J187" s="385" t="s">
        <v>45</v>
      </c>
      <c r="K187" s="385">
        <v>0</v>
      </c>
      <c r="L187" s="385">
        <v>61.3</v>
      </c>
      <c r="M187" s="355" t="s">
        <v>14</v>
      </c>
      <c r="N187" s="388" t="s">
        <v>151</v>
      </c>
      <c r="O187" s="385" t="s">
        <v>16</v>
      </c>
      <c r="P187" s="139"/>
      <c r="Q187" s="385" t="s">
        <v>120</v>
      </c>
      <c r="R187" s="1"/>
    </row>
    <row r="188" spans="1:18" ht="15.6" x14ac:dyDescent="0.3">
      <c r="A188" s="386"/>
      <c r="B188" s="386"/>
      <c r="C188" s="48">
        <v>13175</v>
      </c>
      <c r="D188" s="386"/>
      <c r="E188" s="386"/>
      <c r="F188" s="386"/>
      <c r="G188" s="386"/>
      <c r="H188" s="386"/>
      <c r="I188" s="386"/>
      <c r="J188" s="386"/>
      <c r="K188" s="386"/>
      <c r="L188" s="386"/>
      <c r="M188" s="356"/>
      <c r="N188" s="389"/>
      <c r="O188" s="386"/>
      <c r="P188" s="140"/>
      <c r="Q188" s="386"/>
      <c r="R188" s="1"/>
    </row>
    <row r="189" spans="1:18" ht="16.2" thickBot="1" x14ac:dyDescent="0.35">
      <c r="A189" s="387"/>
      <c r="B189" s="387"/>
      <c r="C189" s="44">
        <v>62425</v>
      </c>
      <c r="D189" s="387"/>
      <c r="E189" s="387"/>
      <c r="F189" s="387"/>
      <c r="G189" s="387"/>
      <c r="H189" s="387"/>
      <c r="I189" s="387"/>
      <c r="J189" s="387"/>
      <c r="K189" s="387"/>
      <c r="L189" s="387"/>
      <c r="M189" s="357"/>
      <c r="N189" s="390"/>
      <c r="O189" s="387"/>
      <c r="P189" s="141"/>
      <c r="Q189" s="387"/>
      <c r="R189" s="1"/>
    </row>
    <row r="190" spans="1:18" ht="15.6" x14ac:dyDescent="0.3">
      <c r="A190" s="385">
        <v>122</v>
      </c>
      <c r="B190" s="385" t="s">
        <v>148</v>
      </c>
      <c r="C190" s="43">
        <v>21634</v>
      </c>
      <c r="D190" s="385">
        <v>1</v>
      </c>
      <c r="E190" s="385" t="s">
        <v>25</v>
      </c>
      <c r="F190" s="385">
        <v>400</v>
      </c>
      <c r="G190" s="385">
        <v>400</v>
      </c>
      <c r="H190" s="385" t="s">
        <v>44</v>
      </c>
      <c r="I190" s="385">
        <v>115</v>
      </c>
      <c r="J190" s="385" t="s">
        <v>45</v>
      </c>
      <c r="K190" s="385">
        <v>0</v>
      </c>
      <c r="L190" s="385">
        <v>57.6</v>
      </c>
      <c r="M190" s="355" t="s">
        <v>14</v>
      </c>
      <c r="N190" s="385" t="s">
        <v>152</v>
      </c>
      <c r="O190" s="385" t="s">
        <v>16</v>
      </c>
      <c r="P190" s="139"/>
      <c r="Q190" s="385" t="s">
        <v>120</v>
      </c>
      <c r="R190" s="1"/>
    </row>
    <row r="191" spans="1:18" ht="15.6" x14ac:dyDescent="0.3">
      <c r="A191" s="386"/>
      <c r="B191" s="386"/>
      <c r="C191" s="48">
        <v>10425</v>
      </c>
      <c r="D191" s="386"/>
      <c r="E191" s="386"/>
      <c r="F191" s="386"/>
      <c r="G191" s="386"/>
      <c r="H191" s="386"/>
      <c r="I191" s="386"/>
      <c r="J191" s="386"/>
      <c r="K191" s="386"/>
      <c r="L191" s="386"/>
      <c r="M191" s="356"/>
      <c r="N191" s="386"/>
      <c r="O191" s="386"/>
      <c r="P191" s="140"/>
      <c r="Q191" s="386"/>
      <c r="R191" s="1"/>
    </row>
    <row r="192" spans="1:18" ht="16.2" thickBot="1" x14ac:dyDescent="0.35">
      <c r="A192" s="387"/>
      <c r="B192" s="387"/>
      <c r="C192" s="44">
        <v>62440</v>
      </c>
      <c r="D192" s="387"/>
      <c r="E192" s="387"/>
      <c r="F192" s="387"/>
      <c r="G192" s="387"/>
      <c r="H192" s="387"/>
      <c r="I192" s="387"/>
      <c r="J192" s="387"/>
      <c r="K192" s="387"/>
      <c r="L192" s="387"/>
      <c r="M192" s="357"/>
      <c r="N192" s="387"/>
      <c r="O192" s="387"/>
      <c r="P192" s="141"/>
      <c r="Q192" s="387"/>
      <c r="R192" s="1"/>
    </row>
    <row r="193" spans="1:18" ht="15.6" x14ac:dyDescent="0.3">
      <c r="A193" s="385">
        <v>123</v>
      </c>
      <c r="B193" s="385" t="s">
        <v>153</v>
      </c>
      <c r="C193" s="43">
        <v>-20078</v>
      </c>
      <c r="D193" s="385">
        <v>1</v>
      </c>
      <c r="E193" s="385" t="s">
        <v>25</v>
      </c>
      <c r="F193" s="385">
        <v>400</v>
      </c>
      <c r="G193" s="385">
        <v>400</v>
      </c>
      <c r="H193" s="385" t="s">
        <v>44</v>
      </c>
      <c r="I193" s="385">
        <v>115</v>
      </c>
      <c r="J193" s="385" t="s">
        <v>45</v>
      </c>
      <c r="K193" s="385">
        <v>0</v>
      </c>
      <c r="L193" s="385">
        <v>62.6</v>
      </c>
      <c r="M193" s="355" t="s">
        <v>14</v>
      </c>
      <c r="N193" s="385" t="s">
        <v>154</v>
      </c>
      <c r="O193" s="385" t="s">
        <v>16</v>
      </c>
      <c r="P193" s="139"/>
      <c r="Q193" s="385" t="s">
        <v>120</v>
      </c>
      <c r="R193" s="1"/>
    </row>
    <row r="194" spans="1:18" ht="15.6" x14ac:dyDescent="0.3">
      <c r="A194" s="386"/>
      <c r="B194" s="386"/>
      <c r="C194" s="48">
        <v>-13175</v>
      </c>
      <c r="D194" s="386"/>
      <c r="E194" s="386"/>
      <c r="F194" s="386"/>
      <c r="G194" s="386"/>
      <c r="H194" s="386"/>
      <c r="I194" s="386"/>
      <c r="J194" s="386"/>
      <c r="K194" s="386"/>
      <c r="L194" s="386"/>
      <c r="M194" s="356"/>
      <c r="N194" s="386"/>
      <c r="O194" s="386"/>
      <c r="P194" s="140"/>
      <c r="Q194" s="386"/>
      <c r="R194" s="1"/>
    </row>
    <row r="195" spans="1:18" ht="16.2" thickBot="1" x14ac:dyDescent="0.35">
      <c r="A195" s="387"/>
      <c r="B195" s="387"/>
      <c r="C195" s="44">
        <v>62335</v>
      </c>
      <c r="D195" s="387"/>
      <c r="E195" s="387"/>
      <c r="F195" s="387"/>
      <c r="G195" s="387"/>
      <c r="H195" s="387"/>
      <c r="I195" s="387"/>
      <c r="J195" s="387"/>
      <c r="K195" s="387"/>
      <c r="L195" s="387"/>
      <c r="M195" s="357"/>
      <c r="N195" s="387"/>
      <c r="O195" s="387"/>
      <c r="P195" s="141"/>
      <c r="Q195" s="387"/>
      <c r="R195" s="1"/>
    </row>
    <row r="196" spans="1:18" ht="15.6" x14ac:dyDescent="0.3">
      <c r="A196" s="385">
        <v>124</v>
      </c>
      <c r="B196" s="385" t="s">
        <v>153</v>
      </c>
      <c r="C196" s="43">
        <v>-21634</v>
      </c>
      <c r="D196" s="385">
        <v>1</v>
      </c>
      <c r="E196" s="385" t="s">
        <v>25</v>
      </c>
      <c r="F196" s="385">
        <v>400</v>
      </c>
      <c r="G196" s="385">
        <v>400</v>
      </c>
      <c r="H196" s="385" t="s">
        <v>44</v>
      </c>
      <c r="I196" s="385">
        <v>115</v>
      </c>
      <c r="J196" s="385" t="s">
        <v>45</v>
      </c>
      <c r="K196" s="385">
        <v>0</v>
      </c>
      <c r="L196" s="385">
        <v>62.8</v>
      </c>
      <c r="M196" s="355" t="s">
        <v>14</v>
      </c>
      <c r="N196" s="385" t="s">
        <v>155</v>
      </c>
      <c r="O196" s="385" t="s">
        <v>16</v>
      </c>
      <c r="P196" s="139"/>
      <c r="Q196" s="385" t="s">
        <v>120</v>
      </c>
      <c r="R196" s="1"/>
    </row>
    <row r="197" spans="1:18" ht="15.6" x14ac:dyDescent="0.3">
      <c r="A197" s="386"/>
      <c r="B197" s="386"/>
      <c r="C197" s="48">
        <v>-10425</v>
      </c>
      <c r="D197" s="386"/>
      <c r="E197" s="386"/>
      <c r="F197" s="386"/>
      <c r="G197" s="386"/>
      <c r="H197" s="386"/>
      <c r="I197" s="386"/>
      <c r="J197" s="386"/>
      <c r="K197" s="386"/>
      <c r="L197" s="386"/>
      <c r="M197" s="356"/>
      <c r="N197" s="386"/>
      <c r="O197" s="386"/>
      <c r="P197" s="140"/>
      <c r="Q197" s="386"/>
      <c r="R197" s="1"/>
    </row>
    <row r="198" spans="1:18" ht="16.2" thickBot="1" x14ac:dyDescent="0.35">
      <c r="A198" s="387"/>
      <c r="B198" s="387"/>
      <c r="C198" s="44">
        <v>62320</v>
      </c>
      <c r="D198" s="387"/>
      <c r="E198" s="387"/>
      <c r="F198" s="387"/>
      <c r="G198" s="387"/>
      <c r="H198" s="387"/>
      <c r="I198" s="387"/>
      <c r="J198" s="387"/>
      <c r="K198" s="387"/>
      <c r="L198" s="387"/>
      <c r="M198" s="357"/>
      <c r="N198" s="387"/>
      <c r="O198" s="387"/>
      <c r="P198" s="141"/>
      <c r="Q198" s="387"/>
      <c r="R198" s="1"/>
    </row>
    <row r="199" spans="1:18" ht="16.2" thickBot="1" x14ac:dyDescent="0.35">
      <c r="A199" s="352" t="s">
        <v>156</v>
      </c>
      <c r="B199" s="353"/>
      <c r="C199" s="353"/>
      <c r="D199" s="353"/>
      <c r="E199" s="353"/>
      <c r="F199" s="353"/>
      <c r="G199" s="353"/>
      <c r="H199" s="353"/>
      <c r="I199" s="353"/>
      <c r="J199" s="353"/>
      <c r="K199" s="353"/>
      <c r="L199" s="353"/>
      <c r="M199" s="353"/>
      <c r="N199" s="353"/>
      <c r="O199" s="353"/>
      <c r="P199" s="353"/>
      <c r="Q199" s="354"/>
      <c r="R199" s="1"/>
    </row>
    <row r="200" spans="1:18" ht="15.6" x14ac:dyDescent="0.3">
      <c r="A200" s="385">
        <v>125</v>
      </c>
      <c r="B200" s="385" t="s">
        <v>43</v>
      </c>
      <c r="C200" s="43">
        <v>-23095</v>
      </c>
      <c r="D200" s="385">
        <v>1</v>
      </c>
      <c r="E200" s="385" t="s">
        <v>25</v>
      </c>
      <c r="F200" s="385">
        <v>600</v>
      </c>
      <c r="G200" s="385">
        <v>600</v>
      </c>
      <c r="H200" s="385" t="s">
        <v>44</v>
      </c>
      <c r="I200" s="385">
        <v>90</v>
      </c>
      <c r="J200" s="385" t="s">
        <v>45</v>
      </c>
      <c r="K200" s="385">
        <v>0</v>
      </c>
      <c r="L200" s="385">
        <v>75</v>
      </c>
      <c r="M200" s="355" t="s">
        <v>14</v>
      </c>
      <c r="N200" s="385" t="s">
        <v>157</v>
      </c>
      <c r="O200" s="385" t="s">
        <v>111</v>
      </c>
      <c r="P200" s="139"/>
      <c r="Q200" s="385" t="s">
        <v>46</v>
      </c>
      <c r="R200" s="1"/>
    </row>
    <row r="201" spans="1:18" ht="15.6" x14ac:dyDescent="0.3">
      <c r="A201" s="386"/>
      <c r="B201" s="386"/>
      <c r="C201" s="48">
        <v>-2224</v>
      </c>
      <c r="D201" s="386"/>
      <c r="E201" s="474"/>
      <c r="F201" s="386"/>
      <c r="G201" s="386"/>
      <c r="H201" s="386"/>
      <c r="I201" s="386"/>
      <c r="J201" s="386"/>
      <c r="K201" s="386"/>
      <c r="L201" s="386"/>
      <c r="M201" s="356"/>
      <c r="N201" s="386"/>
      <c r="O201" s="386"/>
      <c r="P201" s="140"/>
      <c r="Q201" s="386"/>
      <c r="R201" s="1"/>
    </row>
    <row r="202" spans="1:18" ht="16.2" thickBot="1" x14ac:dyDescent="0.35">
      <c r="A202" s="387"/>
      <c r="B202" s="387"/>
      <c r="C202" s="44">
        <v>55419</v>
      </c>
      <c r="D202" s="387"/>
      <c r="E202" s="475"/>
      <c r="F202" s="387"/>
      <c r="G202" s="387"/>
      <c r="H202" s="387"/>
      <c r="I202" s="387"/>
      <c r="J202" s="387"/>
      <c r="K202" s="387"/>
      <c r="L202" s="387"/>
      <c r="M202" s="357"/>
      <c r="N202" s="387"/>
      <c r="O202" s="387"/>
      <c r="P202" s="141"/>
      <c r="Q202" s="387"/>
      <c r="R202" s="1"/>
    </row>
    <row r="203" spans="1:18" ht="16.2" thickBot="1" x14ac:dyDescent="0.35">
      <c r="A203" s="352" t="s">
        <v>171</v>
      </c>
      <c r="B203" s="353"/>
      <c r="C203" s="353"/>
      <c r="D203" s="353"/>
      <c r="E203" s="353"/>
      <c r="F203" s="353"/>
      <c r="G203" s="353"/>
      <c r="H203" s="353"/>
      <c r="I203" s="353"/>
      <c r="J203" s="353"/>
      <c r="K203" s="353"/>
      <c r="L203" s="353"/>
      <c r="M203" s="353"/>
      <c r="N203" s="353"/>
      <c r="O203" s="353"/>
      <c r="P203" s="353"/>
      <c r="Q203" s="354"/>
      <c r="R203" s="1"/>
    </row>
    <row r="204" spans="1:18" ht="16.2" thickBot="1" x14ac:dyDescent="0.35">
      <c r="A204" s="352" t="s">
        <v>159</v>
      </c>
      <c r="B204" s="353"/>
      <c r="C204" s="353"/>
      <c r="D204" s="353"/>
      <c r="E204" s="353"/>
      <c r="F204" s="353"/>
      <c r="G204" s="353"/>
      <c r="H204" s="353"/>
      <c r="I204" s="353"/>
      <c r="J204" s="353"/>
      <c r="K204" s="353"/>
      <c r="L204" s="353"/>
      <c r="M204" s="353"/>
      <c r="N204" s="353"/>
      <c r="O204" s="353"/>
      <c r="P204" s="353"/>
      <c r="Q204" s="354"/>
      <c r="R204" s="1"/>
    </row>
    <row r="205" spans="1:18" ht="15.6" x14ac:dyDescent="0.3">
      <c r="A205" s="471">
        <v>1</v>
      </c>
      <c r="B205" s="471" t="s">
        <v>160</v>
      </c>
      <c r="C205" s="3">
        <v>-10595</v>
      </c>
      <c r="D205" s="471">
        <v>1</v>
      </c>
      <c r="E205" s="471" t="s">
        <v>161</v>
      </c>
      <c r="F205" s="471">
        <v>600</v>
      </c>
      <c r="G205" s="471">
        <v>200</v>
      </c>
      <c r="H205" s="471" t="s">
        <v>19</v>
      </c>
      <c r="I205" s="471">
        <v>100</v>
      </c>
      <c r="J205" s="479" t="s">
        <v>45</v>
      </c>
      <c r="K205" s="471">
        <v>30</v>
      </c>
      <c r="L205" s="471">
        <v>56.5</v>
      </c>
      <c r="M205" s="476" t="s">
        <v>14</v>
      </c>
      <c r="N205" s="471" t="s">
        <v>162</v>
      </c>
      <c r="O205" s="471" t="s">
        <v>27</v>
      </c>
      <c r="P205" s="166"/>
      <c r="Q205" s="471" t="s">
        <v>163</v>
      </c>
      <c r="R205" s="1"/>
    </row>
    <row r="206" spans="1:18" ht="15.6" x14ac:dyDescent="0.3">
      <c r="A206" s="472"/>
      <c r="B206" s="472"/>
      <c r="C206" s="35">
        <v>-22484</v>
      </c>
      <c r="D206" s="472"/>
      <c r="E206" s="472"/>
      <c r="F206" s="472"/>
      <c r="G206" s="472"/>
      <c r="H206" s="472"/>
      <c r="I206" s="472"/>
      <c r="J206" s="480"/>
      <c r="K206" s="472"/>
      <c r="L206" s="472"/>
      <c r="M206" s="477"/>
      <c r="N206" s="472"/>
      <c r="O206" s="472"/>
      <c r="P206" s="167"/>
      <c r="Q206" s="472"/>
      <c r="R206" s="1"/>
    </row>
    <row r="207" spans="1:18" ht="16.2" thickBot="1" x14ac:dyDescent="0.35">
      <c r="A207" s="473"/>
      <c r="B207" s="473"/>
      <c r="C207" s="4">
        <v>2602</v>
      </c>
      <c r="D207" s="473"/>
      <c r="E207" s="473"/>
      <c r="F207" s="473"/>
      <c r="G207" s="473"/>
      <c r="H207" s="473"/>
      <c r="I207" s="473"/>
      <c r="J207" s="481"/>
      <c r="K207" s="473"/>
      <c r="L207" s="473"/>
      <c r="M207" s="478"/>
      <c r="N207" s="473"/>
      <c r="O207" s="473"/>
      <c r="P207" s="168"/>
      <c r="Q207" s="473"/>
      <c r="R207" s="1"/>
    </row>
    <row r="208" spans="1:18" ht="15.6" x14ac:dyDescent="0.3">
      <c r="A208" s="471">
        <v>2</v>
      </c>
      <c r="B208" s="471" t="s">
        <v>160</v>
      </c>
      <c r="C208" s="3">
        <v>17905</v>
      </c>
      <c r="D208" s="471">
        <v>1</v>
      </c>
      <c r="E208" s="471" t="s">
        <v>161</v>
      </c>
      <c r="F208" s="471">
        <v>600</v>
      </c>
      <c r="G208" s="471">
        <v>200</v>
      </c>
      <c r="H208" s="471" t="s">
        <v>19</v>
      </c>
      <c r="I208" s="471">
        <v>100</v>
      </c>
      <c r="J208" s="479" t="s">
        <v>45</v>
      </c>
      <c r="K208" s="471">
        <v>30</v>
      </c>
      <c r="L208" s="471">
        <v>56.5</v>
      </c>
      <c r="M208" s="476" t="s">
        <v>14</v>
      </c>
      <c r="N208" s="471" t="s">
        <v>164</v>
      </c>
      <c r="O208" s="471" t="s">
        <v>27</v>
      </c>
      <c r="P208" s="166"/>
      <c r="Q208" s="471" t="s">
        <v>163</v>
      </c>
      <c r="R208" s="1"/>
    </row>
    <row r="209" spans="1:18" ht="15.6" x14ac:dyDescent="0.3">
      <c r="A209" s="472"/>
      <c r="B209" s="472"/>
      <c r="C209" s="35">
        <v>-17150</v>
      </c>
      <c r="D209" s="472"/>
      <c r="E209" s="472"/>
      <c r="F209" s="472"/>
      <c r="G209" s="472"/>
      <c r="H209" s="472"/>
      <c r="I209" s="472"/>
      <c r="J209" s="480"/>
      <c r="K209" s="472"/>
      <c r="L209" s="472"/>
      <c r="M209" s="477"/>
      <c r="N209" s="472"/>
      <c r="O209" s="472"/>
      <c r="P209" s="167"/>
      <c r="Q209" s="472"/>
      <c r="R209" s="1"/>
    </row>
    <row r="210" spans="1:18" ht="16.2" thickBot="1" x14ac:dyDescent="0.35">
      <c r="A210" s="473"/>
      <c r="B210" s="473"/>
      <c r="C210" s="4">
        <v>2602</v>
      </c>
      <c r="D210" s="473"/>
      <c r="E210" s="473"/>
      <c r="F210" s="473"/>
      <c r="G210" s="473"/>
      <c r="H210" s="473"/>
      <c r="I210" s="473"/>
      <c r="J210" s="481"/>
      <c r="K210" s="473"/>
      <c r="L210" s="473"/>
      <c r="M210" s="478"/>
      <c r="N210" s="473"/>
      <c r="O210" s="473"/>
      <c r="P210" s="168"/>
      <c r="Q210" s="473"/>
      <c r="R210" s="1"/>
    </row>
    <row r="211" spans="1:18" ht="15.6" x14ac:dyDescent="0.3">
      <c r="A211" s="471">
        <v>3</v>
      </c>
      <c r="B211" s="471" t="s">
        <v>160</v>
      </c>
      <c r="C211" s="3">
        <v>9560</v>
      </c>
      <c r="D211" s="471">
        <v>1</v>
      </c>
      <c r="E211" s="471" t="s">
        <v>161</v>
      </c>
      <c r="F211" s="471">
        <v>600</v>
      </c>
      <c r="G211" s="471">
        <v>200</v>
      </c>
      <c r="H211" s="471" t="s">
        <v>19</v>
      </c>
      <c r="I211" s="471">
        <v>100</v>
      </c>
      <c r="J211" s="479" t="s">
        <v>45</v>
      </c>
      <c r="K211" s="471">
        <v>30</v>
      </c>
      <c r="L211" s="471">
        <v>56.5</v>
      </c>
      <c r="M211" s="476" t="s">
        <v>14</v>
      </c>
      <c r="N211" s="471" t="s">
        <v>165</v>
      </c>
      <c r="O211" s="471" t="s">
        <v>27</v>
      </c>
      <c r="P211" s="166"/>
      <c r="Q211" s="471" t="s">
        <v>163</v>
      </c>
      <c r="R211" s="1"/>
    </row>
    <row r="212" spans="1:18" ht="15.6" x14ac:dyDescent="0.3">
      <c r="A212" s="472"/>
      <c r="B212" s="472"/>
      <c r="C212" s="35">
        <v>22970</v>
      </c>
      <c r="D212" s="472"/>
      <c r="E212" s="472"/>
      <c r="F212" s="472"/>
      <c r="G212" s="472"/>
      <c r="H212" s="472"/>
      <c r="I212" s="472"/>
      <c r="J212" s="480"/>
      <c r="K212" s="472"/>
      <c r="L212" s="472"/>
      <c r="M212" s="477"/>
      <c r="N212" s="472"/>
      <c r="O212" s="472"/>
      <c r="P212" s="167"/>
      <c r="Q212" s="472"/>
      <c r="R212" s="1"/>
    </row>
    <row r="213" spans="1:18" ht="16.2" thickBot="1" x14ac:dyDescent="0.35">
      <c r="A213" s="473"/>
      <c r="B213" s="473"/>
      <c r="C213" s="4">
        <v>2602</v>
      </c>
      <c r="D213" s="473"/>
      <c r="E213" s="473"/>
      <c r="F213" s="473"/>
      <c r="G213" s="473"/>
      <c r="H213" s="473"/>
      <c r="I213" s="473"/>
      <c r="J213" s="481"/>
      <c r="K213" s="473"/>
      <c r="L213" s="473"/>
      <c r="M213" s="478"/>
      <c r="N213" s="473"/>
      <c r="O213" s="473"/>
      <c r="P213" s="168"/>
      <c r="Q213" s="473"/>
      <c r="R213" s="1"/>
    </row>
    <row r="214" spans="1:18" ht="15.6" x14ac:dyDescent="0.3">
      <c r="A214" s="471">
        <v>4</v>
      </c>
      <c r="B214" s="471" t="s">
        <v>160</v>
      </c>
      <c r="C214" s="3">
        <v>-9720</v>
      </c>
      <c r="D214" s="471">
        <v>1</v>
      </c>
      <c r="E214" s="471" t="s">
        <v>161</v>
      </c>
      <c r="F214" s="471">
        <v>600</v>
      </c>
      <c r="G214" s="471">
        <v>200</v>
      </c>
      <c r="H214" s="471" t="s">
        <v>19</v>
      </c>
      <c r="I214" s="471">
        <v>100</v>
      </c>
      <c r="J214" s="479" t="s">
        <v>45</v>
      </c>
      <c r="K214" s="471">
        <v>30</v>
      </c>
      <c r="L214" s="471">
        <v>56.5</v>
      </c>
      <c r="M214" s="476" t="s">
        <v>14</v>
      </c>
      <c r="N214" s="471" t="s">
        <v>166</v>
      </c>
      <c r="O214" s="471" t="s">
        <v>27</v>
      </c>
      <c r="P214" s="166"/>
      <c r="Q214" s="471" t="s">
        <v>163</v>
      </c>
      <c r="R214" s="1"/>
    </row>
    <row r="215" spans="1:18" ht="15.6" x14ac:dyDescent="0.3">
      <c r="A215" s="472"/>
      <c r="B215" s="472"/>
      <c r="C215" s="35">
        <v>22895</v>
      </c>
      <c r="D215" s="472"/>
      <c r="E215" s="472"/>
      <c r="F215" s="472"/>
      <c r="G215" s="472"/>
      <c r="H215" s="472"/>
      <c r="I215" s="472"/>
      <c r="J215" s="480"/>
      <c r="K215" s="472"/>
      <c r="L215" s="472"/>
      <c r="M215" s="477"/>
      <c r="N215" s="472"/>
      <c r="O215" s="472"/>
      <c r="P215" s="167"/>
      <c r="Q215" s="472"/>
      <c r="R215" s="1"/>
    </row>
    <row r="216" spans="1:18" ht="16.2" thickBot="1" x14ac:dyDescent="0.35">
      <c r="A216" s="473"/>
      <c r="B216" s="473"/>
      <c r="C216" s="4">
        <v>2602</v>
      </c>
      <c r="D216" s="473"/>
      <c r="E216" s="473"/>
      <c r="F216" s="473"/>
      <c r="G216" s="473"/>
      <c r="H216" s="473"/>
      <c r="I216" s="473"/>
      <c r="J216" s="481"/>
      <c r="K216" s="473"/>
      <c r="L216" s="473"/>
      <c r="M216" s="478"/>
      <c r="N216" s="473"/>
      <c r="O216" s="473"/>
      <c r="P216" s="168"/>
      <c r="Q216" s="473"/>
      <c r="R216" s="1"/>
    </row>
    <row r="217" spans="1:18" ht="15.6" x14ac:dyDescent="0.3">
      <c r="A217" s="471">
        <v>5</v>
      </c>
      <c r="B217" s="471" t="s">
        <v>167</v>
      </c>
      <c r="C217" s="3">
        <v>16494</v>
      </c>
      <c r="D217" s="471">
        <v>1</v>
      </c>
      <c r="E217" s="471" t="s">
        <v>168</v>
      </c>
      <c r="F217" s="471">
        <v>350</v>
      </c>
      <c r="G217" s="479">
        <v>200</v>
      </c>
      <c r="H217" s="471" t="s">
        <v>50</v>
      </c>
      <c r="I217" s="471">
        <v>120</v>
      </c>
      <c r="J217" s="479" t="s">
        <v>45</v>
      </c>
      <c r="K217" s="471">
        <v>30</v>
      </c>
      <c r="L217" s="471">
        <v>12</v>
      </c>
      <c r="M217" s="476" t="s">
        <v>14</v>
      </c>
      <c r="N217" s="471" t="s">
        <v>164</v>
      </c>
      <c r="O217" s="471" t="s">
        <v>27</v>
      </c>
      <c r="P217" s="166"/>
      <c r="Q217" s="479" t="s">
        <v>169</v>
      </c>
      <c r="R217" s="1"/>
    </row>
    <row r="218" spans="1:18" ht="15.6" x14ac:dyDescent="0.3">
      <c r="A218" s="472"/>
      <c r="B218" s="472"/>
      <c r="C218" s="35">
        <v>-18319</v>
      </c>
      <c r="D218" s="472"/>
      <c r="E218" s="472"/>
      <c r="F218" s="472"/>
      <c r="G218" s="480"/>
      <c r="H218" s="472"/>
      <c r="I218" s="472"/>
      <c r="J218" s="480"/>
      <c r="K218" s="472"/>
      <c r="L218" s="472"/>
      <c r="M218" s="477"/>
      <c r="N218" s="472"/>
      <c r="O218" s="472"/>
      <c r="P218" s="167"/>
      <c r="Q218" s="480"/>
      <c r="R218" s="1"/>
    </row>
    <row r="219" spans="1:18" ht="16.2" thickBot="1" x14ac:dyDescent="0.35">
      <c r="A219" s="473"/>
      <c r="B219" s="473"/>
      <c r="C219" s="4">
        <v>2475</v>
      </c>
      <c r="D219" s="473"/>
      <c r="E219" s="473"/>
      <c r="F219" s="473"/>
      <c r="G219" s="481"/>
      <c r="H219" s="473"/>
      <c r="I219" s="473"/>
      <c r="J219" s="481"/>
      <c r="K219" s="473"/>
      <c r="L219" s="473"/>
      <c r="M219" s="478"/>
      <c r="N219" s="473"/>
      <c r="O219" s="473"/>
      <c r="P219" s="168"/>
      <c r="Q219" s="481"/>
      <c r="R219" s="1"/>
    </row>
    <row r="220" spans="1:18" ht="15.6" x14ac:dyDescent="0.3">
      <c r="A220" s="471">
        <v>6</v>
      </c>
      <c r="B220" s="471" t="s">
        <v>167</v>
      </c>
      <c r="C220" s="3">
        <v>-14835</v>
      </c>
      <c r="D220" s="471">
        <v>1</v>
      </c>
      <c r="E220" s="471" t="s">
        <v>168</v>
      </c>
      <c r="F220" s="471">
        <v>350</v>
      </c>
      <c r="G220" s="479">
        <v>200</v>
      </c>
      <c r="H220" s="471" t="s">
        <v>50</v>
      </c>
      <c r="I220" s="471">
        <v>120</v>
      </c>
      <c r="J220" s="479" t="s">
        <v>45</v>
      </c>
      <c r="K220" s="471">
        <v>30</v>
      </c>
      <c r="L220" s="471">
        <v>12</v>
      </c>
      <c r="M220" s="476" t="s">
        <v>14</v>
      </c>
      <c r="N220" s="471" t="s">
        <v>170</v>
      </c>
      <c r="O220" s="471" t="s">
        <v>27</v>
      </c>
      <c r="P220" s="166"/>
      <c r="Q220" s="479" t="s">
        <v>169</v>
      </c>
      <c r="R220" s="1"/>
    </row>
    <row r="221" spans="1:18" ht="15.6" x14ac:dyDescent="0.3">
      <c r="A221" s="472"/>
      <c r="B221" s="472"/>
      <c r="C221" s="35">
        <v>-19686</v>
      </c>
      <c r="D221" s="472"/>
      <c r="E221" s="472"/>
      <c r="F221" s="472"/>
      <c r="G221" s="480"/>
      <c r="H221" s="472"/>
      <c r="I221" s="472"/>
      <c r="J221" s="480"/>
      <c r="K221" s="472"/>
      <c r="L221" s="472"/>
      <c r="M221" s="477"/>
      <c r="N221" s="472"/>
      <c r="O221" s="472"/>
      <c r="P221" s="167"/>
      <c r="Q221" s="480"/>
      <c r="R221" s="1"/>
    </row>
    <row r="222" spans="1:18" ht="16.2" thickBot="1" x14ac:dyDescent="0.35">
      <c r="A222" s="473"/>
      <c r="B222" s="473"/>
      <c r="C222" s="4">
        <v>2475</v>
      </c>
      <c r="D222" s="473"/>
      <c r="E222" s="473"/>
      <c r="F222" s="473"/>
      <c r="G222" s="481"/>
      <c r="H222" s="473"/>
      <c r="I222" s="473"/>
      <c r="J222" s="481"/>
      <c r="K222" s="473"/>
      <c r="L222" s="473"/>
      <c r="M222" s="478"/>
      <c r="N222" s="473"/>
      <c r="O222" s="473"/>
      <c r="P222" s="168"/>
      <c r="Q222" s="481"/>
      <c r="R222" s="1"/>
    </row>
    <row r="223" spans="1:18" ht="15.6" x14ac:dyDescent="0.3">
      <c r="A223" s="471">
        <v>7</v>
      </c>
      <c r="B223" s="471" t="s">
        <v>167</v>
      </c>
      <c r="C223" s="2">
        <v>-16811</v>
      </c>
      <c r="D223" s="471">
        <v>1</v>
      </c>
      <c r="E223" s="479" t="s">
        <v>168</v>
      </c>
      <c r="F223" s="479">
        <v>350</v>
      </c>
      <c r="G223" s="479">
        <v>200</v>
      </c>
      <c r="H223" s="471" t="s">
        <v>50</v>
      </c>
      <c r="I223" s="479">
        <v>120</v>
      </c>
      <c r="J223" s="479" t="s">
        <v>45</v>
      </c>
      <c r="K223" s="479">
        <v>30</v>
      </c>
      <c r="L223" s="471">
        <v>12</v>
      </c>
      <c r="M223" s="476" t="s">
        <v>14</v>
      </c>
      <c r="N223" s="471" t="s">
        <v>166</v>
      </c>
      <c r="O223" s="471" t="s">
        <v>27</v>
      </c>
      <c r="P223" s="166"/>
      <c r="Q223" s="479" t="s">
        <v>169</v>
      </c>
      <c r="R223" s="1"/>
    </row>
    <row r="224" spans="1:18" ht="15.6" x14ac:dyDescent="0.3">
      <c r="A224" s="472"/>
      <c r="B224" s="472"/>
      <c r="C224" s="36">
        <v>18028</v>
      </c>
      <c r="D224" s="472"/>
      <c r="E224" s="480"/>
      <c r="F224" s="480"/>
      <c r="G224" s="480"/>
      <c r="H224" s="472"/>
      <c r="I224" s="480"/>
      <c r="J224" s="480"/>
      <c r="K224" s="480"/>
      <c r="L224" s="472"/>
      <c r="M224" s="477"/>
      <c r="N224" s="472"/>
      <c r="O224" s="472"/>
      <c r="P224" s="167"/>
      <c r="Q224" s="480"/>
      <c r="R224" s="1"/>
    </row>
    <row r="225" spans="1:18" ht="16.2" thickBot="1" x14ac:dyDescent="0.35">
      <c r="A225" s="473"/>
      <c r="B225" s="473"/>
      <c r="C225" s="6">
        <v>2475</v>
      </c>
      <c r="D225" s="473"/>
      <c r="E225" s="481"/>
      <c r="F225" s="481"/>
      <c r="G225" s="481"/>
      <c r="H225" s="473"/>
      <c r="I225" s="481"/>
      <c r="J225" s="481"/>
      <c r="K225" s="481"/>
      <c r="L225" s="473"/>
      <c r="M225" s="478"/>
      <c r="N225" s="473"/>
      <c r="O225" s="473"/>
      <c r="P225" s="168"/>
      <c r="Q225" s="481"/>
      <c r="R225" s="1"/>
    </row>
    <row r="226" spans="1:18" ht="15.6" x14ac:dyDescent="0.3">
      <c r="A226" s="471">
        <v>8</v>
      </c>
      <c r="B226" s="471" t="s">
        <v>167</v>
      </c>
      <c r="C226" s="3">
        <v>16811</v>
      </c>
      <c r="D226" s="471">
        <v>1</v>
      </c>
      <c r="E226" s="471" t="s">
        <v>168</v>
      </c>
      <c r="F226" s="471">
        <v>350</v>
      </c>
      <c r="G226" s="479">
        <v>200</v>
      </c>
      <c r="H226" s="471" t="s">
        <v>50</v>
      </c>
      <c r="I226" s="471">
        <v>120</v>
      </c>
      <c r="J226" s="479" t="s">
        <v>45</v>
      </c>
      <c r="K226" s="471">
        <v>30</v>
      </c>
      <c r="L226" s="471">
        <v>12</v>
      </c>
      <c r="M226" s="476" t="s">
        <v>14</v>
      </c>
      <c r="N226" s="471" t="s">
        <v>165</v>
      </c>
      <c r="O226" s="471" t="s">
        <v>27</v>
      </c>
      <c r="P226" s="166"/>
      <c r="Q226" s="479" t="s">
        <v>169</v>
      </c>
      <c r="R226" s="1"/>
    </row>
    <row r="227" spans="1:18" ht="15.6" x14ac:dyDescent="0.3">
      <c r="A227" s="472"/>
      <c r="B227" s="472"/>
      <c r="C227" s="35">
        <v>18028</v>
      </c>
      <c r="D227" s="472"/>
      <c r="E227" s="472"/>
      <c r="F227" s="472"/>
      <c r="G227" s="480"/>
      <c r="H227" s="472"/>
      <c r="I227" s="472"/>
      <c r="J227" s="480"/>
      <c r="K227" s="472"/>
      <c r="L227" s="472"/>
      <c r="M227" s="477"/>
      <c r="N227" s="472"/>
      <c r="O227" s="472"/>
      <c r="P227" s="167"/>
      <c r="Q227" s="480"/>
      <c r="R227" s="1"/>
    </row>
    <row r="228" spans="1:18" ht="16.2" thickBot="1" x14ac:dyDescent="0.35">
      <c r="A228" s="473"/>
      <c r="B228" s="473"/>
      <c r="C228" s="4">
        <v>2475</v>
      </c>
      <c r="D228" s="473"/>
      <c r="E228" s="473"/>
      <c r="F228" s="473"/>
      <c r="G228" s="481"/>
      <c r="H228" s="473"/>
      <c r="I228" s="473"/>
      <c r="J228" s="481"/>
      <c r="K228" s="473"/>
      <c r="L228" s="473"/>
      <c r="M228" s="478"/>
      <c r="N228" s="473"/>
      <c r="O228" s="473"/>
      <c r="P228" s="168"/>
      <c r="Q228" s="481"/>
      <c r="R228" s="1"/>
    </row>
    <row r="229" spans="1:18" ht="16.2" thickBot="1" x14ac:dyDescent="0.35">
      <c r="A229" s="352" t="s">
        <v>29</v>
      </c>
      <c r="B229" s="353"/>
      <c r="C229" s="353"/>
      <c r="D229" s="353"/>
      <c r="E229" s="353"/>
      <c r="F229" s="353"/>
      <c r="G229" s="353"/>
      <c r="H229" s="353"/>
      <c r="I229" s="353"/>
      <c r="J229" s="353"/>
      <c r="K229" s="353"/>
      <c r="L229" s="353"/>
      <c r="M229" s="353"/>
      <c r="N229" s="353"/>
      <c r="O229" s="353"/>
      <c r="P229" s="353"/>
      <c r="Q229" s="354"/>
      <c r="R229" s="1"/>
    </row>
    <row r="230" spans="1:18" ht="15.6" x14ac:dyDescent="0.3">
      <c r="A230" s="471">
        <v>9</v>
      </c>
      <c r="B230" s="471" t="s">
        <v>160</v>
      </c>
      <c r="C230" s="2">
        <v>-9720</v>
      </c>
      <c r="D230" s="479">
        <v>1</v>
      </c>
      <c r="E230" s="479" t="s">
        <v>161</v>
      </c>
      <c r="F230" s="479">
        <v>330</v>
      </c>
      <c r="G230" s="479">
        <v>200</v>
      </c>
      <c r="H230" s="479" t="s">
        <v>19</v>
      </c>
      <c r="I230" s="479">
        <v>100</v>
      </c>
      <c r="J230" s="479" t="s">
        <v>45</v>
      </c>
      <c r="K230" s="479">
        <v>30</v>
      </c>
      <c r="L230" s="471">
        <v>56.5</v>
      </c>
      <c r="M230" s="476" t="s">
        <v>14</v>
      </c>
      <c r="N230" s="471" t="s">
        <v>172</v>
      </c>
      <c r="O230" s="471" t="s">
        <v>27</v>
      </c>
      <c r="P230" s="166"/>
      <c r="Q230" s="471" t="s">
        <v>163</v>
      </c>
      <c r="R230" s="1"/>
    </row>
    <row r="231" spans="1:18" ht="15.6" x14ac:dyDescent="0.3">
      <c r="A231" s="472"/>
      <c r="B231" s="472"/>
      <c r="C231" s="36">
        <v>22895</v>
      </c>
      <c r="D231" s="480"/>
      <c r="E231" s="480"/>
      <c r="F231" s="480"/>
      <c r="G231" s="480"/>
      <c r="H231" s="480"/>
      <c r="I231" s="480"/>
      <c r="J231" s="480"/>
      <c r="K231" s="480"/>
      <c r="L231" s="472"/>
      <c r="M231" s="477"/>
      <c r="N231" s="472"/>
      <c r="O231" s="472"/>
      <c r="P231" s="167"/>
      <c r="Q231" s="472"/>
      <c r="R231" s="1"/>
    </row>
    <row r="232" spans="1:18" ht="16.2" thickBot="1" x14ac:dyDescent="0.35">
      <c r="A232" s="473"/>
      <c r="B232" s="473"/>
      <c r="C232" s="6">
        <v>7967</v>
      </c>
      <c r="D232" s="481"/>
      <c r="E232" s="481"/>
      <c r="F232" s="481"/>
      <c r="G232" s="481"/>
      <c r="H232" s="481"/>
      <c r="I232" s="481"/>
      <c r="J232" s="481"/>
      <c r="K232" s="481"/>
      <c r="L232" s="473"/>
      <c r="M232" s="478"/>
      <c r="N232" s="473"/>
      <c r="O232" s="473"/>
      <c r="P232" s="168"/>
      <c r="Q232" s="473"/>
      <c r="R232" s="1"/>
    </row>
    <row r="233" spans="1:18" ht="15.6" x14ac:dyDescent="0.3">
      <c r="A233" s="471">
        <v>10</v>
      </c>
      <c r="B233" s="471" t="s">
        <v>160</v>
      </c>
      <c r="C233" s="3">
        <v>9560</v>
      </c>
      <c r="D233" s="471">
        <v>1</v>
      </c>
      <c r="E233" s="471" t="s">
        <v>161</v>
      </c>
      <c r="F233" s="471">
        <v>400</v>
      </c>
      <c r="G233" s="479">
        <v>200</v>
      </c>
      <c r="H233" s="471" t="s">
        <v>19</v>
      </c>
      <c r="I233" s="471">
        <v>100</v>
      </c>
      <c r="J233" s="479" t="s">
        <v>45</v>
      </c>
      <c r="K233" s="471">
        <v>30</v>
      </c>
      <c r="L233" s="471">
        <v>56.5</v>
      </c>
      <c r="M233" s="476" t="s">
        <v>14</v>
      </c>
      <c r="N233" s="471" t="s">
        <v>42</v>
      </c>
      <c r="O233" s="471" t="s">
        <v>27</v>
      </c>
      <c r="P233" s="166"/>
      <c r="Q233" s="471" t="s">
        <v>163</v>
      </c>
      <c r="R233" s="1"/>
    </row>
    <row r="234" spans="1:18" ht="15.6" x14ac:dyDescent="0.3">
      <c r="A234" s="472"/>
      <c r="B234" s="472"/>
      <c r="C234" s="35">
        <v>22970</v>
      </c>
      <c r="D234" s="472"/>
      <c r="E234" s="472"/>
      <c r="F234" s="472"/>
      <c r="G234" s="480"/>
      <c r="H234" s="472"/>
      <c r="I234" s="472"/>
      <c r="J234" s="480"/>
      <c r="K234" s="472"/>
      <c r="L234" s="472"/>
      <c r="M234" s="477"/>
      <c r="N234" s="472"/>
      <c r="O234" s="472"/>
      <c r="P234" s="167"/>
      <c r="Q234" s="472"/>
      <c r="R234" s="1"/>
    </row>
    <row r="235" spans="1:18" ht="16.2" thickBot="1" x14ac:dyDescent="0.35">
      <c r="A235" s="473"/>
      <c r="B235" s="473"/>
      <c r="C235" s="4">
        <v>8002</v>
      </c>
      <c r="D235" s="473"/>
      <c r="E235" s="473"/>
      <c r="F235" s="473"/>
      <c r="G235" s="481"/>
      <c r="H235" s="473"/>
      <c r="I235" s="473"/>
      <c r="J235" s="481"/>
      <c r="K235" s="473"/>
      <c r="L235" s="473"/>
      <c r="M235" s="478"/>
      <c r="N235" s="473"/>
      <c r="O235" s="473"/>
      <c r="P235" s="168"/>
      <c r="Q235" s="473"/>
      <c r="R235" s="1"/>
    </row>
    <row r="236" spans="1:18" ht="15.6" x14ac:dyDescent="0.3">
      <c r="A236" s="471">
        <v>11</v>
      </c>
      <c r="B236" s="471" t="s">
        <v>160</v>
      </c>
      <c r="C236" s="2">
        <v>17905</v>
      </c>
      <c r="D236" s="479">
        <v>1</v>
      </c>
      <c r="E236" s="479" t="s">
        <v>161</v>
      </c>
      <c r="F236" s="479">
        <v>450</v>
      </c>
      <c r="G236" s="479">
        <v>200</v>
      </c>
      <c r="H236" s="479" t="s">
        <v>19</v>
      </c>
      <c r="I236" s="479">
        <v>100</v>
      </c>
      <c r="J236" s="479" t="s">
        <v>45</v>
      </c>
      <c r="K236" s="479">
        <v>30</v>
      </c>
      <c r="L236" s="471">
        <v>56.5</v>
      </c>
      <c r="M236" s="476" t="s">
        <v>14</v>
      </c>
      <c r="N236" s="471" t="s">
        <v>173</v>
      </c>
      <c r="O236" s="471" t="s">
        <v>27</v>
      </c>
      <c r="P236" s="166"/>
      <c r="Q236" s="471" t="s">
        <v>163</v>
      </c>
      <c r="R236" s="1"/>
    </row>
    <row r="237" spans="1:18" ht="15.6" x14ac:dyDescent="0.3">
      <c r="A237" s="472"/>
      <c r="B237" s="472"/>
      <c r="C237" s="36">
        <v>-17150</v>
      </c>
      <c r="D237" s="480"/>
      <c r="E237" s="480"/>
      <c r="F237" s="480"/>
      <c r="G237" s="480"/>
      <c r="H237" s="480"/>
      <c r="I237" s="480"/>
      <c r="J237" s="480"/>
      <c r="K237" s="480"/>
      <c r="L237" s="472"/>
      <c r="M237" s="477"/>
      <c r="N237" s="472"/>
      <c r="O237" s="472"/>
      <c r="P237" s="167"/>
      <c r="Q237" s="472"/>
      <c r="R237" s="1"/>
    </row>
    <row r="238" spans="1:18" ht="16.2" thickBot="1" x14ac:dyDescent="0.35">
      <c r="A238" s="473"/>
      <c r="B238" s="473"/>
      <c r="C238" s="6">
        <v>8024</v>
      </c>
      <c r="D238" s="481"/>
      <c r="E238" s="481"/>
      <c r="F238" s="481"/>
      <c r="G238" s="481"/>
      <c r="H238" s="481"/>
      <c r="I238" s="481"/>
      <c r="J238" s="481"/>
      <c r="K238" s="481"/>
      <c r="L238" s="473"/>
      <c r="M238" s="478"/>
      <c r="N238" s="473"/>
      <c r="O238" s="473"/>
      <c r="P238" s="168"/>
      <c r="Q238" s="473"/>
      <c r="R238" s="1"/>
    </row>
    <row r="239" spans="1:18" ht="15.6" x14ac:dyDescent="0.3">
      <c r="A239" s="471">
        <v>12</v>
      </c>
      <c r="B239" s="471" t="s">
        <v>160</v>
      </c>
      <c r="C239" s="3">
        <v>-10595</v>
      </c>
      <c r="D239" s="471">
        <v>1</v>
      </c>
      <c r="E239" s="471" t="s">
        <v>161</v>
      </c>
      <c r="F239" s="471">
        <v>600</v>
      </c>
      <c r="G239" s="479">
        <v>200</v>
      </c>
      <c r="H239" s="471" t="s">
        <v>19</v>
      </c>
      <c r="I239" s="471">
        <v>100</v>
      </c>
      <c r="J239" s="479" t="s">
        <v>45</v>
      </c>
      <c r="K239" s="471">
        <v>30</v>
      </c>
      <c r="L239" s="471">
        <v>56.5</v>
      </c>
      <c r="M239" s="476" t="s">
        <v>14</v>
      </c>
      <c r="N239" s="471" t="s">
        <v>31</v>
      </c>
      <c r="O239" s="471" t="s">
        <v>27</v>
      </c>
      <c r="P239" s="166"/>
      <c r="Q239" s="471" t="s">
        <v>163</v>
      </c>
      <c r="R239" s="1"/>
    </row>
    <row r="240" spans="1:18" ht="15.6" x14ac:dyDescent="0.3">
      <c r="A240" s="472"/>
      <c r="B240" s="472"/>
      <c r="C240" s="35">
        <v>-22485</v>
      </c>
      <c r="D240" s="472"/>
      <c r="E240" s="472"/>
      <c r="F240" s="472"/>
      <c r="G240" s="480"/>
      <c r="H240" s="472"/>
      <c r="I240" s="472"/>
      <c r="J240" s="480"/>
      <c r="K240" s="472"/>
      <c r="L240" s="472"/>
      <c r="M240" s="477"/>
      <c r="N240" s="472"/>
      <c r="O240" s="472"/>
      <c r="P240" s="167"/>
      <c r="Q240" s="472"/>
      <c r="R240" s="1"/>
    </row>
    <row r="241" spans="1:18" ht="16.2" thickBot="1" x14ac:dyDescent="0.35">
      <c r="A241" s="473"/>
      <c r="B241" s="473"/>
      <c r="C241" s="4">
        <v>8099</v>
      </c>
      <c r="D241" s="473"/>
      <c r="E241" s="473"/>
      <c r="F241" s="473"/>
      <c r="G241" s="481"/>
      <c r="H241" s="473"/>
      <c r="I241" s="473"/>
      <c r="J241" s="481"/>
      <c r="K241" s="473"/>
      <c r="L241" s="473"/>
      <c r="M241" s="478"/>
      <c r="N241" s="473"/>
      <c r="O241" s="473"/>
      <c r="P241" s="168"/>
      <c r="Q241" s="473"/>
      <c r="R241" s="1"/>
    </row>
    <row r="242" spans="1:18" ht="15.6" x14ac:dyDescent="0.3">
      <c r="A242" s="471">
        <v>13</v>
      </c>
      <c r="B242" s="471" t="s">
        <v>174</v>
      </c>
      <c r="C242" s="3">
        <v>24820</v>
      </c>
      <c r="D242" s="479">
        <v>0</v>
      </c>
      <c r="E242" s="471" t="s">
        <v>13</v>
      </c>
      <c r="F242" s="471">
        <v>600</v>
      </c>
      <c r="G242" s="479">
        <v>200</v>
      </c>
      <c r="H242" s="471" t="s">
        <v>175</v>
      </c>
      <c r="I242" s="471" t="s">
        <v>13</v>
      </c>
      <c r="J242" s="471" t="s">
        <v>13</v>
      </c>
      <c r="K242" s="471" t="s">
        <v>13</v>
      </c>
      <c r="L242" s="471" t="s">
        <v>13</v>
      </c>
      <c r="M242" s="476" t="s">
        <v>14</v>
      </c>
      <c r="N242" s="471" t="s">
        <v>42</v>
      </c>
      <c r="O242" s="471" t="s">
        <v>27</v>
      </c>
      <c r="P242" s="166"/>
      <c r="Q242" s="471" t="s">
        <v>176</v>
      </c>
      <c r="R242" s="1"/>
    </row>
    <row r="243" spans="1:18" ht="15.6" x14ac:dyDescent="0.3">
      <c r="A243" s="472"/>
      <c r="B243" s="472"/>
      <c r="C243" s="35">
        <v>2060</v>
      </c>
      <c r="D243" s="480"/>
      <c r="E243" s="472"/>
      <c r="F243" s="472"/>
      <c r="G243" s="480"/>
      <c r="H243" s="472"/>
      <c r="I243" s="472"/>
      <c r="J243" s="472"/>
      <c r="K243" s="472"/>
      <c r="L243" s="472"/>
      <c r="M243" s="477"/>
      <c r="N243" s="472"/>
      <c r="O243" s="472"/>
      <c r="P243" s="167"/>
      <c r="Q243" s="472"/>
      <c r="R243" s="1"/>
    </row>
    <row r="244" spans="1:18" ht="16.2" thickBot="1" x14ac:dyDescent="0.35">
      <c r="A244" s="473"/>
      <c r="B244" s="473"/>
      <c r="C244" s="4">
        <v>8100</v>
      </c>
      <c r="D244" s="481"/>
      <c r="E244" s="473"/>
      <c r="F244" s="473"/>
      <c r="G244" s="481"/>
      <c r="H244" s="473"/>
      <c r="I244" s="473"/>
      <c r="J244" s="473"/>
      <c r="K244" s="473"/>
      <c r="L244" s="473"/>
      <c r="M244" s="478"/>
      <c r="N244" s="473"/>
      <c r="O244" s="473"/>
      <c r="P244" s="168"/>
      <c r="Q244" s="473"/>
      <c r="R244" s="1"/>
    </row>
    <row r="245" spans="1:18" ht="15.6" x14ac:dyDescent="0.3">
      <c r="A245" s="471">
        <v>14</v>
      </c>
      <c r="B245" s="471" t="s">
        <v>167</v>
      </c>
      <c r="C245" s="3">
        <v>16811</v>
      </c>
      <c r="D245" s="471">
        <v>1</v>
      </c>
      <c r="E245" s="471" t="s">
        <v>168</v>
      </c>
      <c r="F245" s="471">
        <v>350</v>
      </c>
      <c r="G245" s="479">
        <v>200</v>
      </c>
      <c r="H245" s="471" t="s">
        <v>50</v>
      </c>
      <c r="I245" s="471">
        <v>120</v>
      </c>
      <c r="J245" s="479" t="s">
        <v>45</v>
      </c>
      <c r="K245" s="471">
        <v>30</v>
      </c>
      <c r="L245" s="471">
        <v>12</v>
      </c>
      <c r="M245" s="476" t="s">
        <v>14</v>
      </c>
      <c r="N245" s="471" t="s">
        <v>41</v>
      </c>
      <c r="O245" s="471" t="s">
        <v>27</v>
      </c>
      <c r="P245" s="166"/>
      <c r="Q245" s="479" t="s">
        <v>169</v>
      </c>
      <c r="R245" s="1"/>
    </row>
    <row r="246" spans="1:18" ht="15.6" x14ac:dyDescent="0.3">
      <c r="A246" s="472"/>
      <c r="B246" s="472"/>
      <c r="C246" s="35">
        <v>18028</v>
      </c>
      <c r="D246" s="472"/>
      <c r="E246" s="472"/>
      <c r="F246" s="472"/>
      <c r="G246" s="480"/>
      <c r="H246" s="472"/>
      <c r="I246" s="472"/>
      <c r="J246" s="480"/>
      <c r="K246" s="472"/>
      <c r="L246" s="472"/>
      <c r="M246" s="477"/>
      <c r="N246" s="472"/>
      <c r="O246" s="472"/>
      <c r="P246" s="167"/>
      <c r="Q246" s="480"/>
      <c r="R246" s="1"/>
    </row>
    <row r="247" spans="1:18" ht="16.2" thickBot="1" x14ac:dyDescent="0.35">
      <c r="A247" s="473"/>
      <c r="B247" s="473"/>
      <c r="C247" s="4">
        <v>7975</v>
      </c>
      <c r="D247" s="473"/>
      <c r="E247" s="473"/>
      <c r="F247" s="473"/>
      <c r="G247" s="481"/>
      <c r="H247" s="473"/>
      <c r="I247" s="473"/>
      <c r="J247" s="481"/>
      <c r="K247" s="473"/>
      <c r="L247" s="473"/>
      <c r="M247" s="478"/>
      <c r="N247" s="473"/>
      <c r="O247" s="473"/>
      <c r="P247" s="168"/>
      <c r="Q247" s="481"/>
      <c r="R247" s="1"/>
    </row>
    <row r="248" spans="1:18" ht="15.6" x14ac:dyDescent="0.3">
      <c r="A248" s="471">
        <v>15</v>
      </c>
      <c r="B248" s="471" t="s">
        <v>167</v>
      </c>
      <c r="C248" s="3">
        <v>-16811</v>
      </c>
      <c r="D248" s="471">
        <v>1</v>
      </c>
      <c r="E248" s="471" t="s">
        <v>168</v>
      </c>
      <c r="F248" s="471">
        <v>350</v>
      </c>
      <c r="G248" s="479">
        <v>200</v>
      </c>
      <c r="H248" s="471" t="s">
        <v>50</v>
      </c>
      <c r="I248" s="471">
        <v>120</v>
      </c>
      <c r="J248" s="479" t="s">
        <v>45</v>
      </c>
      <c r="K248" s="471">
        <v>30</v>
      </c>
      <c r="L248" s="471">
        <v>12</v>
      </c>
      <c r="M248" s="476" t="s">
        <v>14</v>
      </c>
      <c r="N248" s="471" t="s">
        <v>177</v>
      </c>
      <c r="O248" s="471" t="s">
        <v>27</v>
      </c>
      <c r="P248" s="166"/>
      <c r="Q248" s="479" t="s">
        <v>169</v>
      </c>
      <c r="R248" s="1"/>
    </row>
    <row r="249" spans="1:18" ht="15.6" x14ac:dyDescent="0.3">
      <c r="A249" s="472"/>
      <c r="B249" s="472"/>
      <c r="C249" s="35">
        <v>18028</v>
      </c>
      <c r="D249" s="472"/>
      <c r="E249" s="472"/>
      <c r="F249" s="472"/>
      <c r="G249" s="480"/>
      <c r="H249" s="472"/>
      <c r="I249" s="472"/>
      <c r="J249" s="480"/>
      <c r="K249" s="472"/>
      <c r="L249" s="472"/>
      <c r="M249" s="477"/>
      <c r="N249" s="472"/>
      <c r="O249" s="472"/>
      <c r="P249" s="167"/>
      <c r="Q249" s="480"/>
      <c r="R249" s="1"/>
    </row>
    <row r="250" spans="1:18" ht="16.2" thickBot="1" x14ac:dyDescent="0.35">
      <c r="A250" s="473"/>
      <c r="B250" s="473"/>
      <c r="C250" s="4">
        <v>7975</v>
      </c>
      <c r="D250" s="473"/>
      <c r="E250" s="473"/>
      <c r="F250" s="473"/>
      <c r="G250" s="481"/>
      <c r="H250" s="473"/>
      <c r="I250" s="473"/>
      <c r="J250" s="481"/>
      <c r="K250" s="473"/>
      <c r="L250" s="473"/>
      <c r="M250" s="478"/>
      <c r="N250" s="473"/>
      <c r="O250" s="473"/>
      <c r="P250" s="168"/>
      <c r="Q250" s="481"/>
      <c r="R250" s="1"/>
    </row>
    <row r="251" spans="1:18" ht="15.6" x14ac:dyDescent="0.3">
      <c r="A251" s="471">
        <v>16</v>
      </c>
      <c r="B251" s="471" t="s">
        <v>167</v>
      </c>
      <c r="C251" s="3">
        <v>-14835</v>
      </c>
      <c r="D251" s="471">
        <v>1</v>
      </c>
      <c r="E251" s="471" t="s">
        <v>168</v>
      </c>
      <c r="F251" s="471">
        <v>350</v>
      </c>
      <c r="G251" s="479">
        <v>200</v>
      </c>
      <c r="H251" s="471" t="s">
        <v>50</v>
      </c>
      <c r="I251" s="471">
        <v>120</v>
      </c>
      <c r="J251" s="479" t="s">
        <v>45</v>
      </c>
      <c r="K251" s="471">
        <v>30</v>
      </c>
      <c r="L251" s="471">
        <v>12</v>
      </c>
      <c r="M251" s="476" t="s">
        <v>14</v>
      </c>
      <c r="N251" s="471" t="s">
        <v>178</v>
      </c>
      <c r="O251" s="471" t="s">
        <v>27</v>
      </c>
      <c r="P251" s="166"/>
      <c r="Q251" s="479" t="s">
        <v>169</v>
      </c>
      <c r="R251" s="1"/>
    </row>
    <row r="252" spans="1:18" ht="15.6" x14ac:dyDescent="0.3">
      <c r="A252" s="472"/>
      <c r="B252" s="472"/>
      <c r="C252" s="35">
        <v>-19686</v>
      </c>
      <c r="D252" s="472"/>
      <c r="E252" s="472"/>
      <c r="F252" s="472"/>
      <c r="G252" s="480"/>
      <c r="H252" s="472"/>
      <c r="I252" s="472"/>
      <c r="J252" s="480"/>
      <c r="K252" s="472"/>
      <c r="L252" s="472"/>
      <c r="M252" s="477"/>
      <c r="N252" s="472"/>
      <c r="O252" s="472"/>
      <c r="P252" s="167"/>
      <c r="Q252" s="480"/>
      <c r="R252" s="1"/>
    </row>
    <row r="253" spans="1:18" ht="16.2" thickBot="1" x14ac:dyDescent="0.35">
      <c r="A253" s="473"/>
      <c r="B253" s="473"/>
      <c r="C253" s="4">
        <v>7975</v>
      </c>
      <c r="D253" s="473"/>
      <c r="E253" s="473"/>
      <c r="F253" s="473"/>
      <c r="G253" s="481"/>
      <c r="H253" s="473"/>
      <c r="I253" s="473"/>
      <c r="J253" s="481"/>
      <c r="K253" s="473"/>
      <c r="L253" s="473"/>
      <c r="M253" s="478"/>
      <c r="N253" s="473"/>
      <c r="O253" s="473"/>
      <c r="P253" s="168"/>
      <c r="Q253" s="481"/>
      <c r="R253" s="1"/>
    </row>
    <row r="254" spans="1:18" ht="16.2" thickBot="1" x14ac:dyDescent="0.35">
      <c r="A254" s="352" t="s">
        <v>68</v>
      </c>
      <c r="B254" s="353"/>
      <c r="C254" s="353"/>
      <c r="D254" s="353"/>
      <c r="E254" s="353"/>
      <c r="F254" s="353"/>
      <c r="G254" s="353"/>
      <c r="H254" s="353"/>
      <c r="I254" s="353"/>
      <c r="J254" s="353"/>
      <c r="K254" s="353"/>
      <c r="L254" s="353"/>
      <c r="M254" s="353"/>
      <c r="N254" s="353"/>
      <c r="O254" s="353"/>
      <c r="P254" s="353"/>
      <c r="Q254" s="354"/>
      <c r="R254" s="1"/>
    </row>
    <row r="255" spans="1:18" ht="15.6" x14ac:dyDescent="0.3">
      <c r="A255" s="373">
        <v>17</v>
      </c>
      <c r="B255" s="373" t="s">
        <v>179</v>
      </c>
      <c r="C255" s="49">
        <v>-18200</v>
      </c>
      <c r="D255" s="373">
        <v>1</v>
      </c>
      <c r="E255" s="373" t="s">
        <v>24</v>
      </c>
      <c r="F255" s="373">
        <v>200</v>
      </c>
      <c r="G255" s="373">
        <v>200</v>
      </c>
      <c r="H255" s="373" t="s">
        <v>50</v>
      </c>
      <c r="I255" s="373">
        <v>60</v>
      </c>
      <c r="J255" s="373">
        <f>-0.66/1.11</f>
        <v>-0.59459459459459452</v>
      </c>
      <c r="K255" s="373">
        <v>30</v>
      </c>
      <c r="L255" s="373">
        <v>-25.5</v>
      </c>
      <c r="M255" s="379" t="s">
        <v>14</v>
      </c>
      <c r="N255" s="373" t="s">
        <v>180</v>
      </c>
      <c r="O255" s="373" t="s">
        <v>27</v>
      </c>
      <c r="P255" s="156"/>
      <c r="Q255" s="373" t="s">
        <v>181</v>
      </c>
      <c r="R255" s="1"/>
    </row>
    <row r="256" spans="1:18" ht="15.6" x14ac:dyDescent="0.3">
      <c r="A256" s="374"/>
      <c r="B256" s="374"/>
      <c r="C256" s="51">
        <v>2400</v>
      </c>
      <c r="D256" s="374"/>
      <c r="E256" s="374"/>
      <c r="F256" s="374"/>
      <c r="G256" s="374"/>
      <c r="H256" s="374"/>
      <c r="I256" s="374"/>
      <c r="J256" s="374"/>
      <c r="K256" s="374"/>
      <c r="L256" s="374"/>
      <c r="M256" s="380"/>
      <c r="N256" s="374"/>
      <c r="O256" s="374"/>
      <c r="P256" s="157"/>
      <c r="Q256" s="374"/>
      <c r="R256" s="1"/>
    </row>
    <row r="257" spans="1:18" ht="16.2" thickBot="1" x14ac:dyDescent="0.35">
      <c r="A257" s="375"/>
      <c r="B257" s="375"/>
      <c r="C257" s="50">
        <v>150</v>
      </c>
      <c r="D257" s="375"/>
      <c r="E257" s="375"/>
      <c r="F257" s="375"/>
      <c r="G257" s="375"/>
      <c r="H257" s="375"/>
      <c r="I257" s="375"/>
      <c r="J257" s="375"/>
      <c r="K257" s="375"/>
      <c r="L257" s="375"/>
      <c r="M257" s="381"/>
      <c r="N257" s="375"/>
      <c r="O257" s="375"/>
      <c r="P257" s="158"/>
      <c r="Q257" s="375"/>
      <c r="R257" s="1"/>
    </row>
    <row r="258" spans="1:18" ht="16.2" thickBot="1" x14ac:dyDescent="0.35">
      <c r="A258" s="352" t="s">
        <v>70</v>
      </c>
      <c r="B258" s="353"/>
      <c r="C258" s="353"/>
      <c r="D258" s="353"/>
      <c r="E258" s="353"/>
      <c r="F258" s="353"/>
      <c r="G258" s="353"/>
      <c r="H258" s="353"/>
      <c r="I258" s="353"/>
      <c r="J258" s="353"/>
      <c r="K258" s="353"/>
      <c r="L258" s="353"/>
      <c r="M258" s="353"/>
      <c r="N258" s="353"/>
      <c r="O258" s="353"/>
      <c r="P258" s="353"/>
      <c r="Q258" s="354"/>
      <c r="R258" s="1"/>
    </row>
    <row r="259" spans="1:18" ht="15.6" x14ac:dyDescent="0.3">
      <c r="A259" s="373">
        <v>19</v>
      </c>
      <c r="B259" s="373" t="s">
        <v>48</v>
      </c>
      <c r="C259" s="49">
        <v>-10945</v>
      </c>
      <c r="D259" s="373">
        <v>1</v>
      </c>
      <c r="E259" s="373" t="s">
        <v>25</v>
      </c>
      <c r="F259" s="373">
        <v>1200</v>
      </c>
      <c r="G259" s="373">
        <v>1200</v>
      </c>
      <c r="H259" s="373" t="s">
        <v>55</v>
      </c>
      <c r="I259" s="373">
        <v>150</v>
      </c>
      <c r="J259" s="376" t="s">
        <v>45</v>
      </c>
      <c r="K259" s="373">
        <v>50</v>
      </c>
      <c r="L259" s="373">
        <v>0</v>
      </c>
      <c r="M259" s="379" t="s">
        <v>14</v>
      </c>
      <c r="N259" s="408" t="s">
        <v>183</v>
      </c>
      <c r="O259" s="373" t="s">
        <v>27</v>
      </c>
      <c r="P259" s="156"/>
      <c r="Q259" s="373" t="s">
        <v>185</v>
      </c>
      <c r="R259" s="1"/>
    </row>
    <row r="260" spans="1:18" ht="15.6" x14ac:dyDescent="0.3">
      <c r="A260" s="374"/>
      <c r="B260" s="374"/>
      <c r="C260" s="51">
        <v>-2900</v>
      </c>
      <c r="D260" s="374"/>
      <c r="E260" s="374"/>
      <c r="F260" s="374"/>
      <c r="G260" s="374"/>
      <c r="H260" s="374"/>
      <c r="I260" s="374"/>
      <c r="J260" s="377"/>
      <c r="K260" s="374"/>
      <c r="L260" s="374"/>
      <c r="M260" s="380"/>
      <c r="N260" s="409"/>
      <c r="O260" s="374"/>
      <c r="P260" s="157"/>
      <c r="Q260" s="374"/>
      <c r="R260" s="1"/>
    </row>
    <row r="261" spans="1:18" ht="16.2" thickBot="1" x14ac:dyDescent="0.35">
      <c r="A261" s="375"/>
      <c r="B261" s="375"/>
      <c r="C261" s="50">
        <v>2700</v>
      </c>
      <c r="D261" s="375"/>
      <c r="E261" s="375"/>
      <c r="F261" s="375"/>
      <c r="G261" s="375"/>
      <c r="H261" s="375"/>
      <c r="I261" s="375"/>
      <c r="J261" s="378"/>
      <c r="K261" s="375"/>
      <c r="L261" s="375"/>
      <c r="M261" s="381"/>
      <c r="N261" s="410"/>
      <c r="O261" s="375"/>
      <c r="P261" s="158"/>
      <c r="Q261" s="375"/>
      <c r="R261" s="1"/>
    </row>
    <row r="262" spans="1:18" ht="15.6" x14ac:dyDescent="0.3">
      <c r="A262" s="373">
        <v>20</v>
      </c>
      <c r="B262" s="373" t="s">
        <v>48</v>
      </c>
      <c r="C262" s="49">
        <v>-8015</v>
      </c>
      <c r="D262" s="373">
        <v>1</v>
      </c>
      <c r="E262" s="373" t="s">
        <v>25</v>
      </c>
      <c r="F262" s="373">
        <v>1200</v>
      </c>
      <c r="G262" s="373">
        <v>1200</v>
      </c>
      <c r="H262" s="373" t="s">
        <v>55</v>
      </c>
      <c r="I262" s="373">
        <v>150</v>
      </c>
      <c r="J262" s="376" t="s">
        <v>45</v>
      </c>
      <c r="K262" s="373">
        <v>50</v>
      </c>
      <c r="L262" s="373">
        <v>0</v>
      </c>
      <c r="M262" s="379" t="s">
        <v>14</v>
      </c>
      <c r="N262" s="408" t="s">
        <v>186</v>
      </c>
      <c r="O262" s="373" t="s">
        <v>27</v>
      </c>
      <c r="P262" s="156"/>
      <c r="Q262" s="373" t="s">
        <v>185</v>
      </c>
      <c r="R262" s="1"/>
    </row>
    <row r="263" spans="1:18" ht="15.6" x14ac:dyDescent="0.3">
      <c r="A263" s="374"/>
      <c r="B263" s="374"/>
      <c r="C263" s="51">
        <v>-2900</v>
      </c>
      <c r="D263" s="374"/>
      <c r="E263" s="374"/>
      <c r="F263" s="374"/>
      <c r="G263" s="374"/>
      <c r="H263" s="374"/>
      <c r="I263" s="374"/>
      <c r="J263" s="377"/>
      <c r="K263" s="374"/>
      <c r="L263" s="374"/>
      <c r="M263" s="380"/>
      <c r="N263" s="409"/>
      <c r="O263" s="374"/>
      <c r="P263" s="157"/>
      <c r="Q263" s="374"/>
      <c r="R263" s="1"/>
    </row>
    <row r="264" spans="1:18" ht="16.2" thickBot="1" x14ac:dyDescent="0.35">
      <c r="A264" s="375"/>
      <c r="B264" s="375"/>
      <c r="C264" s="50">
        <v>2700</v>
      </c>
      <c r="D264" s="375"/>
      <c r="E264" s="375"/>
      <c r="F264" s="375"/>
      <c r="G264" s="375"/>
      <c r="H264" s="375"/>
      <c r="I264" s="375"/>
      <c r="J264" s="378"/>
      <c r="K264" s="375"/>
      <c r="L264" s="375"/>
      <c r="M264" s="381"/>
      <c r="N264" s="410"/>
      <c r="O264" s="375"/>
      <c r="P264" s="158"/>
      <c r="Q264" s="375"/>
      <c r="R264" s="1"/>
    </row>
    <row r="265" spans="1:18" ht="15.6" x14ac:dyDescent="0.3">
      <c r="A265" s="471">
        <v>21</v>
      </c>
      <c r="B265" s="471" t="s">
        <v>174</v>
      </c>
      <c r="C265" s="3">
        <v>-6300</v>
      </c>
      <c r="D265" s="479">
        <v>0</v>
      </c>
      <c r="E265" s="471" t="s">
        <v>13</v>
      </c>
      <c r="F265" s="471">
        <v>1200</v>
      </c>
      <c r="G265" s="471">
        <v>1200</v>
      </c>
      <c r="H265" s="479" t="s">
        <v>187</v>
      </c>
      <c r="I265" s="471" t="s">
        <v>13</v>
      </c>
      <c r="J265" s="471" t="s">
        <v>13</v>
      </c>
      <c r="K265" s="471" t="s">
        <v>13</v>
      </c>
      <c r="L265" s="471">
        <v>154.5</v>
      </c>
      <c r="M265" s="476" t="s">
        <v>14</v>
      </c>
      <c r="N265" s="482" t="s">
        <v>186</v>
      </c>
      <c r="O265" s="471" t="s">
        <v>27</v>
      </c>
      <c r="P265" s="166"/>
      <c r="Q265" s="471" t="s">
        <v>188</v>
      </c>
      <c r="R265" s="1"/>
    </row>
    <row r="266" spans="1:18" ht="15.6" x14ac:dyDescent="0.3">
      <c r="A266" s="472"/>
      <c r="B266" s="472"/>
      <c r="C266" s="35">
        <v>-2900</v>
      </c>
      <c r="D266" s="480"/>
      <c r="E266" s="472"/>
      <c r="F266" s="472"/>
      <c r="G266" s="472"/>
      <c r="H266" s="480"/>
      <c r="I266" s="472"/>
      <c r="J266" s="472"/>
      <c r="K266" s="472"/>
      <c r="L266" s="472"/>
      <c r="M266" s="477"/>
      <c r="N266" s="483"/>
      <c r="O266" s="472"/>
      <c r="P266" s="167"/>
      <c r="Q266" s="472"/>
      <c r="R266" s="1"/>
    </row>
    <row r="267" spans="1:18" ht="16.2" thickBot="1" x14ac:dyDescent="0.35">
      <c r="A267" s="473"/>
      <c r="B267" s="473"/>
      <c r="C267" s="4">
        <v>2970</v>
      </c>
      <c r="D267" s="481"/>
      <c r="E267" s="473"/>
      <c r="F267" s="473"/>
      <c r="G267" s="473"/>
      <c r="H267" s="481"/>
      <c r="I267" s="473"/>
      <c r="J267" s="473"/>
      <c r="K267" s="473"/>
      <c r="L267" s="473"/>
      <c r="M267" s="478"/>
      <c r="N267" s="484"/>
      <c r="O267" s="473"/>
      <c r="P267" s="168"/>
      <c r="Q267" s="473"/>
      <c r="R267" s="1"/>
    </row>
    <row r="268" spans="1:18" ht="15.6" x14ac:dyDescent="0.3">
      <c r="A268" s="471">
        <v>22</v>
      </c>
      <c r="B268" s="471" t="s">
        <v>174</v>
      </c>
      <c r="C268" s="3">
        <v>-13000</v>
      </c>
      <c r="D268" s="479">
        <v>0</v>
      </c>
      <c r="E268" s="471" t="s">
        <v>13</v>
      </c>
      <c r="F268" s="471">
        <v>1200</v>
      </c>
      <c r="G268" s="471">
        <v>1200</v>
      </c>
      <c r="H268" s="471" t="s">
        <v>55</v>
      </c>
      <c r="I268" s="471" t="s">
        <v>13</v>
      </c>
      <c r="J268" s="471" t="s">
        <v>13</v>
      </c>
      <c r="K268" s="471" t="s">
        <v>13</v>
      </c>
      <c r="L268" s="471">
        <v>129.5</v>
      </c>
      <c r="M268" s="476" t="s">
        <v>14</v>
      </c>
      <c r="N268" s="482" t="s">
        <v>189</v>
      </c>
      <c r="O268" s="471" t="s">
        <v>27</v>
      </c>
      <c r="P268" s="166"/>
      <c r="Q268" s="471" t="s">
        <v>184</v>
      </c>
      <c r="R268" s="1"/>
    </row>
    <row r="269" spans="1:18" ht="15.6" x14ac:dyDescent="0.3">
      <c r="A269" s="472"/>
      <c r="B269" s="472"/>
      <c r="C269" s="35">
        <v>2900</v>
      </c>
      <c r="D269" s="480"/>
      <c r="E269" s="472"/>
      <c r="F269" s="472"/>
      <c r="G269" s="472"/>
      <c r="H269" s="472"/>
      <c r="I269" s="472"/>
      <c r="J269" s="472"/>
      <c r="K269" s="472"/>
      <c r="L269" s="472"/>
      <c r="M269" s="477"/>
      <c r="N269" s="483"/>
      <c r="O269" s="472"/>
      <c r="P269" s="167"/>
      <c r="Q269" s="472"/>
      <c r="R269" s="1"/>
    </row>
    <row r="270" spans="1:18" ht="16.2" thickBot="1" x14ac:dyDescent="0.35">
      <c r="A270" s="473"/>
      <c r="B270" s="473"/>
      <c r="C270" s="4">
        <v>2700</v>
      </c>
      <c r="D270" s="481"/>
      <c r="E270" s="473"/>
      <c r="F270" s="473"/>
      <c r="G270" s="473"/>
      <c r="H270" s="473"/>
      <c r="I270" s="473"/>
      <c r="J270" s="473"/>
      <c r="K270" s="473"/>
      <c r="L270" s="473"/>
      <c r="M270" s="478"/>
      <c r="N270" s="484"/>
      <c r="O270" s="473"/>
      <c r="P270" s="168"/>
      <c r="Q270" s="473"/>
      <c r="R270" s="1"/>
    </row>
    <row r="271" spans="1:18" ht="15.6" x14ac:dyDescent="0.3">
      <c r="A271" s="471">
        <v>23</v>
      </c>
      <c r="B271" s="471" t="s">
        <v>174</v>
      </c>
      <c r="C271" s="3">
        <v>-13000</v>
      </c>
      <c r="D271" s="479">
        <v>0</v>
      </c>
      <c r="E271" s="471" t="s">
        <v>13</v>
      </c>
      <c r="F271" s="471">
        <v>1200</v>
      </c>
      <c r="G271" s="471">
        <v>1200</v>
      </c>
      <c r="H271" s="471" t="s">
        <v>55</v>
      </c>
      <c r="I271" s="471" t="s">
        <v>13</v>
      </c>
      <c r="J271" s="471" t="s">
        <v>13</v>
      </c>
      <c r="K271" s="471" t="s">
        <v>13</v>
      </c>
      <c r="L271" s="471">
        <v>129.5</v>
      </c>
      <c r="M271" s="476" t="s">
        <v>14</v>
      </c>
      <c r="N271" s="482" t="s">
        <v>189</v>
      </c>
      <c r="O271" s="471" t="s">
        <v>27</v>
      </c>
      <c r="P271" s="166"/>
      <c r="Q271" s="471" t="s">
        <v>184</v>
      </c>
      <c r="R271" s="1"/>
    </row>
    <row r="272" spans="1:18" ht="15.6" x14ac:dyDescent="0.3">
      <c r="A272" s="472"/>
      <c r="B272" s="472"/>
      <c r="C272" s="35">
        <v>2900</v>
      </c>
      <c r="D272" s="480"/>
      <c r="E272" s="472"/>
      <c r="F272" s="472"/>
      <c r="G272" s="472"/>
      <c r="H272" s="472"/>
      <c r="I272" s="472"/>
      <c r="J272" s="472"/>
      <c r="K272" s="472"/>
      <c r="L272" s="472"/>
      <c r="M272" s="477"/>
      <c r="N272" s="483"/>
      <c r="O272" s="472"/>
      <c r="P272" s="167"/>
      <c r="Q272" s="472"/>
      <c r="R272" s="1"/>
    </row>
    <row r="273" spans="1:18" ht="16.2" thickBot="1" x14ac:dyDescent="0.35">
      <c r="A273" s="473"/>
      <c r="B273" s="473"/>
      <c r="C273" s="4">
        <v>2200</v>
      </c>
      <c r="D273" s="481"/>
      <c r="E273" s="473"/>
      <c r="F273" s="473"/>
      <c r="G273" s="473"/>
      <c r="H273" s="473"/>
      <c r="I273" s="473"/>
      <c r="J273" s="473"/>
      <c r="K273" s="473"/>
      <c r="L273" s="473"/>
      <c r="M273" s="478"/>
      <c r="N273" s="484"/>
      <c r="O273" s="473"/>
      <c r="P273" s="168"/>
      <c r="Q273" s="473"/>
      <c r="R273" s="1"/>
    </row>
    <row r="274" spans="1:18" ht="15.6" x14ac:dyDescent="0.3">
      <c r="A274" s="471">
        <v>24</v>
      </c>
      <c r="B274" s="471" t="s">
        <v>174</v>
      </c>
      <c r="C274" s="3">
        <v>-13000</v>
      </c>
      <c r="D274" s="479">
        <v>0</v>
      </c>
      <c r="E274" s="471" t="s">
        <v>13</v>
      </c>
      <c r="F274" s="471">
        <v>1200</v>
      </c>
      <c r="G274" s="471">
        <v>1200</v>
      </c>
      <c r="H274" s="471" t="s">
        <v>19</v>
      </c>
      <c r="I274" s="471" t="s">
        <v>13</v>
      </c>
      <c r="J274" s="471" t="s">
        <v>13</v>
      </c>
      <c r="K274" s="471" t="s">
        <v>13</v>
      </c>
      <c r="L274" s="471">
        <v>102.5</v>
      </c>
      <c r="M274" s="476" t="s">
        <v>14</v>
      </c>
      <c r="N274" s="482" t="s">
        <v>189</v>
      </c>
      <c r="O274" s="471" t="s">
        <v>27</v>
      </c>
      <c r="P274" s="166"/>
      <c r="Q274" s="471" t="s">
        <v>184</v>
      </c>
      <c r="R274" s="1"/>
    </row>
    <row r="275" spans="1:18" ht="15.6" x14ac:dyDescent="0.3">
      <c r="A275" s="472"/>
      <c r="B275" s="472"/>
      <c r="C275" s="35">
        <v>2900</v>
      </c>
      <c r="D275" s="480"/>
      <c r="E275" s="472"/>
      <c r="F275" s="472"/>
      <c r="G275" s="472"/>
      <c r="H275" s="472"/>
      <c r="I275" s="472"/>
      <c r="J275" s="472"/>
      <c r="K275" s="472"/>
      <c r="L275" s="472"/>
      <c r="M275" s="477"/>
      <c r="N275" s="483"/>
      <c r="O275" s="472"/>
      <c r="P275" s="167"/>
      <c r="Q275" s="472"/>
      <c r="R275" s="1"/>
    </row>
    <row r="276" spans="1:18" ht="16.2" thickBot="1" x14ac:dyDescent="0.35">
      <c r="A276" s="473"/>
      <c r="B276" s="473"/>
      <c r="C276" s="4">
        <v>1500</v>
      </c>
      <c r="D276" s="481"/>
      <c r="E276" s="473"/>
      <c r="F276" s="473"/>
      <c r="G276" s="473"/>
      <c r="H276" s="473"/>
      <c r="I276" s="473"/>
      <c r="J276" s="473"/>
      <c r="K276" s="473"/>
      <c r="L276" s="473"/>
      <c r="M276" s="478"/>
      <c r="N276" s="484"/>
      <c r="O276" s="473"/>
      <c r="P276" s="168"/>
      <c r="Q276" s="473"/>
      <c r="R276" s="1"/>
    </row>
    <row r="277" spans="1:18" ht="15.6" x14ac:dyDescent="0.3">
      <c r="A277" s="471">
        <v>25</v>
      </c>
      <c r="B277" s="471" t="s">
        <v>174</v>
      </c>
      <c r="C277" s="3">
        <v>-8900</v>
      </c>
      <c r="D277" s="479">
        <v>0</v>
      </c>
      <c r="E277" s="471" t="s">
        <v>13</v>
      </c>
      <c r="F277" s="471">
        <v>800</v>
      </c>
      <c r="G277" s="471">
        <v>800</v>
      </c>
      <c r="H277" s="471" t="s">
        <v>55</v>
      </c>
      <c r="I277" s="471" t="s">
        <v>13</v>
      </c>
      <c r="J277" s="471" t="s">
        <v>13</v>
      </c>
      <c r="K277" s="471" t="s">
        <v>13</v>
      </c>
      <c r="L277" s="471">
        <v>129.5</v>
      </c>
      <c r="M277" s="476" t="s">
        <v>14</v>
      </c>
      <c r="N277" s="482" t="s">
        <v>190</v>
      </c>
      <c r="O277" s="471" t="s">
        <v>27</v>
      </c>
      <c r="P277" s="166"/>
      <c r="Q277" s="471" t="s">
        <v>184</v>
      </c>
      <c r="R277" s="1"/>
    </row>
    <row r="278" spans="1:18" ht="15.6" x14ac:dyDescent="0.3">
      <c r="A278" s="472"/>
      <c r="B278" s="472"/>
      <c r="C278" s="35">
        <v>-1500</v>
      </c>
      <c r="D278" s="480"/>
      <c r="E278" s="472"/>
      <c r="F278" s="472"/>
      <c r="G278" s="472"/>
      <c r="H278" s="472"/>
      <c r="I278" s="472"/>
      <c r="J278" s="472"/>
      <c r="K278" s="472"/>
      <c r="L278" s="472"/>
      <c r="M278" s="477"/>
      <c r="N278" s="483"/>
      <c r="O278" s="472"/>
      <c r="P278" s="167"/>
      <c r="Q278" s="472"/>
      <c r="R278" s="1"/>
    </row>
    <row r="279" spans="1:18" ht="16.2" thickBot="1" x14ac:dyDescent="0.35">
      <c r="A279" s="473"/>
      <c r="B279" s="473"/>
      <c r="C279" s="4">
        <v>2700</v>
      </c>
      <c r="D279" s="481"/>
      <c r="E279" s="473"/>
      <c r="F279" s="473"/>
      <c r="G279" s="473"/>
      <c r="H279" s="473"/>
      <c r="I279" s="473"/>
      <c r="J279" s="473"/>
      <c r="K279" s="473"/>
      <c r="L279" s="473"/>
      <c r="M279" s="478"/>
      <c r="N279" s="484"/>
      <c r="O279" s="473"/>
      <c r="P279" s="168"/>
      <c r="Q279" s="473"/>
      <c r="R279" s="1"/>
    </row>
    <row r="280" spans="1:18" ht="16.2" thickBot="1" x14ac:dyDescent="0.35">
      <c r="A280" s="352" t="s">
        <v>71</v>
      </c>
      <c r="B280" s="353"/>
      <c r="C280" s="353"/>
      <c r="D280" s="353"/>
      <c r="E280" s="353"/>
      <c r="F280" s="353"/>
      <c r="G280" s="353"/>
      <c r="H280" s="353"/>
      <c r="I280" s="353"/>
      <c r="J280" s="353"/>
      <c r="K280" s="353"/>
      <c r="L280" s="353"/>
      <c r="M280" s="353"/>
      <c r="N280" s="353"/>
      <c r="O280" s="353"/>
      <c r="P280" s="353"/>
      <c r="Q280" s="354"/>
      <c r="R280" s="1"/>
    </row>
    <row r="281" spans="1:18" ht="15.6" x14ac:dyDescent="0.3">
      <c r="A281" s="479">
        <v>29</v>
      </c>
      <c r="B281" s="479" t="s">
        <v>200</v>
      </c>
      <c r="C281" s="2">
        <v>18200</v>
      </c>
      <c r="D281" s="479">
        <v>1</v>
      </c>
      <c r="E281" s="479" t="s">
        <v>201</v>
      </c>
      <c r="F281" s="479">
        <v>600</v>
      </c>
      <c r="G281" s="479">
        <v>600</v>
      </c>
      <c r="H281" s="479" t="s">
        <v>55</v>
      </c>
      <c r="I281" s="479">
        <v>300</v>
      </c>
      <c r="J281" s="479" t="s">
        <v>45</v>
      </c>
      <c r="K281" s="479">
        <v>90</v>
      </c>
      <c r="L281" s="479">
        <v>-27</v>
      </c>
      <c r="M281" s="476" t="s">
        <v>14</v>
      </c>
      <c r="N281" s="485" t="s">
        <v>180</v>
      </c>
      <c r="O281" s="471" t="s">
        <v>27</v>
      </c>
      <c r="P281" s="166"/>
      <c r="Q281" s="471" t="s">
        <v>202</v>
      </c>
      <c r="R281" s="1"/>
    </row>
    <row r="282" spans="1:18" ht="15.6" x14ac:dyDescent="0.3">
      <c r="A282" s="480"/>
      <c r="B282" s="480"/>
      <c r="C282" s="36">
        <v>2715</v>
      </c>
      <c r="D282" s="480"/>
      <c r="E282" s="480"/>
      <c r="F282" s="480"/>
      <c r="G282" s="480"/>
      <c r="H282" s="480"/>
      <c r="I282" s="480"/>
      <c r="J282" s="480"/>
      <c r="K282" s="480"/>
      <c r="L282" s="480"/>
      <c r="M282" s="477"/>
      <c r="N282" s="486"/>
      <c r="O282" s="472"/>
      <c r="P282" s="167"/>
      <c r="Q282" s="472"/>
      <c r="R282" s="1"/>
    </row>
    <row r="283" spans="1:18" ht="16.2" thickBot="1" x14ac:dyDescent="0.35">
      <c r="A283" s="481"/>
      <c r="B283" s="481"/>
      <c r="C283" s="6">
        <v>400</v>
      </c>
      <c r="D283" s="481"/>
      <c r="E283" s="481"/>
      <c r="F283" s="481"/>
      <c r="G283" s="481"/>
      <c r="H283" s="481"/>
      <c r="I283" s="481"/>
      <c r="J283" s="481"/>
      <c r="K283" s="481"/>
      <c r="L283" s="481"/>
      <c r="M283" s="478"/>
      <c r="N283" s="487"/>
      <c r="O283" s="473"/>
      <c r="P283" s="168"/>
      <c r="Q283" s="473"/>
      <c r="R283" s="1"/>
    </row>
    <row r="284" spans="1:18" ht="15.6" x14ac:dyDescent="0.3">
      <c r="A284" s="479">
        <v>30</v>
      </c>
      <c r="B284" s="479" t="s">
        <v>200</v>
      </c>
      <c r="C284" s="2">
        <v>18200</v>
      </c>
      <c r="D284" s="479">
        <v>1</v>
      </c>
      <c r="E284" s="479" t="s">
        <v>201</v>
      </c>
      <c r="F284" s="479">
        <v>600</v>
      </c>
      <c r="G284" s="479">
        <v>600</v>
      </c>
      <c r="H284" s="479" t="s">
        <v>55</v>
      </c>
      <c r="I284" s="479">
        <v>300</v>
      </c>
      <c r="J284" s="479" t="s">
        <v>45</v>
      </c>
      <c r="K284" s="479">
        <v>90</v>
      </c>
      <c r="L284" s="479">
        <v>-27</v>
      </c>
      <c r="M284" s="476" t="s">
        <v>14</v>
      </c>
      <c r="N284" s="485" t="s">
        <v>180</v>
      </c>
      <c r="O284" s="471" t="s">
        <v>27</v>
      </c>
      <c r="P284" s="166"/>
      <c r="Q284" s="471" t="s">
        <v>202</v>
      </c>
      <c r="R284" s="1"/>
    </row>
    <row r="285" spans="1:18" ht="15.6" x14ac:dyDescent="0.3">
      <c r="A285" s="480"/>
      <c r="B285" s="480"/>
      <c r="C285" s="36">
        <v>3275</v>
      </c>
      <c r="D285" s="480"/>
      <c r="E285" s="480"/>
      <c r="F285" s="480"/>
      <c r="G285" s="480"/>
      <c r="H285" s="480"/>
      <c r="I285" s="480"/>
      <c r="J285" s="480"/>
      <c r="K285" s="480"/>
      <c r="L285" s="480"/>
      <c r="M285" s="477"/>
      <c r="N285" s="486"/>
      <c r="O285" s="472"/>
      <c r="P285" s="167"/>
      <c r="Q285" s="472"/>
      <c r="R285" s="1"/>
    </row>
    <row r="286" spans="1:18" ht="16.2" thickBot="1" x14ac:dyDescent="0.35">
      <c r="A286" s="481"/>
      <c r="B286" s="481"/>
      <c r="C286" s="6">
        <v>400</v>
      </c>
      <c r="D286" s="481"/>
      <c r="E286" s="481"/>
      <c r="F286" s="481"/>
      <c r="G286" s="481"/>
      <c r="H286" s="481"/>
      <c r="I286" s="481"/>
      <c r="J286" s="481"/>
      <c r="K286" s="481"/>
      <c r="L286" s="481"/>
      <c r="M286" s="478"/>
      <c r="N286" s="487"/>
      <c r="O286" s="473"/>
      <c r="P286" s="168"/>
      <c r="Q286" s="473"/>
      <c r="R286" s="1"/>
    </row>
    <row r="287" spans="1:18" ht="15.6" x14ac:dyDescent="0.3">
      <c r="A287" s="479">
        <v>31</v>
      </c>
      <c r="B287" s="479" t="s">
        <v>203</v>
      </c>
      <c r="C287" s="2">
        <v>16825</v>
      </c>
      <c r="D287" s="479">
        <v>1</v>
      </c>
      <c r="E287" s="479" t="s">
        <v>204</v>
      </c>
      <c r="F287" s="479">
        <v>600</v>
      </c>
      <c r="G287" s="479">
        <v>600</v>
      </c>
      <c r="H287" s="479" t="s">
        <v>25</v>
      </c>
      <c r="I287" s="479">
        <v>30</v>
      </c>
      <c r="J287" s="479">
        <f>-0.36/0.48</f>
        <v>-0.75</v>
      </c>
      <c r="K287" s="479">
        <v>0</v>
      </c>
      <c r="L287" s="479">
        <v>45</v>
      </c>
      <c r="M287" s="476" t="s">
        <v>14</v>
      </c>
      <c r="N287" s="485" t="s">
        <v>180</v>
      </c>
      <c r="O287" s="471" t="s">
        <v>27</v>
      </c>
      <c r="P287" s="166"/>
      <c r="Q287" s="471" t="s">
        <v>205</v>
      </c>
      <c r="R287" s="1"/>
    </row>
    <row r="288" spans="1:18" ht="15.6" x14ac:dyDescent="0.3">
      <c r="A288" s="480"/>
      <c r="B288" s="480"/>
      <c r="C288" s="36">
        <v>8800</v>
      </c>
      <c r="D288" s="480"/>
      <c r="E288" s="480"/>
      <c r="F288" s="480"/>
      <c r="G288" s="480"/>
      <c r="H288" s="480"/>
      <c r="I288" s="480"/>
      <c r="J288" s="480"/>
      <c r="K288" s="480"/>
      <c r="L288" s="480"/>
      <c r="M288" s="477"/>
      <c r="N288" s="486"/>
      <c r="O288" s="472"/>
      <c r="P288" s="167"/>
      <c r="Q288" s="472"/>
      <c r="R288" s="1"/>
    </row>
    <row r="289" spans="1:18" ht="16.2" thickBot="1" x14ac:dyDescent="0.35">
      <c r="A289" s="481"/>
      <c r="B289" s="481"/>
      <c r="C289" s="6">
        <v>225</v>
      </c>
      <c r="D289" s="481"/>
      <c r="E289" s="481"/>
      <c r="F289" s="481"/>
      <c r="G289" s="481"/>
      <c r="H289" s="481"/>
      <c r="I289" s="481"/>
      <c r="J289" s="481"/>
      <c r="K289" s="481"/>
      <c r="L289" s="481"/>
      <c r="M289" s="478"/>
      <c r="N289" s="487"/>
      <c r="O289" s="473"/>
      <c r="P289" s="168"/>
      <c r="Q289" s="473"/>
      <c r="R289" s="1"/>
    </row>
    <row r="290" spans="1:18" ht="15.6" x14ac:dyDescent="0.3">
      <c r="A290" s="479">
        <v>32</v>
      </c>
      <c r="B290" s="479" t="s">
        <v>203</v>
      </c>
      <c r="C290" s="2">
        <v>17650</v>
      </c>
      <c r="D290" s="479">
        <v>1</v>
      </c>
      <c r="E290" s="479" t="s">
        <v>204</v>
      </c>
      <c r="F290" s="479">
        <v>550</v>
      </c>
      <c r="G290" s="479">
        <v>400</v>
      </c>
      <c r="H290" s="479" t="s">
        <v>107</v>
      </c>
      <c r="I290" s="479">
        <v>60</v>
      </c>
      <c r="J290" s="479" t="s">
        <v>206</v>
      </c>
      <c r="K290" s="479">
        <v>30</v>
      </c>
      <c r="L290" s="479">
        <v>3</v>
      </c>
      <c r="M290" s="476" t="s">
        <v>14</v>
      </c>
      <c r="N290" s="485" t="s">
        <v>207</v>
      </c>
      <c r="O290" s="471" t="s">
        <v>27</v>
      </c>
      <c r="P290" s="166"/>
      <c r="Q290" s="471" t="s">
        <v>208</v>
      </c>
      <c r="R290" s="1"/>
    </row>
    <row r="291" spans="1:18" ht="15.6" x14ac:dyDescent="0.3">
      <c r="A291" s="480"/>
      <c r="B291" s="480"/>
      <c r="C291" s="36">
        <v>2250</v>
      </c>
      <c r="D291" s="480"/>
      <c r="E291" s="480"/>
      <c r="F291" s="480"/>
      <c r="G291" s="480"/>
      <c r="H291" s="480"/>
      <c r="I291" s="480"/>
      <c r="J291" s="480"/>
      <c r="K291" s="480"/>
      <c r="L291" s="480"/>
      <c r="M291" s="477"/>
      <c r="N291" s="486"/>
      <c r="O291" s="472"/>
      <c r="P291" s="167"/>
      <c r="Q291" s="472"/>
      <c r="R291" s="1"/>
    </row>
    <row r="292" spans="1:18" ht="16.2" thickBot="1" x14ac:dyDescent="0.35">
      <c r="A292" s="481"/>
      <c r="B292" s="481"/>
      <c r="C292" s="6">
        <v>2477</v>
      </c>
      <c r="D292" s="481"/>
      <c r="E292" s="481"/>
      <c r="F292" s="481"/>
      <c r="G292" s="481"/>
      <c r="H292" s="481"/>
      <c r="I292" s="481"/>
      <c r="J292" s="481"/>
      <c r="K292" s="481"/>
      <c r="L292" s="481"/>
      <c r="M292" s="478"/>
      <c r="N292" s="487"/>
      <c r="O292" s="473"/>
      <c r="P292" s="168"/>
      <c r="Q292" s="473"/>
      <c r="R292" s="1"/>
    </row>
    <row r="293" spans="1:18" ht="15.6" x14ac:dyDescent="0.3">
      <c r="A293" s="479">
        <v>33</v>
      </c>
      <c r="B293" s="479" t="s">
        <v>203</v>
      </c>
      <c r="C293" s="2">
        <v>17650</v>
      </c>
      <c r="D293" s="479">
        <v>1</v>
      </c>
      <c r="E293" s="479" t="s">
        <v>209</v>
      </c>
      <c r="F293" s="479">
        <v>550</v>
      </c>
      <c r="G293" s="479">
        <v>400</v>
      </c>
      <c r="H293" s="479" t="s">
        <v>107</v>
      </c>
      <c r="I293" s="479">
        <v>60</v>
      </c>
      <c r="J293" s="479" t="s">
        <v>210</v>
      </c>
      <c r="K293" s="479">
        <v>30</v>
      </c>
      <c r="L293" s="479">
        <v>15.5</v>
      </c>
      <c r="M293" s="476" t="s">
        <v>14</v>
      </c>
      <c r="N293" s="485" t="s">
        <v>207</v>
      </c>
      <c r="O293" s="471" t="s">
        <v>27</v>
      </c>
      <c r="P293" s="166"/>
      <c r="Q293" s="471" t="s">
        <v>211</v>
      </c>
      <c r="R293" s="1"/>
    </row>
    <row r="294" spans="1:18" ht="15.6" x14ac:dyDescent="0.3">
      <c r="A294" s="480"/>
      <c r="B294" s="480"/>
      <c r="C294" s="36">
        <v>3450</v>
      </c>
      <c r="D294" s="480"/>
      <c r="E294" s="480"/>
      <c r="F294" s="480"/>
      <c r="G294" s="480"/>
      <c r="H294" s="480"/>
      <c r="I294" s="480"/>
      <c r="J294" s="480"/>
      <c r="K294" s="480"/>
      <c r="L294" s="480"/>
      <c r="M294" s="477"/>
      <c r="N294" s="486"/>
      <c r="O294" s="472"/>
      <c r="P294" s="167"/>
      <c r="Q294" s="472"/>
      <c r="R294" s="1"/>
    </row>
    <row r="295" spans="1:18" ht="16.2" thickBot="1" x14ac:dyDescent="0.35">
      <c r="A295" s="481"/>
      <c r="B295" s="481"/>
      <c r="C295" s="6">
        <v>2477</v>
      </c>
      <c r="D295" s="481"/>
      <c r="E295" s="481"/>
      <c r="F295" s="481"/>
      <c r="G295" s="481"/>
      <c r="H295" s="481"/>
      <c r="I295" s="481"/>
      <c r="J295" s="481"/>
      <c r="K295" s="481"/>
      <c r="L295" s="481"/>
      <c r="M295" s="478"/>
      <c r="N295" s="487"/>
      <c r="O295" s="473"/>
      <c r="P295" s="168"/>
      <c r="Q295" s="473"/>
      <c r="R295" s="1"/>
    </row>
    <row r="296" spans="1:18" ht="15.6" x14ac:dyDescent="0.3">
      <c r="A296" s="471">
        <v>34</v>
      </c>
      <c r="B296" s="471" t="s">
        <v>174</v>
      </c>
      <c r="C296" s="3">
        <v>16335</v>
      </c>
      <c r="D296" s="471">
        <v>0</v>
      </c>
      <c r="E296" s="471" t="s">
        <v>13</v>
      </c>
      <c r="F296" s="471">
        <v>550</v>
      </c>
      <c r="G296" s="479">
        <v>400</v>
      </c>
      <c r="H296" s="471" t="s">
        <v>107</v>
      </c>
      <c r="I296" s="471" t="s">
        <v>13</v>
      </c>
      <c r="J296" s="471" t="s">
        <v>13</v>
      </c>
      <c r="K296" s="471" t="s">
        <v>13</v>
      </c>
      <c r="L296" s="471" t="s">
        <v>13</v>
      </c>
      <c r="M296" s="476" t="s">
        <v>14</v>
      </c>
      <c r="N296" s="482" t="s">
        <v>207</v>
      </c>
      <c r="O296" s="471" t="s">
        <v>27</v>
      </c>
      <c r="P296" s="166"/>
      <c r="Q296" s="471" t="s">
        <v>176</v>
      </c>
      <c r="R296" s="1"/>
    </row>
    <row r="297" spans="1:18" ht="15.6" x14ac:dyDescent="0.3">
      <c r="A297" s="472"/>
      <c r="B297" s="472"/>
      <c r="C297" s="35">
        <v>5150</v>
      </c>
      <c r="D297" s="472"/>
      <c r="E297" s="472"/>
      <c r="F297" s="472"/>
      <c r="G297" s="480"/>
      <c r="H297" s="472"/>
      <c r="I297" s="472"/>
      <c r="J297" s="472"/>
      <c r="K297" s="472"/>
      <c r="L297" s="472"/>
      <c r="M297" s="477"/>
      <c r="N297" s="483"/>
      <c r="O297" s="472"/>
      <c r="P297" s="167"/>
      <c r="Q297" s="472"/>
      <c r="R297" s="1"/>
    </row>
    <row r="298" spans="1:18" ht="16.2" thickBot="1" x14ac:dyDescent="0.35">
      <c r="A298" s="473"/>
      <c r="B298" s="473"/>
      <c r="C298" s="4">
        <v>2477</v>
      </c>
      <c r="D298" s="473"/>
      <c r="E298" s="473"/>
      <c r="F298" s="473"/>
      <c r="G298" s="481"/>
      <c r="H298" s="473"/>
      <c r="I298" s="473"/>
      <c r="J298" s="473"/>
      <c r="K298" s="473"/>
      <c r="L298" s="473"/>
      <c r="M298" s="478"/>
      <c r="N298" s="484"/>
      <c r="O298" s="473"/>
      <c r="P298" s="168"/>
      <c r="Q298" s="473"/>
      <c r="R298" s="1"/>
    </row>
    <row r="299" spans="1:18" ht="15.6" x14ac:dyDescent="0.3">
      <c r="A299" s="471">
        <v>35</v>
      </c>
      <c r="B299" s="471" t="s">
        <v>174</v>
      </c>
      <c r="C299" s="3">
        <v>16335</v>
      </c>
      <c r="D299" s="471">
        <v>0</v>
      </c>
      <c r="E299" s="471" t="s">
        <v>13</v>
      </c>
      <c r="F299" s="471">
        <v>550</v>
      </c>
      <c r="G299" s="479">
        <v>400</v>
      </c>
      <c r="H299" s="471" t="s">
        <v>107</v>
      </c>
      <c r="I299" s="471" t="s">
        <v>13</v>
      </c>
      <c r="J299" s="471" t="s">
        <v>13</v>
      </c>
      <c r="K299" s="471" t="s">
        <v>13</v>
      </c>
      <c r="L299" s="471" t="s">
        <v>13</v>
      </c>
      <c r="M299" s="476" t="s">
        <v>14</v>
      </c>
      <c r="N299" s="482" t="s">
        <v>207</v>
      </c>
      <c r="O299" s="471" t="s">
        <v>27</v>
      </c>
      <c r="P299" s="166"/>
      <c r="Q299" s="471" t="s">
        <v>176</v>
      </c>
      <c r="R299" s="1"/>
    </row>
    <row r="300" spans="1:18" ht="15.6" x14ac:dyDescent="0.3">
      <c r="A300" s="472"/>
      <c r="B300" s="472"/>
      <c r="C300" s="35">
        <v>5500</v>
      </c>
      <c r="D300" s="472"/>
      <c r="E300" s="472"/>
      <c r="F300" s="472"/>
      <c r="G300" s="480"/>
      <c r="H300" s="472"/>
      <c r="I300" s="472"/>
      <c r="J300" s="472"/>
      <c r="K300" s="472"/>
      <c r="L300" s="472"/>
      <c r="M300" s="477"/>
      <c r="N300" s="483"/>
      <c r="O300" s="472"/>
      <c r="P300" s="167"/>
      <c r="Q300" s="472"/>
      <c r="R300" s="1"/>
    </row>
    <row r="301" spans="1:18" ht="16.2" thickBot="1" x14ac:dyDescent="0.35">
      <c r="A301" s="473"/>
      <c r="B301" s="473"/>
      <c r="C301" s="4">
        <v>2477</v>
      </c>
      <c r="D301" s="473"/>
      <c r="E301" s="473"/>
      <c r="F301" s="473"/>
      <c r="G301" s="481"/>
      <c r="H301" s="473"/>
      <c r="I301" s="473"/>
      <c r="J301" s="473"/>
      <c r="K301" s="473"/>
      <c r="L301" s="473"/>
      <c r="M301" s="478"/>
      <c r="N301" s="484"/>
      <c r="O301" s="473"/>
      <c r="P301" s="168"/>
      <c r="Q301" s="473"/>
      <c r="R301" s="1"/>
    </row>
    <row r="302" spans="1:18" ht="15.6" x14ac:dyDescent="0.3">
      <c r="A302" s="471">
        <v>36</v>
      </c>
      <c r="B302" s="471" t="s">
        <v>174</v>
      </c>
      <c r="C302" s="3">
        <v>17110</v>
      </c>
      <c r="D302" s="471">
        <v>0</v>
      </c>
      <c r="E302" s="471" t="s">
        <v>13</v>
      </c>
      <c r="F302" s="471">
        <v>550</v>
      </c>
      <c r="G302" s="479">
        <v>400</v>
      </c>
      <c r="H302" s="471" t="s">
        <v>107</v>
      </c>
      <c r="I302" s="471" t="s">
        <v>13</v>
      </c>
      <c r="J302" s="471" t="s">
        <v>13</v>
      </c>
      <c r="K302" s="471" t="s">
        <v>13</v>
      </c>
      <c r="L302" s="471" t="s">
        <v>13</v>
      </c>
      <c r="M302" s="476" t="s">
        <v>14</v>
      </c>
      <c r="N302" s="482" t="s">
        <v>207</v>
      </c>
      <c r="O302" s="471" t="s">
        <v>27</v>
      </c>
      <c r="P302" s="166"/>
      <c r="Q302" s="471" t="s">
        <v>176</v>
      </c>
      <c r="R302" s="1"/>
    </row>
    <row r="303" spans="1:18" ht="15.6" x14ac:dyDescent="0.3">
      <c r="A303" s="472"/>
      <c r="B303" s="472"/>
      <c r="C303" s="3">
        <v>7045</v>
      </c>
      <c r="D303" s="472"/>
      <c r="E303" s="472"/>
      <c r="F303" s="472"/>
      <c r="G303" s="480"/>
      <c r="H303" s="472"/>
      <c r="I303" s="472"/>
      <c r="J303" s="472"/>
      <c r="K303" s="472"/>
      <c r="L303" s="472"/>
      <c r="M303" s="477"/>
      <c r="N303" s="483"/>
      <c r="O303" s="472"/>
      <c r="P303" s="167"/>
      <c r="Q303" s="472"/>
      <c r="R303" s="1"/>
    </row>
    <row r="304" spans="1:18" ht="16.2" thickBot="1" x14ac:dyDescent="0.35">
      <c r="A304" s="473"/>
      <c r="B304" s="473"/>
      <c r="C304" s="4">
        <v>2477</v>
      </c>
      <c r="D304" s="473"/>
      <c r="E304" s="473"/>
      <c r="F304" s="473"/>
      <c r="G304" s="481"/>
      <c r="H304" s="473"/>
      <c r="I304" s="473"/>
      <c r="J304" s="473"/>
      <c r="K304" s="473"/>
      <c r="L304" s="473"/>
      <c r="M304" s="478"/>
      <c r="N304" s="484"/>
      <c r="O304" s="473"/>
      <c r="P304" s="168"/>
      <c r="Q304" s="473"/>
      <c r="R304" s="1"/>
    </row>
    <row r="305" spans="1:18" ht="15.6" x14ac:dyDescent="0.3">
      <c r="A305" s="385">
        <v>37</v>
      </c>
      <c r="B305" s="385" t="s">
        <v>200</v>
      </c>
      <c r="C305" s="43">
        <v>15960</v>
      </c>
      <c r="D305" s="385">
        <v>1</v>
      </c>
      <c r="E305" s="385" t="s">
        <v>201</v>
      </c>
      <c r="F305" s="388">
        <v>550</v>
      </c>
      <c r="G305" s="385">
        <v>400</v>
      </c>
      <c r="H305" s="385" t="s">
        <v>55</v>
      </c>
      <c r="I305" s="385">
        <v>300</v>
      </c>
      <c r="J305" s="385" t="s">
        <v>45</v>
      </c>
      <c r="K305" s="385">
        <v>90</v>
      </c>
      <c r="L305" s="385">
        <v>-27</v>
      </c>
      <c r="M305" s="355" t="s">
        <v>14</v>
      </c>
      <c r="N305" s="455" t="s">
        <v>207</v>
      </c>
      <c r="O305" s="388" t="s">
        <v>27</v>
      </c>
      <c r="P305" s="145"/>
      <c r="Q305" s="388" t="s">
        <v>212</v>
      </c>
      <c r="R305" s="1"/>
    </row>
    <row r="306" spans="1:18" ht="15.6" x14ac:dyDescent="0.3">
      <c r="A306" s="386"/>
      <c r="B306" s="386"/>
      <c r="C306" s="48">
        <v>2715</v>
      </c>
      <c r="D306" s="386"/>
      <c r="E306" s="386"/>
      <c r="F306" s="389"/>
      <c r="G306" s="386"/>
      <c r="H306" s="386"/>
      <c r="I306" s="386"/>
      <c r="J306" s="386"/>
      <c r="K306" s="386"/>
      <c r="L306" s="386"/>
      <c r="M306" s="356"/>
      <c r="N306" s="456"/>
      <c r="O306" s="389"/>
      <c r="P306" s="146"/>
      <c r="Q306" s="389"/>
      <c r="R306" s="1"/>
    </row>
    <row r="307" spans="1:18" ht="16.2" thickBot="1" x14ac:dyDescent="0.35">
      <c r="A307" s="387"/>
      <c r="B307" s="387"/>
      <c r="C307" s="44">
        <v>2477</v>
      </c>
      <c r="D307" s="387"/>
      <c r="E307" s="387"/>
      <c r="F307" s="390"/>
      <c r="G307" s="387"/>
      <c r="H307" s="387"/>
      <c r="I307" s="387"/>
      <c r="J307" s="387"/>
      <c r="K307" s="387"/>
      <c r="L307" s="387"/>
      <c r="M307" s="357"/>
      <c r="N307" s="457"/>
      <c r="O307" s="390"/>
      <c r="P307" s="147"/>
      <c r="Q307" s="390"/>
      <c r="R307" s="1"/>
    </row>
    <row r="308" spans="1:18" ht="15.6" x14ac:dyDescent="0.3">
      <c r="A308" s="471">
        <v>38</v>
      </c>
      <c r="B308" s="471" t="s">
        <v>174</v>
      </c>
      <c r="C308" s="3">
        <v>15700</v>
      </c>
      <c r="D308" s="471">
        <v>0</v>
      </c>
      <c r="E308" s="471" t="s">
        <v>13</v>
      </c>
      <c r="F308" s="471">
        <v>550</v>
      </c>
      <c r="G308" s="479">
        <v>400</v>
      </c>
      <c r="H308" s="471" t="s">
        <v>55</v>
      </c>
      <c r="I308" s="471" t="s">
        <v>13</v>
      </c>
      <c r="J308" s="471" t="s">
        <v>13</v>
      </c>
      <c r="K308" s="471" t="s">
        <v>13</v>
      </c>
      <c r="L308" s="471" t="s">
        <v>13</v>
      </c>
      <c r="M308" s="476" t="s">
        <v>14</v>
      </c>
      <c r="N308" s="482" t="s">
        <v>207</v>
      </c>
      <c r="O308" s="471" t="s">
        <v>27</v>
      </c>
      <c r="P308" s="166"/>
      <c r="Q308" s="471" t="s">
        <v>176</v>
      </c>
      <c r="R308" s="1"/>
    </row>
    <row r="309" spans="1:18" ht="15.6" x14ac:dyDescent="0.3">
      <c r="A309" s="472"/>
      <c r="B309" s="472"/>
      <c r="C309" s="35">
        <v>3250</v>
      </c>
      <c r="D309" s="472"/>
      <c r="E309" s="472"/>
      <c r="F309" s="472"/>
      <c r="G309" s="480"/>
      <c r="H309" s="472"/>
      <c r="I309" s="472"/>
      <c r="J309" s="472"/>
      <c r="K309" s="472"/>
      <c r="L309" s="472"/>
      <c r="M309" s="477"/>
      <c r="N309" s="483"/>
      <c r="O309" s="472"/>
      <c r="P309" s="167"/>
      <c r="Q309" s="472"/>
      <c r="R309" s="1"/>
    </row>
    <row r="310" spans="1:18" ht="16.2" thickBot="1" x14ac:dyDescent="0.35">
      <c r="A310" s="473"/>
      <c r="B310" s="473"/>
      <c r="C310" s="4">
        <v>2477</v>
      </c>
      <c r="D310" s="473"/>
      <c r="E310" s="473"/>
      <c r="F310" s="473"/>
      <c r="G310" s="481"/>
      <c r="H310" s="473"/>
      <c r="I310" s="473"/>
      <c r="J310" s="473"/>
      <c r="K310" s="473"/>
      <c r="L310" s="473"/>
      <c r="M310" s="478"/>
      <c r="N310" s="484"/>
      <c r="O310" s="473"/>
      <c r="P310" s="168"/>
      <c r="Q310" s="473"/>
      <c r="R310" s="1"/>
    </row>
    <row r="311" spans="1:18" ht="15.6" x14ac:dyDescent="0.3">
      <c r="A311" s="471">
        <v>39</v>
      </c>
      <c r="B311" s="471" t="s">
        <v>174</v>
      </c>
      <c r="C311" s="3">
        <v>15510</v>
      </c>
      <c r="D311" s="471">
        <v>0</v>
      </c>
      <c r="E311" s="471" t="s">
        <v>13</v>
      </c>
      <c r="F311" s="471">
        <v>550</v>
      </c>
      <c r="G311" s="479">
        <v>400</v>
      </c>
      <c r="H311" s="471" t="s">
        <v>55</v>
      </c>
      <c r="I311" s="471" t="s">
        <v>13</v>
      </c>
      <c r="J311" s="471" t="s">
        <v>13</v>
      </c>
      <c r="K311" s="471" t="s">
        <v>13</v>
      </c>
      <c r="L311" s="471" t="s">
        <v>13</v>
      </c>
      <c r="M311" s="476" t="s">
        <v>14</v>
      </c>
      <c r="N311" s="482" t="s">
        <v>207</v>
      </c>
      <c r="O311" s="471" t="s">
        <v>27</v>
      </c>
      <c r="P311" s="166"/>
      <c r="Q311" s="471" t="s">
        <v>176</v>
      </c>
      <c r="R311" s="1"/>
    </row>
    <row r="312" spans="1:18" ht="15.6" x14ac:dyDescent="0.3">
      <c r="A312" s="472"/>
      <c r="B312" s="472"/>
      <c r="C312" s="35">
        <v>6295</v>
      </c>
      <c r="D312" s="472"/>
      <c r="E312" s="472"/>
      <c r="F312" s="472"/>
      <c r="G312" s="480"/>
      <c r="H312" s="472"/>
      <c r="I312" s="472"/>
      <c r="J312" s="472"/>
      <c r="K312" s="472"/>
      <c r="L312" s="472"/>
      <c r="M312" s="477"/>
      <c r="N312" s="483"/>
      <c r="O312" s="472"/>
      <c r="P312" s="167"/>
      <c r="Q312" s="472"/>
      <c r="R312" s="1"/>
    </row>
    <row r="313" spans="1:18" ht="16.2" thickBot="1" x14ac:dyDescent="0.35">
      <c r="A313" s="473"/>
      <c r="B313" s="473"/>
      <c r="C313" s="4">
        <v>2477</v>
      </c>
      <c r="D313" s="473"/>
      <c r="E313" s="473"/>
      <c r="F313" s="473"/>
      <c r="G313" s="481"/>
      <c r="H313" s="473"/>
      <c r="I313" s="473"/>
      <c r="J313" s="473"/>
      <c r="K313" s="473"/>
      <c r="L313" s="473"/>
      <c r="M313" s="478"/>
      <c r="N313" s="484"/>
      <c r="O313" s="473"/>
      <c r="P313" s="168"/>
      <c r="Q313" s="473"/>
      <c r="R313" s="1"/>
    </row>
    <row r="314" spans="1:18" ht="16.2" thickBot="1" x14ac:dyDescent="0.35">
      <c r="A314" s="352" t="s">
        <v>72</v>
      </c>
      <c r="B314" s="353"/>
      <c r="C314" s="353"/>
      <c r="D314" s="353"/>
      <c r="E314" s="353"/>
      <c r="F314" s="353"/>
      <c r="G314" s="353"/>
      <c r="H314" s="353"/>
      <c r="I314" s="353"/>
      <c r="J314" s="353"/>
      <c r="K314" s="353"/>
      <c r="L314" s="353"/>
      <c r="M314" s="353"/>
      <c r="N314" s="353"/>
      <c r="O314" s="353"/>
      <c r="P314" s="353"/>
      <c r="Q314" s="354"/>
      <c r="R314" s="1"/>
    </row>
    <row r="315" spans="1:18" ht="15.6" x14ac:dyDescent="0.3">
      <c r="A315" s="488">
        <v>47</v>
      </c>
      <c r="B315" s="488" t="s">
        <v>200</v>
      </c>
      <c r="C315" s="54">
        <v>14700</v>
      </c>
      <c r="D315" s="488">
        <v>1</v>
      </c>
      <c r="E315" s="488" t="s">
        <v>201</v>
      </c>
      <c r="F315" s="488">
        <v>600</v>
      </c>
      <c r="G315" s="488">
        <v>600</v>
      </c>
      <c r="H315" s="488" t="s">
        <v>55</v>
      </c>
      <c r="I315" s="488">
        <v>300</v>
      </c>
      <c r="J315" s="488" t="s">
        <v>45</v>
      </c>
      <c r="K315" s="488">
        <v>90</v>
      </c>
      <c r="L315" s="488">
        <v>-27</v>
      </c>
      <c r="M315" s="494" t="s">
        <v>14</v>
      </c>
      <c r="N315" s="497" t="s">
        <v>222</v>
      </c>
      <c r="O315" s="491" t="s">
        <v>27</v>
      </c>
      <c r="P315" s="163"/>
      <c r="Q315" s="491" t="s">
        <v>202</v>
      </c>
      <c r="R315" s="1"/>
    </row>
    <row r="316" spans="1:18" ht="15.6" x14ac:dyDescent="0.3">
      <c r="A316" s="489"/>
      <c r="B316" s="489"/>
      <c r="C316" s="55">
        <v>3250</v>
      </c>
      <c r="D316" s="489"/>
      <c r="E316" s="489"/>
      <c r="F316" s="489"/>
      <c r="G316" s="489"/>
      <c r="H316" s="489"/>
      <c r="I316" s="489"/>
      <c r="J316" s="489"/>
      <c r="K316" s="489"/>
      <c r="L316" s="489"/>
      <c r="M316" s="495"/>
      <c r="N316" s="498"/>
      <c r="O316" s="492"/>
      <c r="P316" s="164"/>
      <c r="Q316" s="492"/>
      <c r="R316" s="1"/>
    </row>
    <row r="317" spans="1:18" ht="16.2" thickBot="1" x14ac:dyDescent="0.35">
      <c r="A317" s="490"/>
      <c r="B317" s="490"/>
      <c r="C317" s="56">
        <v>5890</v>
      </c>
      <c r="D317" s="490"/>
      <c r="E317" s="490"/>
      <c r="F317" s="490"/>
      <c r="G317" s="490"/>
      <c r="H317" s="490"/>
      <c r="I317" s="490"/>
      <c r="J317" s="490"/>
      <c r="K317" s="490"/>
      <c r="L317" s="490"/>
      <c r="M317" s="496"/>
      <c r="N317" s="499"/>
      <c r="O317" s="493"/>
      <c r="P317" s="165"/>
      <c r="Q317" s="493"/>
      <c r="R317" s="1"/>
    </row>
    <row r="318" spans="1:18" ht="15.6" x14ac:dyDescent="0.3">
      <c r="A318" s="488">
        <v>48</v>
      </c>
      <c r="B318" s="488" t="s">
        <v>200</v>
      </c>
      <c r="C318" s="54">
        <v>18200</v>
      </c>
      <c r="D318" s="488">
        <v>1</v>
      </c>
      <c r="E318" s="488" t="s">
        <v>201</v>
      </c>
      <c r="F318" s="488">
        <v>600</v>
      </c>
      <c r="G318" s="488">
        <v>600</v>
      </c>
      <c r="H318" s="488" t="s">
        <v>55</v>
      </c>
      <c r="I318" s="488">
        <v>60</v>
      </c>
      <c r="J318" s="488" t="s">
        <v>223</v>
      </c>
      <c r="K318" s="488">
        <v>30</v>
      </c>
      <c r="L318" s="488">
        <v>33</v>
      </c>
      <c r="M318" s="494" t="s">
        <v>14</v>
      </c>
      <c r="N318" s="497" t="s">
        <v>222</v>
      </c>
      <c r="O318" s="491" t="s">
        <v>27</v>
      </c>
      <c r="P318" s="163"/>
      <c r="Q318" s="491" t="s">
        <v>224</v>
      </c>
      <c r="R318" s="1"/>
    </row>
    <row r="319" spans="1:18" ht="15.6" x14ac:dyDescent="0.3">
      <c r="A319" s="489"/>
      <c r="B319" s="489"/>
      <c r="C319" s="55">
        <v>2950</v>
      </c>
      <c r="D319" s="489"/>
      <c r="E319" s="489"/>
      <c r="F319" s="489"/>
      <c r="G319" s="489"/>
      <c r="H319" s="489"/>
      <c r="I319" s="489"/>
      <c r="J319" s="489"/>
      <c r="K319" s="489"/>
      <c r="L319" s="489"/>
      <c r="M319" s="495"/>
      <c r="N319" s="498"/>
      <c r="O319" s="492"/>
      <c r="P319" s="164"/>
      <c r="Q319" s="492"/>
      <c r="R319" s="1"/>
    </row>
    <row r="320" spans="1:18" ht="16.2" thickBot="1" x14ac:dyDescent="0.35">
      <c r="A320" s="490"/>
      <c r="B320" s="490"/>
      <c r="C320" s="56">
        <v>2865</v>
      </c>
      <c r="D320" s="490"/>
      <c r="E320" s="490"/>
      <c r="F320" s="490"/>
      <c r="G320" s="490"/>
      <c r="H320" s="490"/>
      <c r="I320" s="490"/>
      <c r="J320" s="490"/>
      <c r="K320" s="490"/>
      <c r="L320" s="490"/>
      <c r="M320" s="496"/>
      <c r="N320" s="499"/>
      <c r="O320" s="493"/>
      <c r="P320" s="165"/>
      <c r="Q320" s="493"/>
      <c r="R320" s="1"/>
    </row>
    <row r="321" spans="1:18" ht="15.6" x14ac:dyDescent="0.3">
      <c r="A321" s="488">
        <v>49</v>
      </c>
      <c r="B321" s="488" t="s">
        <v>200</v>
      </c>
      <c r="C321" s="54">
        <v>18200</v>
      </c>
      <c r="D321" s="488">
        <v>1</v>
      </c>
      <c r="E321" s="488" t="s">
        <v>201</v>
      </c>
      <c r="F321" s="488">
        <v>600</v>
      </c>
      <c r="G321" s="488">
        <v>600</v>
      </c>
      <c r="H321" s="488" t="s">
        <v>55</v>
      </c>
      <c r="I321" s="488">
        <v>60</v>
      </c>
      <c r="J321" s="488" t="s">
        <v>225</v>
      </c>
      <c r="K321" s="488">
        <v>30</v>
      </c>
      <c r="L321" s="488">
        <v>33</v>
      </c>
      <c r="M321" s="494" t="s">
        <v>14</v>
      </c>
      <c r="N321" s="497" t="s">
        <v>222</v>
      </c>
      <c r="O321" s="491" t="s">
        <v>27</v>
      </c>
      <c r="P321" s="163"/>
      <c r="Q321" s="491" t="s">
        <v>224</v>
      </c>
      <c r="R321" s="1"/>
    </row>
    <row r="322" spans="1:18" ht="15.6" x14ac:dyDescent="0.3">
      <c r="A322" s="489"/>
      <c r="B322" s="489"/>
      <c r="C322" s="55">
        <v>4270</v>
      </c>
      <c r="D322" s="489"/>
      <c r="E322" s="489"/>
      <c r="F322" s="489"/>
      <c r="G322" s="489"/>
      <c r="H322" s="489"/>
      <c r="I322" s="489"/>
      <c r="J322" s="489"/>
      <c r="K322" s="489"/>
      <c r="L322" s="489"/>
      <c r="M322" s="495"/>
      <c r="N322" s="498"/>
      <c r="O322" s="492"/>
      <c r="P322" s="164"/>
      <c r="Q322" s="492"/>
      <c r="R322" s="1"/>
    </row>
    <row r="323" spans="1:18" ht="16.2" thickBot="1" x14ac:dyDescent="0.35">
      <c r="A323" s="490"/>
      <c r="B323" s="490"/>
      <c r="C323" s="56">
        <v>3025</v>
      </c>
      <c r="D323" s="490"/>
      <c r="E323" s="490"/>
      <c r="F323" s="490"/>
      <c r="G323" s="490"/>
      <c r="H323" s="490"/>
      <c r="I323" s="490"/>
      <c r="J323" s="490"/>
      <c r="K323" s="490"/>
      <c r="L323" s="490"/>
      <c r="M323" s="496"/>
      <c r="N323" s="499"/>
      <c r="O323" s="493"/>
      <c r="P323" s="165"/>
      <c r="Q323" s="493"/>
      <c r="R323" s="1"/>
    </row>
    <row r="324" spans="1:18" ht="15.6" x14ac:dyDescent="0.3">
      <c r="A324" s="488">
        <v>50</v>
      </c>
      <c r="B324" s="488" t="s">
        <v>200</v>
      </c>
      <c r="C324" s="54">
        <v>18200</v>
      </c>
      <c r="D324" s="488">
        <v>1</v>
      </c>
      <c r="E324" s="488" t="s">
        <v>201</v>
      </c>
      <c r="F324" s="488">
        <v>600</v>
      </c>
      <c r="G324" s="488">
        <v>600</v>
      </c>
      <c r="H324" s="488" t="s">
        <v>55</v>
      </c>
      <c r="I324" s="488">
        <v>60</v>
      </c>
      <c r="J324" s="488" t="s">
        <v>226</v>
      </c>
      <c r="K324" s="488">
        <v>30</v>
      </c>
      <c r="L324" s="488">
        <v>33</v>
      </c>
      <c r="M324" s="494" t="s">
        <v>14</v>
      </c>
      <c r="N324" s="497" t="s">
        <v>222</v>
      </c>
      <c r="O324" s="491" t="s">
        <v>27</v>
      </c>
      <c r="P324" s="163"/>
      <c r="Q324" s="491" t="s">
        <v>224</v>
      </c>
      <c r="R324" s="1"/>
    </row>
    <row r="325" spans="1:18" ht="15.6" x14ac:dyDescent="0.3">
      <c r="A325" s="489"/>
      <c r="B325" s="489"/>
      <c r="C325" s="55">
        <v>5155</v>
      </c>
      <c r="D325" s="489"/>
      <c r="E325" s="489"/>
      <c r="F325" s="489"/>
      <c r="G325" s="489"/>
      <c r="H325" s="489"/>
      <c r="I325" s="489"/>
      <c r="J325" s="489"/>
      <c r="K325" s="489"/>
      <c r="L325" s="489"/>
      <c r="M325" s="495"/>
      <c r="N325" s="498"/>
      <c r="O325" s="492"/>
      <c r="P325" s="164"/>
      <c r="Q325" s="492"/>
      <c r="R325" s="1"/>
    </row>
    <row r="326" spans="1:18" ht="16.2" thickBot="1" x14ac:dyDescent="0.35">
      <c r="A326" s="490"/>
      <c r="B326" s="490"/>
      <c r="C326" s="56">
        <v>3025</v>
      </c>
      <c r="D326" s="490"/>
      <c r="E326" s="490"/>
      <c r="F326" s="490"/>
      <c r="G326" s="490"/>
      <c r="H326" s="490"/>
      <c r="I326" s="490"/>
      <c r="J326" s="490"/>
      <c r="K326" s="490"/>
      <c r="L326" s="490"/>
      <c r="M326" s="496"/>
      <c r="N326" s="499"/>
      <c r="O326" s="493"/>
      <c r="P326" s="165"/>
      <c r="Q326" s="493"/>
      <c r="R326" s="1"/>
    </row>
    <row r="327" spans="1:18" ht="15.6" x14ac:dyDescent="0.3">
      <c r="A327" s="488">
        <v>51</v>
      </c>
      <c r="B327" s="488" t="s">
        <v>200</v>
      </c>
      <c r="C327" s="54">
        <v>18200</v>
      </c>
      <c r="D327" s="488">
        <v>1</v>
      </c>
      <c r="E327" s="488" t="s">
        <v>201</v>
      </c>
      <c r="F327" s="488">
        <v>600</v>
      </c>
      <c r="G327" s="488">
        <v>600</v>
      </c>
      <c r="H327" s="488" t="s">
        <v>55</v>
      </c>
      <c r="I327" s="488">
        <v>60</v>
      </c>
      <c r="J327" s="488" t="s">
        <v>227</v>
      </c>
      <c r="K327" s="488">
        <v>30</v>
      </c>
      <c r="L327" s="488">
        <v>33</v>
      </c>
      <c r="M327" s="494" t="s">
        <v>14</v>
      </c>
      <c r="N327" s="497" t="s">
        <v>222</v>
      </c>
      <c r="O327" s="491" t="s">
        <v>27</v>
      </c>
      <c r="P327" s="163"/>
      <c r="Q327" s="491" t="s">
        <v>224</v>
      </c>
      <c r="R327" s="1"/>
    </row>
    <row r="328" spans="1:18" ht="15.6" x14ac:dyDescent="0.3">
      <c r="A328" s="489"/>
      <c r="B328" s="489"/>
      <c r="C328" s="55">
        <v>6750</v>
      </c>
      <c r="D328" s="489"/>
      <c r="E328" s="489"/>
      <c r="F328" s="489"/>
      <c r="G328" s="489"/>
      <c r="H328" s="489"/>
      <c r="I328" s="489"/>
      <c r="J328" s="489"/>
      <c r="K328" s="489"/>
      <c r="L328" s="489"/>
      <c r="M328" s="495"/>
      <c r="N328" s="498"/>
      <c r="O328" s="492"/>
      <c r="P328" s="164"/>
      <c r="Q328" s="492"/>
      <c r="R328" s="1"/>
    </row>
    <row r="329" spans="1:18" ht="16.2" thickBot="1" x14ac:dyDescent="0.35">
      <c r="A329" s="490"/>
      <c r="B329" s="490"/>
      <c r="C329" s="56">
        <v>2865</v>
      </c>
      <c r="D329" s="490"/>
      <c r="E329" s="490"/>
      <c r="F329" s="490"/>
      <c r="G329" s="490"/>
      <c r="H329" s="490"/>
      <c r="I329" s="490"/>
      <c r="J329" s="490"/>
      <c r="K329" s="490"/>
      <c r="L329" s="490"/>
      <c r="M329" s="496"/>
      <c r="N329" s="499"/>
      <c r="O329" s="493"/>
      <c r="P329" s="165"/>
      <c r="Q329" s="493"/>
      <c r="R329" s="1"/>
    </row>
    <row r="330" spans="1:18" ht="15.6" x14ac:dyDescent="0.3">
      <c r="A330" s="488">
        <v>52</v>
      </c>
      <c r="B330" s="488" t="s">
        <v>200</v>
      </c>
      <c r="C330" s="54">
        <v>18200</v>
      </c>
      <c r="D330" s="488">
        <v>1</v>
      </c>
      <c r="E330" s="488" t="s">
        <v>204</v>
      </c>
      <c r="F330" s="488">
        <v>600</v>
      </c>
      <c r="G330" s="488">
        <v>600</v>
      </c>
      <c r="H330" s="488" t="s">
        <v>107</v>
      </c>
      <c r="I330" s="488">
        <v>60</v>
      </c>
      <c r="J330" s="488">
        <f>-0.17/0.25</f>
        <v>-0.68</v>
      </c>
      <c r="K330" s="488">
        <v>30</v>
      </c>
      <c r="L330" s="488">
        <v>3</v>
      </c>
      <c r="M330" s="494" t="s">
        <v>14</v>
      </c>
      <c r="N330" s="497" t="s">
        <v>222</v>
      </c>
      <c r="O330" s="491" t="s">
        <v>27</v>
      </c>
      <c r="P330" s="163"/>
      <c r="Q330" s="491" t="s">
        <v>228</v>
      </c>
      <c r="R330" s="1"/>
    </row>
    <row r="331" spans="1:18" ht="15.6" x14ac:dyDescent="0.3">
      <c r="A331" s="489"/>
      <c r="B331" s="489"/>
      <c r="C331" s="55">
        <v>5620</v>
      </c>
      <c r="D331" s="489"/>
      <c r="E331" s="489"/>
      <c r="F331" s="489"/>
      <c r="G331" s="489"/>
      <c r="H331" s="489"/>
      <c r="I331" s="489"/>
      <c r="J331" s="489"/>
      <c r="K331" s="489"/>
      <c r="L331" s="489"/>
      <c r="M331" s="495"/>
      <c r="N331" s="498"/>
      <c r="O331" s="492"/>
      <c r="P331" s="164"/>
      <c r="Q331" s="492"/>
      <c r="R331" s="1"/>
    </row>
    <row r="332" spans="1:18" ht="16.2" thickBot="1" x14ac:dyDescent="0.35">
      <c r="A332" s="490"/>
      <c r="B332" s="490"/>
      <c r="C332" s="56">
        <v>3360</v>
      </c>
      <c r="D332" s="490"/>
      <c r="E332" s="490"/>
      <c r="F332" s="490"/>
      <c r="G332" s="490"/>
      <c r="H332" s="490"/>
      <c r="I332" s="490"/>
      <c r="J332" s="490"/>
      <c r="K332" s="490"/>
      <c r="L332" s="490"/>
      <c r="M332" s="496"/>
      <c r="N332" s="499"/>
      <c r="O332" s="493"/>
      <c r="P332" s="165"/>
      <c r="Q332" s="493"/>
      <c r="R332" s="1"/>
    </row>
    <row r="333" spans="1:18" ht="15.6" x14ac:dyDescent="0.3">
      <c r="A333" s="488">
        <v>53</v>
      </c>
      <c r="B333" s="488" t="s">
        <v>200</v>
      </c>
      <c r="C333" s="54">
        <v>18200</v>
      </c>
      <c r="D333" s="488">
        <v>1</v>
      </c>
      <c r="E333" s="488" t="s">
        <v>204</v>
      </c>
      <c r="F333" s="488">
        <v>600</v>
      </c>
      <c r="G333" s="488">
        <v>600</v>
      </c>
      <c r="H333" s="488" t="s">
        <v>107</v>
      </c>
      <c r="I333" s="488">
        <v>60</v>
      </c>
      <c r="J333" s="488" t="s">
        <v>229</v>
      </c>
      <c r="K333" s="488">
        <v>30</v>
      </c>
      <c r="L333" s="488">
        <v>3</v>
      </c>
      <c r="M333" s="494" t="s">
        <v>14</v>
      </c>
      <c r="N333" s="497" t="s">
        <v>222</v>
      </c>
      <c r="O333" s="491" t="s">
        <v>27</v>
      </c>
      <c r="P333" s="163"/>
      <c r="Q333" s="491" t="s">
        <v>228</v>
      </c>
      <c r="R333" s="1"/>
    </row>
    <row r="334" spans="1:18" ht="15.6" x14ac:dyDescent="0.3">
      <c r="A334" s="489"/>
      <c r="B334" s="489"/>
      <c r="C334" s="55">
        <v>5620</v>
      </c>
      <c r="D334" s="489"/>
      <c r="E334" s="489"/>
      <c r="F334" s="489"/>
      <c r="G334" s="489"/>
      <c r="H334" s="489"/>
      <c r="I334" s="489"/>
      <c r="J334" s="489"/>
      <c r="K334" s="489"/>
      <c r="L334" s="489"/>
      <c r="M334" s="495"/>
      <c r="N334" s="498"/>
      <c r="O334" s="492"/>
      <c r="P334" s="164"/>
      <c r="Q334" s="492"/>
      <c r="R334" s="1"/>
    </row>
    <row r="335" spans="1:18" ht="16.2" thickBot="1" x14ac:dyDescent="0.35">
      <c r="A335" s="490"/>
      <c r="B335" s="490"/>
      <c r="C335" s="56">
        <v>4025</v>
      </c>
      <c r="D335" s="490"/>
      <c r="E335" s="490"/>
      <c r="F335" s="490"/>
      <c r="G335" s="490"/>
      <c r="H335" s="490"/>
      <c r="I335" s="490"/>
      <c r="J335" s="490"/>
      <c r="K335" s="490"/>
      <c r="L335" s="490"/>
      <c r="M335" s="496"/>
      <c r="N335" s="499"/>
      <c r="O335" s="493"/>
      <c r="P335" s="165"/>
      <c r="Q335" s="493"/>
      <c r="R335" s="1"/>
    </row>
    <row r="336" spans="1:18" ht="15.6" x14ac:dyDescent="0.3">
      <c r="A336" s="488">
        <v>54</v>
      </c>
      <c r="B336" s="488" t="s">
        <v>230</v>
      </c>
      <c r="C336" s="54">
        <v>16430</v>
      </c>
      <c r="D336" s="488">
        <v>2</v>
      </c>
      <c r="E336" s="488" t="s">
        <v>231</v>
      </c>
      <c r="F336" s="491">
        <v>1220</v>
      </c>
      <c r="G336" s="488">
        <v>1200</v>
      </c>
      <c r="H336" s="488" t="s">
        <v>25</v>
      </c>
      <c r="I336" s="488">
        <v>60</v>
      </c>
      <c r="J336" s="488">
        <f>-0.6/0.14</f>
        <v>-4.2857142857142856</v>
      </c>
      <c r="K336" s="491" t="s">
        <v>193</v>
      </c>
      <c r="L336" s="491" t="s">
        <v>13</v>
      </c>
      <c r="M336" s="494" t="s">
        <v>14</v>
      </c>
      <c r="N336" s="497" t="s">
        <v>222</v>
      </c>
      <c r="O336" s="491" t="s">
        <v>27</v>
      </c>
      <c r="P336" s="163"/>
      <c r="Q336" s="488" t="s">
        <v>232</v>
      </c>
      <c r="R336" s="1"/>
    </row>
    <row r="337" spans="1:18" ht="16.2" thickBot="1" x14ac:dyDescent="0.35">
      <c r="A337" s="489"/>
      <c r="B337" s="490"/>
      <c r="C337" s="55">
        <v>1202</v>
      </c>
      <c r="D337" s="489"/>
      <c r="E337" s="490"/>
      <c r="F337" s="492"/>
      <c r="G337" s="489"/>
      <c r="H337" s="489"/>
      <c r="I337" s="490"/>
      <c r="J337" s="490"/>
      <c r="K337" s="492"/>
      <c r="L337" s="492"/>
      <c r="M337" s="495"/>
      <c r="N337" s="498"/>
      <c r="O337" s="492"/>
      <c r="P337" s="164"/>
      <c r="Q337" s="489"/>
      <c r="R337" s="1"/>
    </row>
    <row r="338" spans="1:18" ht="16.2" thickBot="1" x14ac:dyDescent="0.35">
      <c r="A338" s="490"/>
      <c r="B338" s="56" t="s">
        <v>230</v>
      </c>
      <c r="C338" s="56">
        <v>5500</v>
      </c>
      <c r="D338" s="490"/>
      <c r="E338" s="56" t="s">
        <v>231</v>
      </c>
      <c r="F338" s="493"/>
      <c r="G338" s="490"/>
      <c r="H338" s="490"/>
      <c r="I338" s="56">
        <v>60</v>
      </c>
      <c r="J338" s="56">
        <f>-0.52/-0.22</f>
        <v>2.3636363636363638</v>
      </c>
      <c r="K338" s="493"/>
      <c r="L338" s="493"/>
      <c r="M338" s="496"/>
      <c r="N338" s="499"/>
      <c r="O338" s="493"/>
      <c r="P338" s="165"/>
      <c r="Q338" s="490"/>
      <c r="R338" s="1"/>
    </row>
    <row r="339" spans="1:18" ht="15.6" x14ac:dyDescent="0.3">
      <c r="A339" s="488">
        <v>55</v>
      </c>
      <c r="B339" s="488" t="s">
        <v>174</v>
      </c>
      <c r="C339" s="54">
        <v>17348</v>
      </c>
      <c r="D339" s="488">
        <v>0</v>
      </c>
      <c r="E339" s="488" t="s">
        <v>13</v>
      </c>
      <c r="F339" s="491">
        <v>1220</v>
      </c>
      <c r="G339" s="488">
        <v>1200</v>
      </c>
      <c r="H339" s="488" t="s">
        <v>25</v>
      </c>
      <c r="I339" s="488" t="s">
        <v>13</v>
      </c>
      <c r="J339" s="488" t="s">
        <v>13</v>
      </c>
      <c r="K339" s="488" t="s">
        <v>13</v>
      </c>
      <c r="L339" s="488">
        <v>0</v>
      </c>
      <c r="M339" s="494" t="s">
        <v>14</v>
      </c>
      <c r="N339" s="497" t="s">
        <v>222</v>
      </c>
      <c r="O339" s="491" t="s">
        <v>27</v>
      </c>
      <c r="P339" s="163"/>
      <c r="Q339" s="491" t="s">
        <v>184</v>
      </c>
      <c r="R339" s="1"/>
    </row>
    <row r="340" spans="1:18" ht="15.6" x14ac:dyDescent="0.3">
      <c r="A340" s="489"/>
      <c r="B340" s="489"/>
      <c r="C340" s="55">
        <v>1089</v>
      </c>
      <c r="D340" s="489"/>
      <c r="E340" s="489"/>
      <c r="F340" s="492"/>
      <c r="G340" s="489"/>
      <c r="H340" s="489"/>
      <c r="I340" s="489"/>
      <c r="J340" s="489"/>
      <c r="K340" s="489"/>
      <c r="L340" s="489"/>
      <c r="M340" s="495"/>
      <c r="N340" s="498"/>
      <c r="O340" s="492"/>
      <c r="P340" s="164"/>
      <c r="Q340" s="492"/>
      <c r="R340" s="1"/>
    </row>
    <row r="341" spans="1:18" ht="16.2" thickBot="1" x14ac:dyDescent="0.35">
      <c r="A341" s="490"/>
      <c r="B341" s="490"/>
      <c r="C341" s="56">
        <v>5500</v>
      </c>
      <c r="D341" s="490"/>
      <c r="E341" s="490"/>
      <c r="F341" s="493"/>
      <c r="G341" s="490"/>
      <c r="H341" s="490"/>
      <c r="I341" s="490"/>
      <c r="J341" s="490"/>
      <c r="K341" s="490"/>
      <c r="L341" s="490"/>
      <c r="M341" s="496"/>
      <c r="N341" s="499"/>
      <c r="O341" s="493"/>
      <c r="P341" s="165"/>
      <c r="Q341" s="493"/>
      <c r="R341" s="1"/>
    </row>
    <row r="342" spans="1:18" ht="15.6" x14ac:dyDescent="0.3">
      <c r="A342" s="488">
        <v>56</v>
      </c>
      <c r="B342" s="488" t="s">
        <v>200</v>
      </c>
      <c r="C342" s="54">
        <v>14700</v>
      </c>
      <c r="D342" s="488">
        <v>1</v>
      </c>
      <c r="E342" s="488" t="s">
        <v>201</v>
      </c>
      <c r="F342" s="488">
        <v>594</v>
      </c>
      <c r="G342" s="488">
        <v>600</v>
      </c>
      <c r="H342" s="488" t="s">
        <v>55</v>
      </c>
      <c r="I342" s="488">
        <v>300</v>
      </c>
      <c r="J342" s="488" t="s">
        <v>45</v>
      </c>
      <c r="K342" s="488">
        <v>90</v>
      </c>
      <c r="L342" s="488">
        <v>-27</v>
      </c>
      <c r="M342" s="494" t="s">
        <v>14</v>
      </c>
      <c r="N342" s="497" t="s">
        <v>222</v>
      </c>
      <c r="O342" s="491" t="s">
        <v>27</v>
      </c>
      <c r="P342" s="163"/>
      <c r="Q342" s="491" t="s">
        <v>202</v>
      </c>
      <c r="R342" s="1"/>
    </row>
    <row r="343" spans="1:18" ht="15.6" x14ac:dyDescent="0.3">
      <c r="A343" s="489"/>
      <c r="B343" s="489"/>
      <c r="C343" s="55">
        <v>4695</v>
      </c>
      <c r="D343" s="489"/>
      <c r="E343" s="489"/>
      <c r="F343" s="489"/>
      <c r="G343" s="489"/>
      <c r="H343" s="489"/>
      <c r="I343" s="489"/>
      <c r="J343" s="489"/>
      <c r="K343" s="489"/>
      <c r="L343" s="489"/>
      <c r="M343" s="495"/>
      <c r="N343" s="498"/>
      <c r="O343" s="492"/>
      <c r="P343" s="164"/>
      <c r="Q343" s="492"/>
      <c r="R343" s="1"/>
    </row>
    <row r="344" spans="1:18" ht="16.2" thickBot="1" x14ac:dyDescent="0.35">
      <c r="A344" s="490"/>
      <c r="B344" s="490"/>
      <c r="C344" s="56">
        <v>3280</v>
      </c>
      <c r="D344" s="490"/>
      <c r="E344" s="490"/>
      <c r="F344" s="490"/>
      <c r="G344" s="490"/>
      <c r="H344" s="490"/>
      <c r="I344" s="490"/>
      <c r="J344" s="490"/>
      <c r="K344" s="490"/>
      <c r="L344" s="490"/>
      <c r="M344" s="496"/>
      <c r="N344" s="499"/>
      <c r="O344" s="493"/>
      <c r="P344" s="165"/>
      <c r="Q344" s="493"/>
      <c r="R344" s="1"/>
    </row>
    <row r="345" spans="1:18" ht="15.6" x14ac:dyDescent="0.3">
      <c r="A345" s="488">
        <v>57</v>
      </c>
      <c r="B345" s="488" t="s">
        <v>200</v>
      </c>
      <c r="C345" s="54">
        <v>14700</v>
      </c>
      <c r="D345" s="488">
        <v>1</v>
      </c>
      <c r="E345" s="488" t="s">
        <v>201</v>
      </c>
      <c r="F345" s="488">
        <v>594</v>
      </c>
      <c r="G345" s="488">
        <v>600</v>
      </c>
      <c r="H345" s="488" t="s">
        <v>55</v>
      </c>
      <c r="I345" s="488">
        <v>60</v>
      </c>
      <c r="J345" s="488">
        <f>-1.15/1.92</f>
        <v>-0.59895833333333326</v>
      </c>
      <c r="K345" s="488">
        <v>30</v>
      </c>
      <c r="L345" s="488">
        <v>33</v>
      </c>
      <c r="M345" s="494" t="s">
        <v>14</v>
      </c>
      <c r="N345" s="497" t="s">
        <v>222</v>
      </c>
      <c r="O345" s="491" t="s">
        <v>27</v>
      </c>
      <c r="P345" s="163"/>
      <c r="Q345" s="491" t="s">
        <v>224</v>
      </c>
      <c r="R345" s="1"/>
    </row>
    <row r="346" spans="1:18" ht="15.6" x14ac:dyDescent="0.3">
      <c r="A346" s="489"/>
      <c r="B346" s="489"/>
      <c r="C346" s="55">
        <v>7505</v>
      </c>
      <c r="D346" s="489"/>
      <c r="E346" s="489"/>
      <c r="F346" s="489"/>
      <c r="G346" s="489"/>
      <c r="H346" s="489"/>
      <c r="I346" s="489"/>
      <c r="J346" s="489"/>
      <c r="K346" s="489"/>
      <c r="L346" s="489"/>
      <c r="M346" s="495"/>
      <c r="N346" s="498"/>
      <c r="O346" s="492"/>
      <c r="P346" s="164"/>
      <c r="Q346" s="492"/>
      <c r="R346" s="1"/>
    </row>
    <row r="347" spans="1:18" ht="16.2" thickBot="1" x14ac:dyDescent="0.35">
      <c r="A347" s="490"/>
      <c r="B347" s="490"/>
      <c r="C347" s="56">
        <v>3590</v>
      </c>
      <c r="D347" s="490"/>
      <c r="E347" s="490"/>
      <c r="F347" s="490"/>
      <c r="G347" s="490"/>
      <c r="H347" s="490"/>
      <c r="I347" s="490"/>
      <c r="J347" s="490"/>
      <c r="K347" s="490"/>
      <c r="L347" s="490"/>
      <c r="M347" s="496"/>
      <c r="N347" s="499"/>
      <c r="O347" s="493"/>
      <c r="P347" s="165"/>
      <c r="Q347" s="493"/>
      <c r="R347" s="1"/>
    </row>
    <row r="348" spans="1:18" ht="15.6" x14ac:dyDescent="0.3">
      <c r="A348" s="488">
        <v>58</v>
      </c>
      <c r="B348" s="488" t="s">
        <v>200</v>
      </c>
      <c r="C348" s="54">
        <v>14700</v>
      </c>
      <c r="D348" s="488">
        <v>1</v>
      </c>
      <c r="E348" s="488" t="s">
        <v>201</v>
      </c>
      <c r="F348" s="488">
        <v>594</v>
      </c>
      <c r="G348" s="488">
        <v>600</v>
      </c>
      <c r="H348" s="488" t="s">
        <v>55</v>
      </c>
      <c r="I348" s="488">
        <v>60</v>
      </c>
      <c r="J348" s="488">
        <f>-1.72/1.15</f>
        <v>-1.4956521739130435</v>
      </c>
      <c r="K348" s="488">
        <v>30</v>
      </c>
      <c r="L348" s="488">
        <v>33</v>
      </c>
      <c r="M348" s="494" t="s">
        <v>14</v>
      </c>
      <c r="N348" s="500" t="s">
        <v>222</v>
      </c>
      <c r="O348" s="491" t="s">
        <v>27</v>
      </c>
      <c r="P348" s="163"/>
      <c r="Q348" s="491" t="s">
        <v>224</v>
      </c>
      <c r="R348" s="1"/>
    </row>
    <row r="349" spans="1:18" ht="15.6" x14ac:dyDescent="0.3">
      <c r="A349" s="489"/>
      <c r="B349" s="489"/>
      <c r="C349" s="55">
        <v>7250</v>
      </c>
      <c r="D349" s="489"/>
      <c r="E349" s="489"/>
      <c r="F349" s="489"/>
      <c r="G349" s="489"/>
      <c r="H349" s="489"/>
      <c r="I349" s="489"/>
      <c r="J349" s="489"/>
      <c r="K349" s="489"/>
      <c r="L349" s="489"/>
      <c r="M349" s="495"/>
      <c r="N349" s="501"/>
      <c r="O349" s="492"/>
      <c r="P349" s="164"/>
      <c r="Q349" s="492"/>
      <c r="R349" s="1"/>
    </row>
    <row r="350" spans="1:18" ht="16.2" thickBot="1" x14ac:dyDescent="0.35">
      <c r="A350" s="490"/>
      <c r="B350" s="490"/>
      <c r="C350" s="56">
        <v>5605</v>
      </c>
      <c r="D350" s="490"/>
      <c r="E350" s="490"/>
      <c r="F350" s="490"/>
      <c r="G350" s="490"/>
      <c r="H350" s="490"/>
      <c r="I350" s="490"/>
      <c r="J350" s="490"/>
      <c r="K350" s="490"/>
      <c r="L350" s="490"/>
      <c r="M350" s="496"/>
      <c r="N350" s="502"/>
      <c r="O350" s="493"/>
      <c r="P350" s="165"/>
      <c r="Q350" s="493"/>
      <c r="R350" s="1"/>
    </row>
    <row r="351" spans="1:18" ht="16.2" thickBot="1" x14ac:dyDescent="0.35">
      <c r="A351" s="352" t="s">
        <v>73</v>
      </c>
      <c r="B351" s="353"/>
      <c r="C351" s="353"/>
      <c r="D351" s="353"/>
      <c r="E351" s="353"/>
      <c r="F351" s="353"/>
      <c r="G351" s="353"/>
      <c r="H351" s="353"/>
      <c r="I351" s="353"/>
      <c r="J351" s="353"/>
      <c r="K351" s="353"/>
      <c r="L351" s="353"/>
      <c r="M351" s="353"/>
      <c r="N351" s="353"/>
      <c r="O351" s="353"/>
      <c r="P351" s="353"/>
      <c r="Q351" s="354"/>
      <c r="R351" s="1"/>
    </row>
    <row r="352" spans="1:18" ht="15.6" x14ac:dyDescent="0.3">
      <c r="A352" s="373">
        <v>59</v>
      </c>
      <c r="B352" s="373" t="s">
        <v>233</v>
      </c>
      <c r="C352" s="49">
        <v>-5085</v>
      </c>
      <c r="D352" s="373">
        <v>1</v>
      </c>
      <c r="E352" s="373" t="s">
        <v>94</v>
      </c>
      <c r="F352" s="373">
        <v>1450</v>
      </c>
      <c r="G352" s="373">
        <v>1200</v>
      </c>
      <c r="H352" s="373" t="s">
        <v>44</v>
      </c>
      <c r="I352" s="373">
        <v>100</v>
      </c>
      <c r="J352" s="376" t="s">
        <v>45</v>
      </c>
      <c r="K352" s="373">
        <v>30</v>
      </c>
      <c r="L352" s="373">
        <v>58</v>
      </c>
      <c r="M352" s="379" t="s">
        <v>14</v>
      </c>
      <c r="N352" s="408" t="s">
        <v>234</v>
      </c>
      <c r="O352" s="373" t="s">
        <v>27</v>
      </c>
      <c r="P352" s="156"/>
      <c r="Q352" s="373" t="s">
        <v>235</v>
      </c>
      <c r="R352" s="1"/>
    </row>
    <row r="353" spans="1:18" ht="15.6" x14ac:dyDescent="0.3">
      <c r="A353" s="374"/>
      <c r="B353" s="374"/>
      <c r="C353" s="51">
        <v>19175</v>
      </c>
      <c r="D353" s="374"/>
      <c r="E353" s="374"/>
      <c r="F353" s="374"/>
      <c r="G353" s="374"/>
      <c r="H353" s="374"/>
      <c r="I353" s="374"/>
      <c r="J353" s="377"/>
      <c r="K353" s="374"/>
      <c r="L353" s="374"/>
      <c r="M353" s="380"/>
      <c r="N353" s="409"/>
      <c r="O353" s="374"/>
      <c r="P353" s="157"/>
      <c r="Q353" s="374"/>
      <c r="R353" s="1"/>
    </row>
    <row r="354" spans="1:18" ht="16.2" thickBot="1" x14ac:dyDescent="0.35">
      <c r="A354" s="375"/>
      <c r="B354" s="375"/>
      <c r="C354" s="50">
        <v>7527</v>
      </c>
      <c r="D354" s="375"/>
      <c r="E354" s="375"/>
      <c r="F354" s="375"/>
      <c r="G354" s="375"/>
      <c r="H354" s="375"/>
      <c r="I354" s="375"/>
      <c r="J354" s="378"/>
      <c r="K354" s="375"/>
      <c r="L354" s="375"/>
      <c r="M354" s="381"/>
      <c r="N354" s="410"/>
      <c r="O354" s="375"/>
      <c r="P354" s="158"/>
      <c r="Q354" s="375"/>
      <c r="R354" s="1"/>
    </row>
    <row r="355" spans="1:18" ht="15.6" x14ac:dyDescent="0.3">
      <c r="A355" s="373">
        <v>60</v>
      </c>
      <c r="B355" s="373" t="s">
        <v>233</v>
      </c>
      <c r="C355" s="49">
        <v>-5085</v>
      </c>
      <c r="D355" s="373">
        <v>1</v>
      </c>
      <c r="E355" s="373" t="s">
        <v>94</v>
      </c>
      <c r="F355" s="373">
        <v>1450</v>
      </c>
      <c r="G355" s="373">
        <v>1200</v>
      </c>
      <c r="H355" s="373" t="s">
        <v>44</v>
      </c>
      <c r="I355" s="373">
        <v>100</v>
      </c>
      <c r="J355" s="376" t="s">
        <v>45</v>
      </c>
      <c r="K355" s="373">
        <v>30</v>
      </c>
      <c r="L355" s="373">
        <v>58</v>
      </c>
      <c r="M355" s="379" t="s">
        <v>14</v>
      </c>
      <c r="N355" s="408" t="s">
        <v>234</v>
      </c>
      <c r="O355" s="373" t="s">
        <v>27</v>
      </c>
      <c r="P355" s="156"/>
      <c r="Q355" s="373" t="s">
        <v>235</v>
      </c>
      <c r="R355" s="1"/>
    </row>
    <row r="356" spans="1:18" ht="15.6" x14ac:dyDescent="0.3">
      <c r="A356" s="374"/>
      <c r="B356" s="374"/>
      <c r="C356" s="51">
        <v>18675</v>
      </c>
      <c r="D356" s="374"/>
      <c r="E356" s="374"/>
      <c r="F356" s="374"/>
      <c r="G356" s="374"/>
      <c r="H356" s="374"/>
      <c r="I356" s="374"/>
      <c r="J356" s="377"/>
      <c r="K356" s="374"/>
      <c r="L356" s="374"/>
      <c r="M356" s="380"/>
      <c r="N356" s="409"/>
      <c r="O356" s="374"/>
      <c r="P356" s="157"/>
      <c r="Q356" s="374"/>
      <c r="R356" s="1"/>
    </row>
    <row r="357" spans="1:18" ht="16.2" thickBot="1" x14ac:dyDescent="0.35">
      <c r="A357" s="375"/>
      <c r="B357" s="375"/>
      <c r="C357" s="50">
        <v>7527</v>
      </c>
      <c r="D357" s="375"/>
      <c r="E357" s="375"/>
      <c r="F357" s="375"/>
      <c r="G357" s="375"/>
      <c r="H357" s="375"/>
      <c r="I357" s="375"/>
      <c r="J357" s="378"/>
      <c r="K357" s="375"/>
      <c r="L357" s="375"/>
      <c r="M357" s="381"/>
      <c r="N357" s="410"/>
      <c r="O357" s="375"/>
      <c r="P357" s="158"/>
      <c r="Q357" s="375"/>
      <c r="R357" s="1"/>
    </row>
    <row r="358" spans="1:18" ht="15.6" x14ac:dyDescent="0.3">
      <c r="A358" s="373">
        <v>62</v>
      </c>
      <c r="B358" s="373" t="s">
        <v>179</v>
      </c>
      <c r="C358" s="49">
        <v>-4740</v>
      </c>
      <c r="D358" s="373">
        <v>1</v>
      </c>
      <c r="E358" s="373" t="s">
        <v>66</v>
      </c>
      <c r="F358" s="373">
        <v>1450</v>
      </c>
      <c r="G358" s="373">
        <v>1200</v>
      </c>
      <c r="H358" s="373" t="s">
        <v>50</v>
      </c>
      <c r="I358" s="373">
        <v>100</v>
      </c>
      <c r="J358" s="376" t="s">
        <v>45</v>
      </c>
      <c r="K358" s="373">
        <v>30</v>
      </c>
      <c r="L358" s="373">
        <v>10</v>
      </c>
      <c r="M358" s="379" t="s">
        <v>14</v>
      </c>
      <c r="N358" s="408" t="s">
        <v>234</v>
      </c>
      <c r="O358" s="373" t="s">
        <v>27</v>
      </c>
      <c r="P358" s="156"/>
      <c r="Q358" s="373" t="s">
        <v>238</v>
      </c>
      <c r="R358" s="1"/>
    </row>
    <row r="359" spans="1:18" ht="15.6" x14ac:dyDescent="0.3">
      <c r="A359" s="374"/>
      <c r="B359" s="374"/>
      <c r="C359" s="51">
        <v>16300</v>
      </c>
      <c r="D359" s="374"/>
      <c r="E359" s="374"/>
      <c r="F359" s="374"/>
      <c r="G359" s="374"/>
      <c r="H359" s="374"/>
      <c r="I359" s="374"/>
      <c r="J359" s="377"/>
      <c r="K359" s="374"/>
      <c r="L359" s="374"/>
      <c r="M359" s="380"/>
      <c r="N359" s="409"/>
      <c r="O359" s="374"/>
      <c r="P359" s="157"/>
      <c r="Q359" s="374"/>
      <c r="R359" s="1"/>
    </row>
    <row r="360" spans="1:18" ht="16.2" thickBot="1" x14ac:dyDescent="0.35">
      <c r="A360" s="375"/>
      <c r="B360" s="375"/>
      <c r="C360" s="50">
        <v>7527</v>
      </c>
      <c r="D360" s="375"/>
      <c r="E360" s="375"/>
      <c r="F360" s="375"/>
      <c r="G360" s="375"/>
      <c r="H360" s="375"/>
      <c r="I360" s="375"/>
      <c r="J360" s="378"/>
      <c r="K360" s="375"/>
      <c r="L360" s="375"/>
      <c r="M360" s="381"/>
      <c r="N360" s="410"/>
      <c r="O360" s="375"/>
      <c r="P360" s="158"/>
      <c r="Q360" s="375"/>
      <c r="R360" s="1"/>
    </row>
    <row r="361" spans="1:18" ht="15.6" x14ac:dyDescent="0.3">
      <c r="A361" s="373">
        <v>75</v>
      </c>
      <c r="B361" s="373" t="s">
        <v>230</v>
      </c>
      <c r="C361" s="49">
        <v>-4640</v>
      </c>
      <c r="D361" s="373">
        <v>1</v>
      </c>
      <c r="E361" s="373" t="s">
        <v>161</v>
      </c>
      <c r="F361" s="373">
        <v>1450</v>
      </c>
      <c r="G361" s="373">
        <v>1200</v>
      </c>
      <c r="H361" s="373" t="s">
        <v>50</v>
      </c>
      <c r="I361" s="373">
        <v>150</v>
      </c>
      <c r="J361" s="376" t="s">
        <v>45</v>
      </c>
      <c r="K361" s="373">
        <v>40</v>
      </c>
      <c r="L361" s="373">
        <v>-7</v>
      </c>
      <c r="M361" s="379" t="s">
        <v>14</v>
      </c>
      <c r="N361" s="408" t="s">
        <v>234</v>
      </c>
      <c r="O361" s="373" t="s">
        <v>27</v>
      </c>
      <c r="P361" s="156"/>
      <c r="Q361" s="373" t="s">
        <v>243</v>
      </c>
      <c r="R361" s="1"/>
    </row>
    <row r="362" spans="1:18" ht="15.6" x14ac:dyDescent="0.3">
      <c r="A362" s="374"/>
      <c r="B362" s="374"/>
      <c r="C362" s="51">
        <v>12700</v>
      </c>
      <c r="D362" s="374"/>
      <c r="E362" s="374"/>
      <c r="F362" s="374"/>
      <c r="G362" s="374"/>
      <c r="H362" s="374"/>
      <c r="I362" s="374"/>
      <c r="J362" s="377"/>
      <c r="K362" s="374"/>
      <c r="L362" s="374"/>
      <c r="M362" s="380"/>
      <c r="N362" s="409"/>
      <c r="O362" s="374"/>
      <c r="P362" s="157"/>
      <c r="Q362" s="374"/>
      <c r="R362" s="1"/>
    </row>
    <row r="363" spans="1:18" ht="16.2" thickBot="1" x14ac:dyDescent="0.35">
      <c r="A363" s="375"/>
      <c r="B363" s="375"/>
      <c r="C363" s="50">
        <v>7527</v>
      </c>
      <c r="D363" s="375"/>
      <c r="E363" s="375"/>
      <c r="F363" s="375"/>
      <c r="G363" s="375"/>
      <c r="H363" s="375"/>
      <c r="I363" s="375"/>
      <c r="J363" s="378"/>
      <c r="K363" s="375"/>
      <c r="L363" s="375"/>
      <c r="M363" s="381"/>
      <c r="N363" s="410"/>
      <c r="O363" s="375"/>
      <c r="P363" s="158"/>
      <c r="Q363" s="375"/>
      <c r="R363" s="1"/>
    </row>
    <row r="364" spans="1:18" ht="15.6" x14ac:dyDescent="0.3">
      <c r="A364" s="373">
        <v>76</v>
      </c>
      <c r="B364" s="373" t="s">
        <v>230</v>
      </c>
      <c r="C364" s="49">
        <v>-4640</v>
      </c>
      <c r="D364" s="373">
        <v>1</v>
      </c>
      <c r="E364" s="373" t="s">
        <v>66</v>
      </c>
      <c r="F364" s="373">
        <v>1450</v>
      </c>
      <c r="G364" s="373">
        <v>1200</v>
      </c>
      <c r="H364" s="373" t="s">
        <v>50</v>
      </c>
      <c r="I364" s="373">
        <v>150</v>
      </c>
      <c r="J364" s="376" t="s">
        <v>45</v>
      </c>
      <c r="K364" s="373">
        <v>30</v>
      </c>
      <c r="L364" s="373">
        <v>10</v>
      </c>
      <c r="M364" s="379" t="s">
        <v>14</v>
      </c>
      <c r="N364" s="408" t="s">
        <v>234</v>
      </c>
      <c r="O364" s="373" t="s">
        <v>27</v>
      </c>
      <c r="P364" s="156"/>
      <c r="Q364" s="373" t="s">
        <v>238</v>
      </c>
      <c r="R364" s="1"/>
    </row>
    <row r="365" spans="1:18" ht="15.6" x14ac:dyDescent="0.3">
      <c r="A365" s="374"/>
      <c r="B365" s="374"/>
      <c r="C365" s="51">
        <v>12450</v>
      </c>
      <c r="D365" s="374"/>
      <c r="E365" s="374"/>
      <c r="F365" s="374"/>
      <c r="G365" s="374"/>
      <c r="H365" s="374"/>
      <c r="I365" s="374"/>
      <c r="J365" s="377"/>
      <c r="K365" s="374"/>
      <c r="L365" s="374"/>
      <c r="M365" s="380"/>
      <c r="N365" s="409"/>
      <c r="O365" s="374"/>
      <c r="P365" s="157"/>
      <c r="Q365" s="374"/>
      <c r="R365" s="1"/>
    </row>
    <row r="366" spans="1:18" ht="16.2" thickBot="1" x14ac:dyDescent="0.35">
      <c r="A366" s="375"/>
      <c r="B366" s="375"/>
      <c r="C366" s="50">
        <v>7527</v>
      </c>
      <c r="D366" s="375"/>
      <c r="E366" s="375"/>
      <c r="F366" s="375"/>
      <c r="G366" s="375"/>
      <c r="H366" s="375"/>
      <c r="I366" s="375"/>
      <c r="J366" s="378"/>
      <c r="K366" s="375"/>
      <c r="L366" s="375"/>
      <c r="M366" s="381"/>
      <c r="N366" s="410"/>
      <c r="O366" s="375"/>
      <c r="P366" s="158"/>
      <c r="Q366" s="375"/>
      <c r="R366" s="1"/>
    </row>
    <row r="367" spans="1:18" ht="15.6" x14ac:dyDescent="0.3">
      <c r="A367" s="373">
        <v>80</v>
      </c>
      <c r="B367" s="373" t="s">
        <v>179</v>
      </c>
      <c r="C367" s="49">
        <v>-10540</v>
      </c>
      <c r="D367" s="373">
        <v>1</v>
      </c>
      <c r="E367" s="373" t="s">
        <v>161</v>
      </c>
      <c r="F367" s="373">
        <v>1450</v>
      </c>
      <c r="G367" s="373">
        <v>1200</v>
      </c>
      <c r="H367" s="373" t="s">
        <v>50</v>
      </c>
      <c r="I367" s="373">
        <v>150</v>
      </c>
      <c r="J367" s="376" t="s">
        <v>45</v>
      </c>
      <c r="K367" s="373">
        <v>40</v>
      </c>
      <c r="L367" s="373">
        <v>-7</v>
      </c>
      <c r="M367" s="379" t="s">
        <v>14</v>
      </c>
      <c r="N367" s="408" t="s">
        <v>234</v>
      </c>
      <c r="O367" s="373" t="s">
        <v>27</v>
      </c>
      <c r="P367" s="156"/>
      <c r="Q367" s="373" t="s">
        <v>243</v>
      </c>
      <c r="R367" s="1"/>
    </row>
    <row r="368" spans="1:18" ht="15.6" x14ac:dyDescent="0.3">
      <c r="A368" s="374"/>
      <c r="B368" s="374"/>
      <c r="C368" s="51">
        <v>15550</v>
      </c>
      <c r="D368" s="374"/>
      <c r="E368" s="374"/>
      <c r="F368" s="374"/>
      <c r="G368" s="374"/>
      <c r="H368" s="374"/>
      <c r="I368" s="374"/>
      <c r="J368" s="377"/>
      <c r="K368" s="374"/>
      <c r="L368" s="374"/>
      <c r="M368" s="380"/>
      <c r="N368" s="409"/>
      <c r="O368" s="374"/>
      <c r="P368" s="157"/>
      <c r="Q368" s="374"/>
      <c r="R368" s="1"/>
    </row>
    <row r="369" spans="1:18" ht="16.2" thickBot="1" x14ac:dyDescent="0.35">
      <c r="A369" s="375"/>
      <c r="B369" s="375"/>
      <c r="C369" s="50">
        <v>7527</v>
      </c>
      <c r="D369" s="375"/>
      <c r="E369" s="375"/>
      <c r="F369" s="375"/>
      <c r="G369" s="375"/>
      <c r="H369" s="375"/>
      <c r="I369" s="375"/>
      <c r="J369" s="378"/>
      <c r="K369" s="375"/>
      <c r="L369" s="375"/>
      <c r="M369" s="381"/>
      <c r="N369" s="410"/>
      <c r="O369" s="375"/>
      <c r="P369" s="158"/>
      <c r="Q369" s="375"/>
      <c r="R369" s="1"/>
    </row>
    <row r="370" spans="1:18" ht="15.6" x14ac:dyDescent="0.3">
      <c r="A370" s="373">
        <v>86</v>
      </c>
      <c r="B370" s="373" t="s">
        <v>64</v>
      </c>
      <c r="C370" s="49">
        <v>-9500</v>
      </c>
      <c r="D370" s="373">
        <v>1</v>
      </c>
      <c r="E370" s="373" t="s">
        <v>245</v>
      </c>
      <c r="F370" s="373">
        <v>1450</v>
      </c>
      <c r="G370" s="373">
        <v>1200</v>
      </c>
      <c r="H370" s="373" t="s">
        <v>12</v>
      </c>
      <c r="I370" s="373">
        <v>350</v>
      </c>
      <c r="J370" s="376" t="s">
        <v>45</v>
      </c>
      <c r="K370" s="373">
        <v>90</v>
      </c>
      <c r="L370" s="373">
        <v>46</v>
      </c>
      <c r="M370" s="379" t="s">
        <v>14</v>
      </c>
      <c r="N370" s="408" t="s">
        <v>234</v>
      </c>
      <c r="O370" s="373" t="s">
        <v>27</v>
      </c>
      <c r="P370" s="156"/>
      <c r="Q370" s="373" t="s">
        <v>246</v>
      </c>
      <c r="R370" s="1"/>
    </row>
    <row r="371" spans="1:18" ht="15.6" x14ac:dyDescent="0.3">
      <c r="A371" s="374"/>
      <c r="B371" s="374"/>
      <c r="C371" s="49">
        <v>7800</v>
      </c>
      <c r="D371" s="374"/>
      <c r="E371" s="374"/>
      <c r="F371" s="374"/>
      <c r="G371" s="374"/>
      <c r="H371" s="374"/>
      <c r="I371" s="374"/>
      <c r="J371" s="377"/>
      <c r="K371" s="374"/>
      <c r="L371" s="374"/>
      <c r="M371" s="380"/>
      <c r="N371" s="409"/>
      <c r="O371" s="374"/>
      <c r="P371" s="157"/>
      <c r="Q371" s="374"/>
      <c r="R371" s="1"/>
    </row>
    <row r="372" spans="1:18" ht="16.2" thickBot="1" x14ac:dyDescent="0.35">
      <c r="A372" s="375"/>
      <c r="B372" s="375"/>
      <c r="C372" s="50">
        <v>7527</v>
      </c>
      <c r="D372" s="375"/>
      <c r="E372" s="375"/>
      <c r="F372" s="375"/>
      <c r="G372" s="375"/>
      <c r="H372" s="375"/>
      <c r="I372" s="375"/>
      <c r="J372" s="378"/>
      <c r="K372" s="375"/>
      <c r="L372" s="375"/>
      <c r="M372" s="381"/>
      <c r="N372" s="410"/>
      <c r="O372" s="375"/>
      <c r="P372" s="158"/>
      <c r="Q372" s="375"/>
      <c r="R372" s="1"/>
    </row>
    <row r="373" spans="1:18" ht="15.6" x14ac:dyDescent="0.3">
      <c r="A373" s="373">
        <v>87</v>
      </c>
      <c r="B373" s="373" t="s">
        <v>59</v>
      </c>
      <c r="C373" s="49">
        <v>-5600</v>
      </c>
      <c r="D373" s="373">
        <v>1</v>
      </c>
      <c r="E373" s="373" t="s">
        <v>239</v>
      </c>
      <c r="F373" s="373">
        <v>1450</v>
      </c>
      <c r="G373" s="373">
        <v>1200</v>
      </c>
      <c r="H373" s="373" t="s">
        <v>44</v>
      </c>
      <c r="I373" s="373">
        <v>350</v>
      </c>
      <c r="J373" s="376" t="s">
        <v>45</v>
      </c>
      <c r="K373" s="373">
        <v>40</v>
      </c>
      <c r="L373" s="373">
        <v>95.5</v>
      </c>
      <c r="M373" s="379" t="s">
        <v>14</v>
      </c>
      <c r="N373" s="408" t="s">
        <v>234</v>
      </c>
      <c r="O373" s="373" t="s">
        <v>27</v>
      </c>
      <c r="P373" s="156"/>
      <c r="Q373" s="373" t="s">
        <v>247</v>
      </c>
      <c r="R373" s="1"/>
    </row>
    <row r="374" spans="1:18" ht="15.6" x14ac:dyDescent="0.3">
      <c r="A374" s="374"/>
      <c r="B374" s="374"/>
      <c r="C374" s="49">
        <v>11000</v>
      </c>
      <c r="D374" s="374"/>
      <c r="E374" s="374"/>
      <c r="F374" s="374"/>
      <c r="G374" s="374"/>
      <c r="H374" s="374"/>
      <c r="I374" s="374"/>
      <c r="J374" s="377"/>
      <c r="K374" s="374"/>
      <c r="L374" s="374"/>
      <c r="M374" s="380"/>
      <c r="N374" s="409"/>
      <c r="O374" s="374"/>
      <c r="P374" s="157"/>
      <c r="Q374" s="374"/>
      <c r="R374" s="1"/>
    </row>
    <row r="375" spans="1:18" ht="16.2" thickBot="1" x14ac:dyDescent="0.35">
      <c r="A375" s="375"/>
      <c r="B375" s="375"/>
      <c r="C375" s="50">
        <v>7527</v>
      </c>
      <c r="D375" s="375"/>
      <c r="E375" s="375"/>
      <c r="F375" s="375"/>
      <c r="G375" s="375"/>
      <c r="H375" s="375"/>
      <c r="I375" s="375"/>
      <c r="J375" s="378"/>
      <c r="K375" s="375"/>
      <c r="L375" s="375"/>
      <c r="M375" s="381"/>
      <c r="N375" s="410"/>
      <c r="O375" s="375"/>
      <c r="P375" s="158"/>
      <c r="Q375" s="375"/>
      <c r="R375" s="1"/>
    </row>
    <row r="376" spans="1:18" ht="15.6" x14ac:dyDescent="0.3">
      <c r="A376" s="373">
        <v>88</v>
      </c>
      <c r="B376" s="373" t="s">
        <v>56</v>
      </c>
      <c r="C376" s="49">
        <v>-5570</v>
      </c>
      <c r="D376" s="373">
        <v>1</v>
      </c>
      <c r="E376" s="373" t="s">
        <v>248</v>
      </c>
      <c r="F376" s="373">
        <v>1450</v>
      </c>
      <c r="G376" s="373">
        <v>1200</v>
      </c>
      <c r="H376" s="373" t="s">
        <v>61</v>
      </c>
      <c r="I376" s="373">
        <v>150</v>
      </c>
      <c r="J376" s="376" t="s">
        <v>45</v>
      </c>
      <c r="K376" s="373">
        <v>50</v>
      </c>
      <c r="L376" s="373">
        <v>76.5</v>
      </c>
      <c r="M376" s="379" t="s">
        <v>14</v>
      </c>
      <c r="N376" s="408" t="s">
        <v>234</v>
      </c>
      <c r="O376" s="373" t="s">
        <v>27</v>
      </c>
      <c r="P376" s="156"/>
      <c r="Q376" s="373" t="s">
        <v>249</v>
      </c>
      <c r="R376" s="1"/>
    </row>
    <row r="377" spans="1:18" ht="15.6" x14ac:dyDescent="0.3">
      <c r="A377" s="374"/>
      <c r="B377" s="374"/>
      <c r="C377" s="49">
        <v>6700</v>
      </c>
      <c r="D377" s="374"/>
      <c r="E377" s="374"/>
      <c r="F377" s="374"/>
      <c r="G377" s="374"/>
      <c r="H377" s="374"/>
      <c r="I377" s="374"/>
      <c r="J377" s="377"/>
      <c r="K377" s="374"/>
      <c r="L377" s="374"/>
      <c r="M377" s="380"/>
      <c r="N377" s="409"/>
      <c r="O377" s="374"/>
      <c r="P377" s="157"/>
      <c r="Q377" s="374"/>
      <c r="R377" s="1"/>
    </row>
    <row r="378" spans="1:18" ht="16.2" thickBot="1" x14ac:dyDescent="0.35">
      <c r="A378" s="375"/>
      <c r="B378" s="375"/>
      <c r="C378" s="50">
        <v>7527</v>
      </c>
      <c r="D378" s="375"/>
      <c r="E378" s="375"/>
      <c r="F378" s="375"/>
      <c r="G378" s="375"/>
      <c r="H378" s="375"/>
      <c r="I378" s="375"/>
      <c r="J378" s="378"/>
      <c r="K378" s="375"/>
      <c r="L378" s="375"/>
      <c r="M378" s="381"/>
      <c r="N378" s="410"/>
      <c r="O378" s="375"/>
      <c r="P378" s="158"/>
      <c r="Q378" s="375"/>
      <c r="R378" s="1"/>
    </row>
    <row r="379" spans="1:18" ht="15.6" x14ac:dyDescent="0.3">
      <c r="A379" s="373">
        <v>89</v>
      </c>
      <c r="B379" s="373" t="s">
        <v>59</v>
      </c>
      <c r="C379" s="49">
        <v>-10200</v>
      </c>
      <c r="D379" s="373">
        <v>1</v>
      </c>
      <c r="E379" s="373" t="s">
        <v>250</v>
      </c>
      <c r="F379" s="373">
        <v>1450</v>
      </c>
      <c r="G379" s="373">
        <v>1200</v>
      </c>
      <c r="H379" s="373" t="s">
        <v>251</v>
      </c>
      <c r="I379" s="373">
        <v>150</v>
      </c>
      <c r="J379" s="376" t="s">
        <v>45</v>
      </c>
      <c r="K379" s="373">
        <v>50</v>
      </c>
      <c r="L379" s="373">
        <v>126.5</v>
      </c>
      <c r="M379" s="379" t="s">
        <v>14</v>
      </c>
      <c r="N379" s="408" t="s">
        <v>234</v>
      </c>
      <c r="O379" s="373" t="s">
        <v>27</v>
      </c>
      <c r="P379" s="156"/>
      <c r="Q379" s="373" t="s">
        <v>252</v>
      </c>
      <c r="R379" s="1"/>
    </row>
    <row r="380" spans="1:18" ht="15.6" x14ac:dyDescent="0.3">
      <c r="A380" s="374"/>
      <c r="B380" s="374"/>
      <c r="C380" s="49">
        <v>7790</v>
      </c>
      <c r="D380" s="374"/>
      <c r="E380" s="374"/>
      <c r="F380" s="374"/>
      <c r="G380" s="374"/>
      <c r="H380" s="374"/>
      <c r="I380" s="374"/>
      <c r="J380" s="377"/>
      <c r="K380" s="374"/>
      <c r="L380" s="374"/>
      <c r="M380" s="380"/>
      <c r="N380" s="409"/>
      <c r="O380" s="374"/>
      <c r="P380" s="157"/>
      <c r="Q380" s="374"/>
      <c r="R380" s="1"/>
    </row>
    <row r="381" spans="1:18" ht="16.2" thickBot="1" x14ac:dyDescent="0.35">
      <c r="A381" s="375"/>
      <c r="B381" s="375"/>
      <c r="C381" s="50">
        <v>7527</v>
      </c>
      <c r="D381" s="375"/>
      <c r="E381" s="375"/>
      <c r="F381" s="375"/>
      <c r="G381" s="375"/>
      <c r="H381" s="375"/>
      <c r="I381" s="375"/>
      <c r="J381" s="378"/>
      <c r="K381" s="375"/>
      <c r="L381" s="375"/>
      <c r="M381" s="381"/>
      <c r="N381" s="410"/>
      <c r="O381" s="375"/>
      <c r="P381" s="158"/>
      <c r="Q381" s="375"/>
      <c r="R381" s="1"/>
    </row>
    <row r="382" spans="1:18" ht="15.6" x14ac:dyDescent="0.3">
      <c r="A382" s="373">
        <v>95</v>
      </c>
      <c r="B382" s="373" t="s">
        <v>160</v>
      </c>
      <c r="C382" s="49">
        <v>-12250</v>
      </c>
      <c r="D382" s="373">
        <v>1</v>
      </c>
      <c r="E382" s="373" t="s">
        <v>63</v>
      </c>
      <c r="F382" s="373">
        <v>1450</v>
      </c>
      <c r="G382" s="373">
        <v>1200</v>
      </c>
      <c r="H382" s="373" t="s">
        <v>61</v>
      </c>
      <c r="I382" s="373">
        <v>100</v>
      </c>
      <c r="J382" s="376" t="s">
        <v>45</v>
      </c>
      <c r="K382" s="373">
        <v>30</v>
      </c>
      <c r="L382" s="373">
        <v>39.5</v>
      </c>
      <c r="M382" s="379" t="s">
        <v>14</v>
      </c>
      <c r="N382" s="408" t="s">
        <v>253</v>
      </c>
      <c r="O382" s="373" t="s">
        <v>27</v>
      </c>
      <c r="P382" s="156"/>
      <c r="Q382" s="373" t="s">
        <v>254</v>
      </c>
      <c r="R382" s="1"/>
    </row>
    <row r="383" spans="1:18" ht="15.6" x14ac:dyDescent="0.3">
      <c r="A383" s="374"/>
      <c r="B383" s="374"/>
      <c r="C383" s="51">
        <v>14725</v>
      </c>
      <c r="D383" s="374"/>
      <c r="E383" s="374"/>
      <c r="F383" s="374"/>
      <c r="G383" s="374"/>
      <c r="H383" s="374"/>
      <c r="I383" s="374"/>
      <c r="J383" s="377"/>
      <c r="K383" s="374"/>
      <c r="L383" s="374"/>
      <c r="M383" s="380"/>
      <c r="N383" s="409"/>
      <c r="O383" s="374"/>
      <c r="P383" s="157"/>
      <c r="Q383" s="374"/>
      <c r="R383" s="1"/>
    </row>
    <row r="384" spans="1:18" ht="16.2" thickBot="1" x14ac:dyDescent="0.35">
      <c r="A384" s="375"/>
      <c r="B384" s="375"/>
      <c r="C384" s="50">
        <v>7527</v>
      </c>
      <c r="D384" s="375"/>
      <c r="E384" s="375"/>
      <c r="F384" s="375"/>
      <c r="G384" s="375"/>
      <c r="H384" s="375"/>
      <c r="I384" s="375"/>
      <c r="J384" s="378"/>
      <c r="K384" s="375"/>
      <c r="L384" s="375"/>
      <c r="M384" s="381"/>
      <c r="N384" s="410"/>
      <c r="O384" s="375"/>
      <c r="P384" s="158"/>
      <c r="Q384" s="375"/>
      <c r="R384" s="1"/>
    </row>
    <row r="385" spans="1:18" ht="15.6" x14ac:dyDescent="0.3">
      <c r="A385" s="373">
        <v>96</v>
      </c>
      <c r="B385" s="373" t="s">
        <v>160</v>
      </c>
      <c r="C385" s="49">
        <v>-12900</v>
      </c>
      <c r="D385" s="373">
        <v>1</v>
      </c>
      <c r="E385" s="373" t="s">
        <v>63</v>
      </c>
      <c r="F385" s="373">
        <v>1450</v>
      </c>
      <c r="G385" s="373">
        <v>1200</v>
      </c>
      <c r="H385" s="373" t="s">
        <v>61</v>
      </c>
      <c r="I385" s="373">
        <v>100</v>
      </c>
      <c r="J385" s="376" t="s">
        <v>45</v>
      </c>
      <c r="K385" s="373">
        <v>30</v>
      </c>
      <c r="L385" s="373">
        <v>39.5</v>
      </c>
      <c r="M385" s="379" t="s">
        <v>14</v>
      </c>
      <c r="N385" s="408" t="s">
        <v>253</v>
      </c>
      <c r="O385" s="373" t="s">
        <v>27</v>
      </c>
      <c r="P385" s="156"/>
      <c r="Q385" s="373" t="s">
        <v>254</v>
      </c>
      <c r="R385" s="1"/>
    </row>
    <row r="386" spans="1:18" ht="15.6" x14ac:dyDescent="0.3">
      <c r="A386" s="374"/>
      <c r="B386" s="374"/>
      <c r="C386" s="51">
        <v>14580</v>
      </c>
      <c r="D386" s="374"/>
      <c r="E386" s="374"/>
      <c r="F386" s="374"/>
      <c r="G386" s="374"/>
      <c r="H386" s="374"/>
      <c r="I386" s="374"/>
      <c r="J386" s="377"/>
      <c r="K386" s="374"/>
      <c r="L386" s="374"/>
      <c r="M386" s="380"/>
      <c r="N386" s="409"/>
      <c r="O386" s="374"/>
      <c r="P386" s="157"/>
      <c r="Q386" s="374"/>
      <c r="R386" s="1"/>
    </row>
    <row r="387" spans="1:18" ht="16.2" thickBot="1" x14ac:dyDescent="0.35">
      <c r="A387" s="375"/>
      <c r="B387" s="375"/>
      <c r="C387" s="50">
        <v>7527</v>
      </c>
      <c r="D387" s="375"/>
      <c r="E387" s="375"/>
      <c r="F387" s="375"/>
      <c r="G387" s="375"/>
      <c r="H387" s="375"/>
      <c r="I387" s="375"/>
      <c r="J387" s="378"/>
      <c r="K387" s="375"/>
      <c r="L387" s="375"/>
      <c r="M387" s="381"/>
      <c r="N387" s="410"/>
      <c r="O387" s="375"/>
      <c r="P387" s="158"/>
      <c r="Q387" s="375"/>
      <c r="R387" s="1"/>
    </row>
    <row r="388" spans="1:18" ht="15.6" x14ac:dyDescent="0.3">
      <c r="A388" s="373">
        <v>97</v>
      </c>
      <c r="B388" s="373" t="s">
        <v>191</v>
      </c>
      <c r="C388" s="49">
        <v>-12600</v>
      </c>
      <c r="D388" s="373">
        <v>1</v>
      </c>
      <c r="E388" s="373" t="s">
        <v>255</v>
      </c>
      <c r="F388" s="373">
        <v>1450</v>
      </c>
      <c r="G388" s="373">
        <v>1200</v>
      </c>
      <c r="H388" s="373" t="s">
        <v>50</v>
      </c>
      <c r="I388" s="373">
        <v>150</v>
      </c>
      <c r="J388" s="376" t="s">
        <v>45</v>
      </c>
      <c r="K388" s="373">
        <v>30</v>
      </c>
      <c r="L388" s="373">
        <v>6.5</v>
      </c>
      <c r="M388" s="379" t="s">
        <v>14</v>
      </c>
      <c r="N388" s="408" t="s">
        <v>234</v>
      </c>
      <c r="O388" s="373" t="s">
        <v>27</v>
      </c>
      <c r="P388" s="156"/>
      <c r="Q388" s="373" t="s">
        <v>256</v>
      </c>
      <c r="R388" s="1"/>
    </row>
    <row r="389" spans="1:18" ht="15.6" x14ac:dyDescent="0.3">
      <c r="A389" s="374"/>
      <c r="B389" s="374"/>
      <c r="C389" s="51">
        <v>12150</v>
      </c>
      <c r="D389" s="374"/>
      <c r="E389" s="374"/>
      <c r="F389" s="374"/>
      <c r="G389" s="374"/>
      <c r="H389" s="374"/>
      <c r="I389" s="374"/>
      <c r="J389" s="377"/>
      <c r="K389" s="374"/>
      <c r="L389" s="374"/>
      <c r="M389" s="380"/>
      <c r="N389" s="409"/>
      <c r="O389" s="374"/>
      <c r="P389" s="157"/>
      <c r="Q389" s="374"/>
      <c r="R389" s="1"/>
    </row>
    <row r="390" spans="1:18" ht="16.2" thickBot="1" x14ac:dyDescent="0.35">
      <c r="A390" s="375"/>
      <c r="B390" s="375"/>
      <c r="C390" s="50">
        <v>7527</v>
      </c>
      <c r="D390" s="375"/>
      <c r="E390" s="375"/>
      <c r="F390" s="375"/>
      <c r="G390" s="375"/>
      <c r="H390" s="375"/>
      <c r="I390" s="375"/>
      <c r="J390" s="378"/>
      <c r="K390" s="375"/>
      <c r="L390" s="375"/>
      <c r="M390" s="381"/>
      <c r="N390" s="410"/>
      <c r="O390" s="375"/>
      <c r="P390" s="158"/>
      <c r="Q390" s="375"/>
      <c r="R390" s="1"/>
    </row>
    <row r="391" spans="1:18" ht="15.6" x14ac:dyDescent="0.3">
      <c r="A391" s="373">
        <v>98</v>
      </c>
      <c r="B391" s="373" t="s">
        <v>191</v>
      </c>
      <c r="C391" s="49">
        <v>-12600</v>
      </c>
      <c r="D391" s="373">
        <v>1</v>
      </c>
      <c r="E391" s="373" t="s">
        <v>255</v>
      </c>
      <c r="F391" s="373">
        <v>1450</v>
      </c>
      <c r="G391" s="373">
        <v>1200</v>
      </c>
      <c r="H391" s="373" t="s">
        <v>50</v>
      </c>
      <c r="I391" s="373">
        <v>150</v>
      </c>
      <c r="J391" s="376" t="s">
        <v>45</v>
      </c>
      <c r="K391" s="373">
        <v>30</v>
      </c>
      <c r="L391" s="373">
        <v>6.5</v>
      </c>
      <c r="M391" s="379" t="s">
        <v>14</v>
      </c>
      <c r="N391" s="408" t="s">
        <v>234</v>
      </c>
      <c r="O391" s="373" t="s">
        <v>27</v>
      </c>
      <c r="P391" s="156"/>
      <c r="Q391" s="373" t="s">
        <v>256</v>
      </c>
      <c r="R391" s="1"/>
    </row>
    <row r="392" spans="1:18" ht="15.6" x14ac:dyDescent="0.3">
      <c r="A392" s="374"/>
      <c r="B392" s="374"/>
      <c r="C392" s="51">
        <v>11900</v>
      </c>
      <c r="D392" s="374"/>
      <c r="E392" s="374"/>
      <c r="F392" s="374"/>
      <c r="G392" s="374"/>
      <c r="H392" s="374"/>
      <c r="I392" s="374"/>
      <c r="J392" s="377"/>
      <c r="K392" s="374"/>
      <c r="L392" s="374"/>
      <c r="M392" s="380"/>
      <c r="N392" s="409"/>
      <c r="O392" s="374"/>
      <c r="P392" s="157"/>
      <c r="Q392" s="374"/>
      <c r="R392" s="1"/>
    </row>
    <row r="393" spans="1:18" ht="16.2" thickBot="1" x14ac:dyDescent="0.35">
      <c r="A393" s="375"/>
      <c r="B393" s="375"/>
      <c r="C393" s="50">
        <v>7527</v>
      </c>
      <c r="D393" s="375"/>
      <c r="E393" s="375"/>
      <c r="F393" s="375"/>
      <c r="G393" s="375"/>
      <c r="H393" s="375"/>
      <c r="I393" s="375"/>
      <c r="J393" s="378"/>
      <c r="K393" s="375"/>
      <c r="L393" s="375"/>
      <c r="M393" s="381"/>
      <c r="N393" s="410"/>
      <c r="O393" s="375"/>
      <c r="P393" s="158"/>
      <c r="Q393" s="375"/>
      <c r="R393" s="1"/>
    </row>
    <row r="394" spans="1:18" ht="15.6" x14ac:dyDescent="0.3">
      <c r="A394" s="373">
        <v>100</v>
      </c>
      <c r="B394" s="373" t="s">
        <v>64</v>
      </c>
      <c r="C394" s="49">
        <v>-14000</v>
      </c>
      <c r="D394" s="373">
        <v>1</v>
      </c>
      <c r="E394" s="373" t="s">
        <v>245</v>
      </c>
      <c r="F394" s="373">
        <v>1450</v>
      </c>
      <c r="G394" s="373">
        <v>1200</v>
      </c>
      <c r="H394" s="373" t="s">
        <v>12</v>
      </c>
      <c r="I394" s="373">
        <v>350</v>
      </c>
      <c r="J394" s="376" t="s">
        <v>45</v>
      </c>
      <c r="K394" s="373">
        <v>90</v>
      </c>
      <c r="L394" s="373">
        <v>46</v>
      </c>
      <c r="M394" s="379" t="s">
        <v>14</v>
      </c>
      <c r="N394" s="408" t="s">
        <v>234</v>
      </c>
      <c r="O394" s="373" t="s">
        <v>27</v>
      </c>
      <c r="P394" s="156"/>
      <c r="Q394" s="373" t="s">
        <v>246</v>
      </c>
      <c r="R394" s="1"/>
    </row>
    <row r="395" spans="1:18" ht="15.6" x14ac:dyDescent="0.3">
      <c r="A395" s="374"/>
      <c r="B395" s="374"/>
      <c r="C395" s="51">
        <v>9000</v>
      </c>
      <c r="D395" s="374"/>
      <c r="E395" s="374"/>
      <c r="F395" s="374"/>
      <c r="G395" s="374"/>
      <c r="H395" s="374"/>
      <c r="I395" s="374"/>
      <c r="J395" s="377"/>
      <c r="K395" s="374"/>
      <c r="L395" s="374"/>
      <c r="M395" s="380"/>
      <c r="N395" s="409"/>
      <c r="O395" s="374"/>
      <c r="P395" s="157"/>
      <c r="Q395" s="374"/>
      <c r="R395" s="1"/>
    </row>
    <row r="396" spans="1:18" ht="16.2" thickBot="1" x14ac:dyDescent="0.35">
      <c r="A396" s="375"/>
      <c r="B396" s="375"/>
      <c r="C396" s="50">
        <v>7527</v>
      </c>
      <c r="D396" s="375"/>
      <c r="E396" s="375"/>
      <c r="F396" s="375"/>
      <c r="G396" s="375"/>
      <c r="H396" s="375"/>
      <c r="I396" s="375"/>
      <c r="J396" s="378"/>
      <c r="K396" s="375"/>
      <c r="L396" s="375"/>
      <c r="M396" s="381"/>
      <c r="N396" s="410"/>
      <c r="O396" s="375"/>
      <c r="P396" s="158"/>
      <c r="Q396" s="375"/>
      <c r="R396" s="1"/>
    </row>
    <row r="397" spans="1:18" ht="15.6" x14ac:dyDescent="0.3">
      <c r="A397" s="373">
        <v>102</v>
      </c>
      <c r="B397" s="373" t="s">
        <v>257</v>
      </c>
      <c r="C397" s="49">
        <v>-12550</v>
      </c>
      <c r="D397" s="373">
        <v>1</v>
      </c>
      <c r="E397" s="373" t="s">
        <v>245</v>
      </c>
      <c r="F397" s="373">
        <v>1450</v>
      </c>
      <c r="G397" s="373">
        <v>1200</v>
      </c>
      <c r="H397" s="373" t="s">
        <v>19</v>
      </c>
      <c r="I397" s="373">
        <v>350</v>
      </c>
      <c r="J397" s="376" t="s">
        <v>45</v>
      </c>
      <c r="K397" s="373">
        <v>90</v>
      </c>
      <c r="L397" s="373">
        <v>-32</v>
      </c>
      <c r="M397" s="379" t="s">
        <v>14</v>
      </c>
      <c r="N397" s="408" t="s">
        <v>234</v>
      </c>
      <c r="O397" s="373" t="s">
        <v>27</v>
      </c>
      <c r="P397" s="156"/>
      <c r="Q397" s="373" t="s">
        <v>243</v>
      </c>
      <c r="R397" s="503"/>
    </row>
    <row r="398" spans="1:18" ht="15.6" x14ac:dyDescent="0.3">
      <c r="A398" s="374"/>
      <c r="B398" s="374"/>
      <c r="C398" s="49">
        <v>7800</v>
      </c>
      <c r="D398" s="374"/>
      <c r="E398" s="374"/>
      <c r="F398" s="374"/>
      <c r="G398" s="374"/>
      <c r="H398" s="374"/>
      <c r="I398" s="374"/>
      <c r="J398" s="377"/>
      <c r="K398" s="374"/>
      <c r="L398" s="374"/>
      <c r="M398" s="380"/>
      <c r="N398" s="409"/>
      <c r="O398" s="374"/>
      <c r="P398" s="157"/>
      <c r="Q398" s="374"/>
      <c r="R398" s="503"/>
    </row>
    <row r="399" spans="1:18" ht="16.2" thickBot="1" x14ac:dyDescent="0.35">
      <c r="A399" s="375"/>
      <c r="B399" s="375"/>
      <c r="C399" s="50">
        <v>7527</v>
      </c>
      <c r="D399" s="375"/>
      <c r="E399" s="375"/>
      <c r="F399" s="375"/>
      <c r="G399" s="375"/>
      <c r="H399" s="375"/>
      <c r="I399" s="375"/>
      <c r="J399" s="378"/>
      <c r="K399" s="375"/>
      <c r="L399" s="375"/>
      <c r="M399" s="381"/>
      <c r="N399" s="410"/>
      <c r="O399" s="375"/>
      <c r="P399" s="158"/>
      <c r="Q399" s="375"/>
      <c r="R399" s="503"/>
    </row>
    <row r="400" spans="1:18" ht="15.6" x14ac:dyDescent="0.3">
      <c r="A400" s="373">
        <v>108</v>
      </c>
      <c r="B400" s="373" t="s">
        <v>191</v>
      </c>
      <c r="C400" s="49">
        <v>-16915</v>
      </c>
      <c r="D400" s="373">
        <v>1</v>
      </c>
      <c r="E400" s="373" t="s">
        <v>161</v>
      </c>
      <c r="F400" s="373">
        <v>1450</v>
      </c>
      <c r="G400" s="373">
        <v>1200</v>
      </c>
      <c r="H400" s="373" t="s">
        <v>25</v>
      </c>
      <c r="I400" s="373">
        <v>150</v>
      </c>
      <c r="J400" s="376" t="s">
        <v>45</v>
      </c>
      <c r="K400" s="373">
        <v>40</v>
      </c>
      <c r="L400" s="373">
        <v>17.5</v>
      </c>
      <c r="M400" s="379" t="s">
        <v>14</v>
      </c>
      <c r="N400" s="408" t="s">
        <v>253</v>
      </c>
      <c r="O400" s="373" t="s">
        <v>27</v>
      </c>
      <c r="P400" s="156"/>
      <c r="Q400" s="373" t="s">
        <v>260</v>
      </c>
      <c r="R400" s="503"/>
    </row>
    <row r="401" spans="1:18" ht="15.6" x14ac:dyDescent="0.3">
      <c r="A401" s="374"/>
      <c r="B401" s="374"/>
      <c r="C401" s="51">
        <v>8735</v>
      </c>
      <c r="D401" s="374"/>
      <c r="E401" s="374"/>
      <c r="F401" s="374"/>
      <c r="G401" s="374"/>
      <c r="H401" s="374"/>
      <c r="I401" s="374"/>
      <c r="J401" s="377"/>
      <c r="K401" s="374"/>
      <c r="L401" s="374"/>
      <c r="M401" s="380"/>
      <c r="N401" s="409"/>
      <c r="O401" s="374"/>
      <c r="P401" s="157"/>
      <c r="Q401" s="374"/>
      <c r="R401" s="503"/>
    </row>
    <row r="402" spans="1:18" ht="16.2" thickBot="1" x14ac:dyDescent="0.35">
      <c r="A402" s="375"/>
      <c r="B402" s="375"/>
      <c r="C402" s="50">
        <v>7527</v>
      </c>
      <c r="D402" s="375"/>
      <c r="E402" s="375"/>
      <c r="F402" s="375"/>
      <c r="G402" s="375"/>
      <c r="H402" s="375"/>
      <c r="I402" s="375"/>
      <c r="J402" s="378"/>
      <c r="K402" s="375"/>
      <c r="L402" s="375"/>
      <c r="M402" s="381"/>
      <c r="N402" s="410"/>
      <c r="O402" s="375"/>
      <c r="P402" s="158"/>
      <c r="Q402" s="375"/>
      <c r="R402" s="503"/>
    </row>
    <row r="403" spans="1:18" ht="16.2" thickBot="1" x14ac:dyDescent="0.35">
      <c r="A403" s="376">
        <v>110</v>
      </c>
      <c r="B403" s="57" t="s">
        <v>261</v>
      </c>
      <c r="C403" s="58">
        <v>-7340</v>
      </c>
      <c r="D403" s="376">
        <v>3</v>
      </c>
      <c r="E403" s="57" t="s">
        <v>66</v>
      </c>
      <c r="F403" s="373">
        <v>1450</v>
      </c>
      <c r="G403" s="373">
        <v>1200</v>
      </c>
      <c r="H403" s="376" t="s">
        <v>50</v>
      </c>
      <c r="I403" s="57">
        <v>60</v>
      </c>
      <c r="J403" s="57">
        <f>-1.76/-2.29</f>
        <v>0.76855895196506552</v>
      </c>
      <c r="K403" s="376" t="s">
        <v>193</v>
      </c>
      <c r="L403" s="373" t="s">
        <v>13</v>
      </c>
      <c r="M403" s="379" t="s">
        <v>14</v>
      </c>
      <c r="N403" s="402" t="s">
        <v>234</v>
      </c>
      <c r="O403" s="373" t="s">
        <v>27</v>
      </c>
      <c r="P403" s="156"/>
      <c r="Q403" s="373" t="s">
        <v>262</v>
      </c>
      <c r="R403" s="503"/>
    </row>
    <row r="404" spans="1:18" ht="16.2" thickBot="1" x14ac:dyDescent="0.35">
      <c r="A404" s="377"/>
      <c r="B404" s="57" t="s">
        <v>261</v>
      </c>
      <c r="C404" s="59">
        <v>3650</v>
      </c>
      <c r="D404" s="377"/>
      <c r="E404" s="57" t="s">
        <v>66</v>
      </c>
      <c r="F404" s="374"/>
      <c r="G404" s="374"/>
      <c r="H404" s="377"/>
      <c r="I404" s="57">
        <v>60</v>
      </c>
      <c r="J404" s="57">
        <f>-1.76/-2.29</f>
        <v>0.76855895196506552</v>
      </c>
      <c r="K404" s="377"/>
      <c r="L404" s="374"/>
      <c r="M404" s="380"/>
      <c r="N404" s="403"/>
      <c r="O404" s="374"/>
      <c r="P404" s="157"/>
      <c r="Q404" s="374"/>
      <c r="R404" s="503"/>
    </row>
    <row r="405" spans="1:18" ht="16.2" thickBot="1" x14ac:dyDescent="0.35">
      <c r="A405" s="378"/>
      <c r="B405" s="57" t="s">
        <v>261</v>
      </c>
      <c r="C405" s="57">
        <v>7527</v>
      </c>
      <c r="D405" s="378"/>
      <c r="E405" s="57" t="s">
        <v>66</v>
      </c>
      <c r="F405" s="375"/>
      <c r="G405" s="375"/>
      <c r="H405" s="378"/>
      <c r="I405" s="57">
        <v>60</v>
      </c>
      <c r="J405" s="57">
        <f>-1.76/-2.29</f>
        <v>0.76855895196506552</v>
      </c>
      <c r="K405" s="378"/>
      <c r="L405" s="375"/>
      <c r="M405" s="381"/>
      <c r="N405" s="404"/>
      <c r="O405" s="375"/>
      <c r="P405" s="158"/>
      <c r="Q405" s="375"/>
      <c r="R405" s="503"/>
    </row>
    <row r="406" spans="1:18" ht="16.2" thickBot="1" x14ac:dyDescent="0.35">
      <c r="A406" s="376">
        <v>112</v>
      </c>
      <c r="B406" s="376" t="s">
        <v>179</v>
      </c>
      <c r="C406" s="58">
        <v>-18250</v>
      </c>
      <c r="D406" s="376">
        <v>1</v>
      </c>
      <c r="E406" s="376" t="s">
        <v>49</v>
      </c>
      <c r="F406" s="373">
        <v>1450</v>
      </c>
      <c r="G406" s="373">
        <v>1200</v>
      </c>
      <c r="H406" s="376" t="s">
        <v>25</v>
      </c>
      <c r="I406" s="376">
        <v>150</v>
      </c>
      <c r="J406" s="376" t="s">
        <v>45</v>
      </c>
      <c r="K406" s="376">
        <v>40</v>
      </c>
      <c r="L406" s="373">
        <v>5</v>
      </c>
      <c r="M406" s="379" t="s">
        <v>14</v>
      </c>
      <c r="N406" s="402" t="s">
        <v>234</v>
      </c>
      <c r="O406" s="373" t="s">
        <v>27</v>
      </c>
      <c r="P406" s="156"/>
      <c r="Q406" s="373" t="s">
        <v>263</v>
      </c>
      <c r="R406" s="504"/>
    </row>
    <row r="407" spans="1:18" ht="15.6" x14ac:dyDescent="0.3">
      <c r="A407" s="377"/>
      <c r="B407" s="377"/>
      <c r="C407" s="59">
        <v>2400</v>
      </c>
      <c r="D407" s="377"/>
      <c r="E407" s="377"/>
      <c r="F407" s="374"/>
      <c r="G407" s="374"/>
      <c r="H407" s="377"/>
      <c r="I407" s="377"/>
      <c r="J407" s="377"/>
      <c r="K407" s="377"/>
      <c r="L407" s="374"/>
      <c r="M407" s="380"/>
      <c r="N407" s="403"/>
      <c r="O407" s="374"/>
      <c r="P407" s="157"/>
      <c r="Q407" s="374"/>
      <c r="R407" s="1"/>
    </row>
    <row r="408" spans="1:18" ht="16.2" thickBot="1" x14ac:dyDescent="0.35">
      <c r="A408" s="378"/>
      <c r="B408" s="378"/>
      <c r="C408" s="57">
        <v>7527</v>
      </c>
      <c r="D408" s="378"/>
      <c r="E408" s="378"/>
      <c r="F408" s="375"/>
      <c r="G408" s="375"/>
      <c r="H408" s="378"/>
      <c r="I408" s="378"/>
      <c r="J408" s="378"/>
      <c r="K408" s="378"/>
      <c r="L408" s="375"/>
      <c r="M408" s="381"/>
      <c r="N408" s="404"/>
      <c r="O408" s="375"/>
      <c r="P408" s="158"/>
      <c r="Q408" s="375"/>
      <c r="R408" s="1"/>
    </row>
    <row r="409" spans="1:18" ht="15.6" x14ac:dyDescent="0.3">
      <c r="A409" s="376">
        <v>116</v>
      </c>
      <c r="B409" s="376" t="s">
        <v>160</v>
      </c>
      <c r="C409" s="58">
        <v>-17555</v>
      </c>
      <c r="D409" s="376">
        <v>1</v>
      </c>
      <c r="E409" s="376" t="s">
        <v>264</v>
      </c>
      <c r="F409" s="373">
        <v>1450</v>
      </c>
      <c r="G409" s="373">
        <v>1200</v>
      </c>
      <c r="H409" s="376" t="s">
        <v>25</v>
      </c>
      <c r="I409" s="376">
        <v>100</v>
      </c>
      <c r="J409" s="376" t="s">
        <v>45</v>
      </c>
      <c r="K409" s="373">
        <v>30</v>
      </c>
      <c r="L409" s="373">
        <v>5.5</v>
      </c>
      <c r="M409" s="379" t="s">
        <v>14</v>
      </c>
      <c r="N409" s="402" t="s">
        <v>234</v>
      </c>
      <c r="O409" s="373" t="s">
        <v>27</v>
      </c>
      <c r="P409" s="156"/>
      <c r="Q409" s="373" t="s">
        <v>265</v>
      </c>
      <c r="R409" s="1"/>
    </row>
    <row r="410" spans="1:18" ht="15.6" x14ac:dyDescent="0.3">
      <c r="A410" s="377"/>
      <c r="B410" s="377"/>
      <c r="C410" s="59">
        <v>-2460</v>
      </c>
      <c r="D410" s="377"/>
      <c r="E410" s="377"/>
      <c r="F410" s="374"/>
      <c r="G410" s="374"/>
      <c r="H410" s="377"/>
      <c r="I410" s="377"/>
      <c r="J410" s="377"/>
      <c r="K410" s="374"/>
      <c r="L410" s="374"/>
      <c r="M410" s="380"/>
      <c r="N410" s="403"/>
      <c r="O410" s="374"/>
      <c r="P410" s="157"/>
      <c r="Q410" s="374"/>
      <c r="R410" s="1"/>
    </row>
    <row r="411" spans="1:18" ht="16.2" thickBot="1" x14ac:dyDescent="0.35">
      <c r="A411" s="378"/>
      <c r="B411" s="378"/>
      <c r="C411" s="57">
        <v>7527</v>
      </c>
      <c r="D411" s="378"/>
      <c r="E411" s="378"/>
      <c r="F411" s="375"/>
      <c r="G411" s="375"/>
      <c r="H411" s="378"/>
      <c r="I411" s="378"/>
      <c r="J411" s="378"/>
      <c r="K411" s="375"/>
      <c r="L411" s="375"/>
      <c r="M411" s="381"/>
      <c r="N411" s="404"/>
      <c r="O411" s="375"/>
      <c r="P411" s="158"/>
      <c r="Q411" s="375"/>
      <c r="R411" s="1"/>
    </row>
    <row r="412" spans="1:18" ht="15.6" x14ac:dyDescent="0.3">
      <c r="A412" s="373">
        <v>117</v>
      </c>
      <c r="B412" s="373" t="s">
        <v>160</v>
      </c>
      <c r="C412" s="49">
        <v>-16500</v>
      </c>
      <c r="D412" s="373">
        <v>1</v>
      </c>
      <c r="E412" s="373" t="s">
        <v>264</v>
      </c>
      <c r="F412" s="373">
        <v>1450</v>
      </c>
      <c r="G412" s="373">
        <v>1200</v>
      </c>
      <c r="H412" s="373" t="s">
        <v>25</v>
      </c>
      <c r="I412" s="373">
        <v>100</v>
      </c>
      <c r="J412" s="376" t="s">
        <v>45</v>
      </c>
      <c r="K412" s="373">
        <v>30</v>
      </c>
      <c r="L412" s="373">
        <v>5.5</v>
      </c>
      <c r="M412" s="379" t="s">
        <v>14</v>
      </c>
      <c r="N412" s="408" t="s">
        <v>234</v>
      </c>
      <c r="O412" s="373" t="s">
        <v>27</v>
      </c>
      <c r="P412" s="156"/>
      <c r="Q412" s="373" t="s">
        <v>265</v>
      </c>
      <c r="R412" s="1"/>
    </row>
    <row r="413" spans="1:18" ht="15.6" x14ac:dyDescent="0.3">
      <c r="A413" s="374"/>
      <c r="B413" s="374"/>
      <c r="C413" s="51">
        <v>-2800</v>
      </c>
      <c r="D413" s="374"/>
      <c r="E413" s="374"/>
      <c r="F413" s="374"/>
      <c r="G413" s="374"/>
      <c r="H413" s="374"/>
      <c r="I413" s="374"/>
      <c r="J413" s="377"/>
      <c r="K413" s="374"/>
      <c r="L413" s="374"/>
      <c r="M413" s="380"/>
      <c r="N413" s="409"/>
      <c r="O413" s="374"/>
      <c r="P413" s="157"/>
      <c r="Q413" s="374"/>
      <c r="R413" s="1"/>
    </row>
    <row r="414" spans="1:18" ht="16.2" thickBot="1" x14ac:dyDescent="0.35">
      <c r="A414" s="375"/>
      <c r="B414" s="375"/>
      <c r="C414" s="50">
        <v>7527</v>
      </c>
      <c r="D414" s="375"/>
      <c r="E414" s="375"/>
      <c r="F414" s="375"/>
      <c r="G414" s="375"/>
      <c r="H414" s="375"/>
      <c r="I414" s="375"/>
      <c r="J414" s="378"/>
      <c r="K414" s="375"/>
      <c r="L414" s="375"/>
      <c r="M414" s="381"/>
      <c r="N414" s="410"/>
      <c r="O414" s="375"/>
      <c r="P414" s="158"/>
      <c r="Q414" s="375"/>
      <c r="R414" s="1"/>
    </row>
    <row r="415" spans="1:18" ht="15.6" x14ac:dyDescent="0.3">
      <c r="A415" s="373">
        <v>121</v>
      </c>
      <c r="B415" s="373" t="s">
        <v>48</v>
      </c>
      <c r="C415" s="49">
        <v>-15100</v>
      </c>
      <c r="D415" s="373">
        <v>1</v>
      </c>
      <c r="E415" s="373" t="s">
        <v>63</v>
      </c>
      <c r="F415" s="373">
        <v>1450</v>
      </c>
      <c r="G415" s="373">
        <v>1200</v>
      </c>
      <c r="H415" s="373" t="s">
        <v>61</v>
      </c>
      <c r="I415" s="373">
        <v>190</v>
      </c>
      <c r="J415" s="376" t="s">
        <v>45</v>
      </c>
      <c r="K415" s="373">
        <v>60</v>
      </c>
      <c r="L415" s="373">
        <v>9.5</v>
      </c>
      <c r="M415" s="379" t="s">
        <v>14</v>
      </c>
      <c r="N415" s="408" t="s">
        <v>234</v>
      </c>
      <c r="O415" s="373" t="s">
        <v>27</v>
      </c>
      <c r="P415" s="156"/>
      <c r="Q415" s="373" t="s">
        <v>254</v>
      </c>
      <c r="R415" s="1"/>
    </row>
    <row r="416" spans="1:18" ht="15.6" x14ac:dyDescent="0.3">
      <c r="A416" s="374"/>
      <c r="B416" s="374"/>
      <c r="C416" s="51">
        <v>825</v>
      </c>
      <c r="D416" s="374"/>
      <c r="E416" s="374"/>
      <c r="F416" s="374"/>
      <c r="G416" s="374"/>
      <c r="H416" s="374"/>
      <c r="I416" s="374"/>
      <c r="J416" s="377"/>
      <c r="K416" s="374"/>
      <c r="L416" s="374"/>
      <c r="M416" s="380"/>
      <c r="N416" s="409"/>
      <c r="O416" s="374"/>
      <c r="P416" s="157"/>
      <c r="Q416" s="374"/>
      <c r="R416" s="1"/>
    </row>
    <row r="417" spans="1:18" ht="16.2" thickBot="1" x14ac:dyDescent="0.35">
      <c r="A417" s="375"/>
      <c r="B417" s="375"/>
      <c r="C417" s="50">
        <v>7527</v>
      </c>
      <c r="D417" s="375"/>
      <c r="E417" s="375"/>
      <c r="F417" s="375"/>
      <c r="G417" s="375"/>
      <c r="H417" s="375"/>
      <c r="I417" s="375"/>
      <c r="J417" s="378"/>
      <c r="K417" s="375"/>
      <c r="L417" s="375"/>
      <c r="M417" s="381"/>
      <c r="N417" s="410"/>
      <c r="O417" s="375"/>
      <c r="P417" s="158"/>
      <c r="Q417" s="375"/>
      <c r="R417" s="1"/>
    </row>
    <row r="418" spans="1:18" ht="15.6" x14ac:dyDescent="0.3">
      <c r="A418" s="376">
        <v>131</v>
      </c>
      <c r="B418" s="376" t="s">
        <v>167</v>
      </c>
      <c r="C418" s="58">
        <v>7115</v>
      </c>
      <c r="D418" s="376">
        <v>2</v>
      </c>
      <c r="E418" s="376" t="s">
        <v>239</v>
      </c>
      <c r="F418" s="373">
        <v>1450</v>
      </c>
      <c r="G418" s="373">
        <v>1200</v>
      </c>
      <c r="H418" s="376" t="s">
        <v>50</v>
      </c>
      <c r="I418" s="376">
        <v>120</v>
      </c>
      <c r="J418" s="376" t="s">
        <v>45</v>
      </c>
      <c r="K418" s="376">
        <v>30</v>
      </c>
      <c r="L418" s="373" t="s">
        <v>13</v>
      </c>
      <c r="M418" s="379" t="s">
        <v>14</v>
      </c>
      <c r="N418" s="402" t="s">
        <v>234</v>
      </c>
      <c r="O418" s="373" t="s">
        <v>27</v>
      </c>
      <c r="P418" s="156"/>
      <c r="Q418" s="373" t="s">
        <v>266</v>
      </c>
      <c r="R418" s="1"/>
    </row>
    <row r="419" spans="1:18" ht="16.2" thickBot="1" x14ac:dyDescent="0.35">
      <c r="A419" s="377"/>
      <c r="B419" s="378"/>
      <c r="C419" s="59">
        <v>17365</v>
      </c>
      <c r="D419" s="377"/>
      <c r="E419" s="378"/>
      <c r="F419" s="374"/>
      <c r="G419" s="374"/>
      <c r="H419" s="377"/>
      <c r="I419" s="378"/>
      <c r="J419" s="378"/>
      <c r="K419" s="378"/>
      <c r="L419" s="374"/>
      <c r="M419" s="380"/>
      <c r="N419" s="403"/>
      <c r="O419" s="374"/>
      <c r="P419" s="157"/>
      <c r="Q419" s="374"/>
      <c r="R419" s="1"/>
    </row>
    <row r="420" spans="1:18" ht="31.8" thickBot="1" x14ac:dyDescent="0.35">
      <c r="A420" s="378"/>
      <c r="B420" s="57" t="s">
        <v>167</v>
      </c>
      <c r="C420" s="57">
        <v>7527</v>
      </c>
      <c r="D420" s="378"/>
      <c r="E420" s="57" t="s">
        <v>239</v>
      </c>
      <c r="F420" s="375"/>
      <c r="G420" s="375"/>
      <c r="H420" s="378"/>
      <c r="I420" s="57">
        <v>120</v>
      </c>
      <c r="J420" s="57" t="s">
        <v>45</v>
      </c>
      <c r="K420" s="57">
        <v>30</v>
      </c>
      <c r="L420" s="375"/>
      <c r="M420" s="381"/>
      <c r="N420" s="404"/>
      <c r="O420" s="375"/>
      <c r="P420" s="50"/>
      <c r="Q420" s="50"/>
      <c r="R420" s="1"/>
    </row>
    <row r="421" spans="1:18" ht="15.6" x14ac:dyDescent="0.3">
      <c r="A421" s="373">
        <v>137</v>
      </c>
      <c r="B421" s="373" t="s">
        <v>230</v>
      </c>
      <c r="C421" s="49">
        <v>9665</v>
      </c>
      <c r="D421" s="373">
        <v>1</v>
      </c>
      <c r="E421" s="373" t="s">
        <v>66</v>
      </c>
      <c r="F421" s="373">
        <v>1450</v>
      </c>
      <c r="G421" s="373">
        <v>1200</v>
      </c>
      <c r="H421" s="373" t="s">
        <v>50</v>
      </c>
      <c r="I421" s="373">
        <v>150</v>
      </c>
      <c r="J421" s="376" t="s">
        <v>45</v>
      </c>
      <c r="K421" s="373">
        <v>30</v>
      </c>
      <c r="L421" s="373">
        <v>10</v>
      </c>
      <c r="M421" s="379" t="s">
        <v>14</v>
      </c>
      <c r="N421" s="408" t="s">
        <v>234</v>
      </c>
      <c r="O421" s="373" t="s">
        <v>27</v>
      </c>
      <c r="P421" s="156"/>
      <c r="Q421" s="373" t="s">
        <v>238</v>
      </c>
      <c r="R421" s="1"/>
    </row>
    <row r="422" spans="1:18" ht="15.6" x14ac:dyDescent="0.3">
      <c r="A422" s="374"/>
      <c r="B422" s="374"/>
      <c r="C422" s="51">
        <v>12435</v>
      </c>
      <c r="D422" s="374"/>
      <c r="E422" s="374"/>
      <c r="F422" s="374"/>
      <c r="G422" s="374"/>
      <c r="H422" s="374"/>
      <c r="I422" s="374"/>
      <c r="J422" s="377"/>
      <c r="K422" s="374"/>
      <c r="L422" s="374"/>
      <c r="M422" s="380"/>
      <c r="N422" s="409"/>
      <c r="O422" s="374"/>
      <c r="P422" s="157"/>
      <c r="Q422" s="374"/>
      <c r="R422" s="1"/>
    </row>
    <row r="423" spans="1:18" ht="16.2" thickBot="1" x14ac:dyDescent="0.35">
      <c r="A423" s="375"/>
      <c r="B423" s="375"/>
      <c r="C423" s="50">
        <v>7527</v>
      </c>
      <c r="D423" s="375"/>
      <c r="E423" s="375"/>
      <c r="F423" s="375"/>
      <c r="G423" s="375"/>
      <c r="H423" s="375"/>
      <c r="I423" s="375"/>
      <c r="J423" s="378"/>
      <c r="K423" s="375"/>
      <c r="L423" s="375"/>
      <c r="M423" s="381"/>
      <c r="N423" s="410"/>
      <c r="O423" s="375"/>
      <c r="P423" s="158"/>
      <c r="Q423" s="375"/>
      <c r="R423" s="1"/>
    </row>
    <row r="424" spans="1:18" ht="15.6" x14ac:dyDescent="0.3">
      <c r="A424" s="373">
        <v>139</v>
      </c>
      <c r="B424" s="373" t="s">
        <v>179</v>
      </c>
      <c r="C424" s="49">
        <v>9255</v>
      </c>
      <c r="D424" s="373">
        <v>1</v>
      </c>
      <c r="E424" s="373" t="s">
        <v>66</v>
      </c>
      <c r="F424" s="373">
        <v>1450</v>
      </c>
      <c r="G424" s="373">
        <v>1200</v>
      </c>
      <c r="H424" s="373" t="s">
        <v>50</v>
      </c>
      <c r="I424" s="373">
        <v>100</v>
      </c>
      <c r="J424" s="376" t="s">
        <v>45</v>
      </c>
      <c r="K424" s="373">
        <v>30</v>
      </c>
      <c r="L424" s="373">
        <v>10</v>
      </c>
      <c r="M424" s="379" t="s">
        <v>14</v>
      </c>
      <c r="N424" s="408" t="s">
        <v>234</v>
      </c>
      <c r="O424" s="373" t="s">
        <v>27</v>
      </c>
      <c r="P424" s="156"/>
      <c r="Q424" s="373" t="s">
        <v>238</v>
      </c>
      <c r="R424" s="1"/>
    </row>
    <row r="425" spans="1:18" ht="15.6" x14ac:dyDescent="0.3">
      <c r="A425" s="374"/>
      <c r="B425" s="374"/>
      <c r="C425" s="51">
        <v>12145</v>
      </c>
      <c r="D425" s="374"/>
      <c r="E425" s="374"/>
      <c r="F425" s="374"/>
      <c r="G425" s="374"/>
      <c r="H425" s="374"/>
      <c r="I425" s="374"/>
      <c r="J425" s="377"/>
      <c r="K425" s="374"/>
      <c r="L425" s="374"/>
      <c r="M425" s="380"/>
      <c r="N425" s="409"/>
      <c r="O425" s="374"/>
      <c r="P425" s="157"/>
      <c r="Q425" s="374"/>
      <c r="R425" s="1"/>
    </row>
    <row r="426" spans="1:18" ht="16.2" thickBot="1" x14ac:dyDescent="0.35">
      <c r="A426" s="375"/>
      <c r="B426" s="375"/>
      <c r="C426" s="50">
        <v>7527</v>
      </c>
      <c r="D426" s="375"/>
      <c r="E426" s="375"/>
      <c r="F426" s="375"/>
      <c r="G426" s="375"/>
      <c r="H426" s="375"/>
      <c r="I426" s="375"/>
      <c r="J426" s="378"/>
      <c r="K426" s="375"/>
      <c r="L426" s="375"/>
      <c r="M426" s="381"/>
      <c r="N426" s="410"/>
      <c r="O426" s="375"/>
      <c r="P426" s="158"/>
      <c r="Q426" s="375"/>
      <c r="R426" s="1"/>
    </row>
    <row r="427" spans="1:18" ht="15.6" x14ac:dyDescent="0.3">
      <c r="A427" s="373">
        <v>142</v>
      </c>
      <c r="B427" s="373" t="s">
        <v>268</v>
      </c>
      <c r="C427" s="49">
        <v>950</v>
      </c>
      <c r="D427" s="373">
        <v>1</v>
      </c>
      <c r="E427" s="373" t="s">
        <v>269</v>
      </c>
      <c r="F427" s="373">
        <v>1450</v>
      </c>
      <c r="G427" s="373">
        <v>1200</v>
      </c>
      <c r="H427" s="373" t="s">
        <v>44</v>
      </c>
      <c r="I427" s="373">
        <v>300</v>
      </c>
      <c r="J427" s="376" t="s">
        <v>45</v>
      </c>
      <c r="K427" s="373">
        <v>100</v>
      </c>
      <c r="L427" s="373">
        <v>0.5</v>
      </c>
      <c r="M427" s="379" t="s">
        <v>14</v>
      </c>
      <c r="N427" s="408" t="s">
        <v>234</v>
      </c>
      <c r="O427" s="373" t="s">
        <v>27</v>
      </c>
      <c r="P427" s="156"/>
      <c r="Q427" s="373" t="s">
        <v>267</v>
      </c>
      <c r="R427" s="1"/>
    </row>
    <row r="428" spans="1:18" ht="15.6" x14ac:dyDescent="0.3">
      <c r="A428" s="374"/>
      <c r="B428" s="374"/>
      <c r="C428" s="51">
        <v>10400</v>
      </c>
      <c r="D428" s="374"/>
      <c r="E428" s="374"/>
      <c r="F428" s="374"/>
      <c r="G428" s="374"/>
      <c r="H428" s="374"/>
      <c r="I428" s="374"/>
      <c r="J428" s="377"/>
      <c r="K428" s="374"/>
      <c r="L428" s="374"/>
      <c r="M428" s="380"/>
      <c r="N428" s="409"/>
      <c r="O428" s="374"/>
      <c r="P428" s="157"/>
      <c r="Q428" s="374"/>
      <c r="R428" s="1"/>
    </row>
    <row r="429" spans="1:18" ht="16.2" thickBot="1" x14ac:dyDescent="0.35">
      <c r="A429" s="375"/>
      <c r="B429" s="375"/>
      <c r="C429" s="50">
        <v>7527</v>
      </c>
      <c r="D429" s="375"/>
      <c r="E429" s="375"/>
      <c r="F429" s="375"/>
      <c r="G429" s="375"/>
      <c r="H429" s="375"/>
      <c r="I429" s="375"/>
      <c r="J429" s="378"/>
      <c r="K429" s="375"/>
      <c r="L429" s="375"/>
      <c r="M429" s="381"/>
      <c r="N429" s="410"/>
      <c r="O429" s="375"/>
      <c r="P429" s="158"/>
      <c r="Q429" s="375"/>
      <c r="R429" s="1"/>
    </row>
    <row r="430" spans="1:18" ht="15.6" x14ac:dyDescent="0.3">
      <c r="A430" s="373">
        <v>143</v>
      </c>
      <c r="B430" s="373" t="s">
        <v>64</v>
      </c>
      <c r="C430" s="49">
        <v>-850</v>
      </c>
      <c r="D430" s="373">
        <v>1</v>
      </c>
      <c r="E430" s="373" t="s">
        <v>245</v>
      </c>
      <c r="F430" s="373">
        <v>1450</v>
      </c>
      <c r="G430" s="373">
        <v>1200</v>
      </c>
      <c r="H430" s="373" t="s">
        <v>12</v>
      </c>
      <c r="I430" s="373">
        <v>350</v>
      </c>
      <c r="J430" s="376" t="s">
        <v>45</v>
      </c>
      <c r="K430" s="373">
        <v>90</v>
      </c>
      <c r="L430" s="373">
        <v>46</v>
      </c>
      <c r="M430" s="379" t="s">
        <v>14</v>
      </c>
      <c r="N430" s="408" t="s">
        <v>234</v>
      </c>
      <c r="O430" s="373" t="s">
        <v>27</v>
      </c>
      <c r="P430" s="156"/>
      <c r="Q430" s="373" t="s">
        <v>246</v>
      </c>
      <c r="R430" s="1"/>
    </row>
    <row r="431" spans="1:18" ht="15.6" x14ac:dyDescent="0.3">
      <c r="A431" s="374"/>
      <c r="B431" s="374"/>
      <c r="C431" s="51">
        <v>10400</v>
      </c>
      <c r="D431" s="374"/>
      <c r="E431" s="374"/>
      <c r="F431" s="374"/>
      <c r="G431" s="374"/>
      <c r="H431" s="374"/>
      <c r="I431" s="374"/>
      <c r="J431" s="377"/>
      <c r="K431" s="374"/>
      <c r="L431" s="374"/>
      <c r="M431" s="380"/>
      <c r="N431" s="409"/>
      <c r="O431" s="374"/>
      <c r="P431" s="157"/>
      <c r="Q431" s="374"/>
      <c r="R431" s="1"/>
    </row>
    <row r="432" spans="1:18" ht="16.2" thickBot="1" x14ac:dyDescent="0.35">
      <c r="A432" s="375"/>
      <c r="B432" s="375"/>
      <c r="C432" s="50">
        <v>7527</v>
      </c>
      <c r="D432" s="375"/>
      <c r="E432" s="375"/>
      <c r="F432" s="375"/>
      <c r="G432" s="375"/>
      <c r="H432" s="375"/>
      <c r="I432" s="375"/>
      <c r="J432" s="378"/>
      <c r="K432" s="375"/>
      <c r="L432" s="375"/>
      <c r="M432" s="381"/>
      <c r="N432" s="410"/>
      <c r="O432" s="375"/>
      <c r="P432" s="158"/>
      <c r="Q432" s="375"/>
      <c r="R432" s="1"/>
    </row>
    <row r="433" spans="1:18" ht="15.6" x14ac:dyDescent="0.3">
      <c r="A433" s="373">
        <v>148</v>
      </c>
      <c r="B433" s="373" t="s">
        <v>179</v>
      </c>
      <c r="C433" s="49">
        <v>1500</v>
      </c>
      <c r="D433" s="373">
        <v>1</v>
      </c>
      <c r="E433" s="373" t="s">
        <v>239</v>
      </c>
      <c r="F433" s="373">
        <v>1450</v>
      </c>
      <c r="G433" s="373">
        <v>1200</v>
      </c>
      <c r="H433" s="373" t="s">
        <v>44</v>
      </c>
      <c r="I433" s="373">
        <v>350</v>
      </c>
      <c r="J433" s="376" t="s">
        <v>45</v>
      </c>
      <c r="K433" s="373">
        <v>40</v>
      </c>
      <c r="L433" s="373">
        <v>95.5</v>
      </c>
      <c r="M433" s="379" t="s">
        <v>14</v>
      </c>
      <c r="N433" s="408" t="s">
        <v>234</v>
      </c>
      <c r="O433" s="373" t="s">
        <v>27</v>
      </c>
      <c r="P433" s="156"/>
      <c r="Q433" s="373" t="s">
        <v>247</v>
      </c>
      <c r="R433" s="1"/>
    </row>
    <row r="434" spans="1:18" ht="15.6" x14ac:dyDescent="0.3">
      <c r="A434" s="374"/>
      <c r="B434" s="374"/>
      <c r="C434" s="51">
        <v>10400</v>
      </c>
      <c r="D434" s="374"/>
      <c r="E434" s="374"/>
      <c r="F434" s="374"/>
      <c r="G434" s="374"/>
      <c r="H434" s="374"/>
      <c r="I434" s="374"/>
      <c r="J434" s="377"/>
      <c r="K434" s="374"/>
      <c r="L434" s="374"/>
      <c r="M434" s="380"/>
      <c r="N434" s="409"/>
      <c r="O434" s="374"/>
      <c r="P434" s="157"/>
      <c r="Q434" s="374"/>
      <c r="R434" s="1"/>
    </row>
    <row r="435" spans="1:18" ht="16.2" thickBot="1" x14ac:dyDescent="0.35">
      <c r="A435" s="375"/>
      <c r="B435" s="375"/>
      <c r="C435" s="50">
        <v>7527</v>
      </c>
      <c r="D435" s="375"/>
      <c r="E435" s="375"/>
      <c r="F435" s="375"/>
      <c r="G435" s="375"/>
      <c r="H435" s="375"/>
      <c r="I435" s="375"/>
      <c r="J435" s="378"/>
      <c r="K435" s="375"/>
      <c r="L435" s="375"/>
      <c r="M435" s="381"/>
      <c r="N435" s="410"/>
      <c r="O435" s="375"/>
      <c r="P435" s="158"/>
      <c r="Q435" s="375"/>
      <c r="R435" s="1"/>
    </row>
    <row r="436" spans="1:18" ht="15.6" x14ac:dyDescent="0.3">
      <c r="A436" s="373">
        <v>151</v>
      </c>
      <c r="B436" s="373" t="s">
        <v>257</v>
      </c>
      <c r="C436" s="49">
        <v>-550</v>
      </c>
      <c r="D436" s="373">
        <v>1</v>
      </c>
      <c r="E436" s="373" t="s">
        <v>245</v>
      </c>
      <c r="F436" s="373">
        <v>1450</v>
      </c>
      <c r="G436" s="373">
        <v>1200</v>
      </c>
      <c r="H436" s="373" t="s">
        <v>19</v>
      </c>
      <c r="I436" s="373">
        <v>350</v>
      </c>
      <c r="J436" s="376" t="s">
        <v>45</v>
      </c>
      <c r="K436" s="373">
        <v>90</v>
      </c>
      <c r="L436" s="373">
        <v>-32</v>
      </c>
      <c r="M436" s="379" t="s">
        <v>14</v>
      </c>
      <c r="N436" s="408" t="s">
        <v>234</v>
      </c>
      <c r="O436" s="373" t="s">
        <v>27</v>
      </c>
      <c r="P436" s="156"/>
      <c r="Q436" s="373" t="s">
        <v>243</v>
      </c>
      <c r="R436" s="1"/>
    </row>
    <row r="437" spans="1:18" ht="15.6" x14ac:dyDescent="0.3">
      <c r="A437" s="374"/>
      <c r="B437" s="374"/>
      <c r="C437" s="51">
        <v>7550</v>
      </c>
      <c r="D437" s="374"/>
      <c r="E437" s="374"/>
      <c r="F437" s="374"/>
      <c r="G437" s="374"/>
      <c r="H437" s="374"/>
      <c r="I437" s="374"/>
      <c r="J437" s="377"/>
      <c r="K437" s="374"/>
      <c r="L437" s="374"/>
      <c r="M437" s="380"/>
      <c r="N437" s="409"/>
      <c r="O437" s="374"/>
      <c r="P437" s="157"/>
      <c r="Q437" s="374"/>
      <c r="R437" s="1"/>
    </row>
    <row r="438" spans="1:18" ht="16.2" thickBot="1" x14ac:dyDescent="0.35">
      <c r="A438" s="375"/>
      <c r="B438" s="375"/>
      <c r="C438" s="50">
        <v>7527</v>
      </c>
      <c r="D438" s="375"/>
      <c r="E438" s="375"/>
      <c r="F438" s="375"/>
      <c r="G438" s="375"/>
      <c r="H438" s="375"/>
      <c r="I438" s="375"/>
      <c r="J438" s="378"/>
      <c r="K438" s="375"/>
      <c r="L438" s="375"/>
      <c r="M438" s="381"/>
      <c r="N438" s="410"/>
      <c r="O438" s="375"/>
      <c r="P438" s="158"/>
      <c r="Q438" s="375"/>
      <c r="R438" s="1"/>
    </row>
    <row r="439" spans="1:18" ht="15.6" x14ac:dyDescent="0.3">
      <c r="A439" s="385">
        <v>155</v>
      </c>
      <c r="B439" s="385" t="s">
        <v>274</v>
      </c>
      <c r="C439" s="43">
        <v>15800</v>
      </c>
      <c r="D439" s="385">
        <v>2</v>
      </c>
      <c r="E439" s="385" t="s">
        <v>168</v>
      </c>
      <c r="F439" s="388">
        <v>1450</v>
      </c>
      <c r="G439" s="388">
        <v>1200</v>
      </c>
      <c r="H439" s="385" t="s">
        <v>50</v>
      </c>
      <c r="I439" s="385">
        <v>300</v>
      </c>
      <c r="J439" s="385" t="s">
        <v>45</v>
      </c>
      <c r="K439" s="385" t="s">
        <v>275</v>
      </c>
      <c r="L439" s="388" t="s">
        <v>13</v>
      </c>
      <c r="M439" s="355" t="s">
        <v>14</v>
      </c>
      <c r="N439" s="455" t="s">
        <v>273</v>
      </c>
      <c r="O439" s="388" t="s">
        <v>27</v>
      </c>
      <c r="P439" s="145"/>
      <c r="Q439" s="385" t="s">
        <v>243</v>
      </c>
      <c r="R439" s="1"/>
    </row>
    <row r="440" spans="1:18" ht="16.2" thickBot="1" x14ac:dyDescent="0.35">
      <c r="A440" s="386"/>
      <c r="B440" s="387"/>
      <c r="C440" s="48">
        <v>12520</v>
      </c>
      <c r="D440" s="386"/>
      <c r="E440" s="387"/>
      <c r="F440" s="389"/>
      <c r="G440" s="389"/>
      <c r="H440" s="386"/>
      <c r="I440" s="387"/>
      <c r="J440" s="387"/>
      <c r="K440" s="386"/>
      <c r="L440" s="389"/>
      <c r="M440" s="356"/>
      <c r="N440" s="456"/>
      <c r="O440" s="389"/>
      <c r="P440" s="146"/>
      <c r="Q440" s="386"/>
      <c r="R440" s="1"/>
    </row>
    <row r="441" spans="1:18" ht="31.8" thickBot="1" x14ac:dyDescent="0.35">
      <c r="A441" s="387"/>
      <c r="B441" s="44" t="s">
        <v>274</v>
      </c>
      <c r="C441" s="44">
        <v>7527</v>
      </c>
      <c r="D441" s="387"/>
      <c r="E441" s="44" t="s">
        <v>168</v>
      </c>
      <c r="F441" s="390"/>
      <c r="G441" s="390"/>
      <c r="H441" s="387"/>
      <c r="I441" s="44">
        <v>60</v>
      </c>
      <c r="J441" s="44" t="s">
        <v>45</v>
      </c>
      <c r="K441" s="387"/>
      <c r="L441" s="390"/>
      <c r="M441" s="357"/>
      <c r="N441" s="457"/>
      <c r="O441" s="390"/>
      <c r="P441" s="147"/>
      <c r="Q441" s="387"/>
      <c r="R441" s="1"/>
    </row>
    <row r="442" spans="1:18" ht="15.6" x14ac:dyDescent="0.3">
      <c r="A442" s="373">
        <v>157</v>
      </c>
      <c r="B442" s="373" t="s">
        <v>230</v>
      </c>
      <c r="C442" s="49">
        <v>15115</v>
      </c>
      <c r="D442" s="373">
        <v>1</v>
      </c>
      <c r="E442" s="373" t="s">
        <v>161</v>
      </c>
      <c r="F442" s="373">
        <v>1450</v>
      </c>
      <c r="G442" s="373">
        <v>1200</v>
      </c>
      <c r="H442" s="373" t="s">
        <v>25</v>
      </c>
      <c r="I442" s="373">
        <v>150</v>
      </c>
      <c r="J442" s="376" t="s">
        <v>45</v>
      </c>
      <c r="K442" s="373">
        <v>40</v>
      </c>
      <c r="L442" s="373">
        <v>17.5</v>
      </c>
      <c r="M442" s="379" t="s">
        <v>14</v>
      </c>
      <c r="N442" s="408" t="s">
        <v>273</v>
      </c>
      <c r="O442" s="373" t="s">
        <v>27</v>
      </c>
      <c r="P442" s="156"/>
      <c r="Q442" s="373" t="s">
        <v>260</v>
      </c>
      <c r="R442" s="1"/>
    </row>
    <row r="443" spans="1:18" ht="15.6" x14ac:dyDescent="0.3">
      <c r="A443" s="374"/>
      <c r="B443" s="374"/>
      <c r="C443" s="51">
        <v>11185</v>
      </c>
      <c r="D443" s="374"/>
      <c r="E443" s="374"/>
      <c r="F443" s="374"/>
      <c r="G443" s="374"/>
      <c r="H443" s="374"/>
      <c r="I443" s="374"/>
      <c r="J443" s="377"/>
      <c r="K443" s="374"/>
      <c r="L443" s="374"/>
      <c r="M443" s="380"/>
      <c r="N443" s="409"/>
      <c r="O443" s="374"/>
      <c r="P443" s="157"/>
      <c r="Q443" s="374"/>
      <c r="R443" s="1"/>
    </row>
    <row r="444" spans="1:18" ht="16.2" thickBot="1" x14ac:dyDescent="0.35">
      <c r="A444" s="375"/>
      <c r="B444" s="375"/>
      <c r="C444" s="50">
        <v>7527</v>
      </c>
      <c r="D444" s="375"/>
      <c r="E444" s="375"/>
      <c r="F444" s="375"/>
      <c r="G444" s="375"/>
      <c r="H444" s="375"/>
      <c r="I444" s="375"/>
      <c r="J444" s="378"/>
      <c r="K444" s="375"/>
      <c r="L444" s="375"/>
      <c r="M444" s="381"/>
      <c r="N444" s="410"/>
      <c r="O444" s="375"/>
      <c r="P444" s="158"/>
      <c r="Q444" s="375"/>
      <c r="R444" s="1"/>
    </row>
    <row r="445" spans="1:18" ht="15.6" x14ac:dyDescent="0.3">
      <c r="A445" s="373">
        <v>160</v>
      </c>
      <c r="B445" s="373" t="s">
        <v>230</v>
      </c>
      <c r="C445" s="49">
        <v>10850</v>
      </c>
      <c r="D445" s="373">
        <v>1</v>
      </c>
      <c r="E445" s="373" t="s">
        <v>161</v>
      </c>
      <c r="F445" s="373">
        <v>1450</v>
      </c>
      <c r="G445" s="373">
        <v>1200</v>
      </c>
      <c r="H445" s="373" t="s">
        <v>50</v>
      </c>
      <c r="I445" s="373">
        <v>150</v>
      </c>
      <c r="J445" s="376" t="s">
        <v>45</v>
      </c>
      <c r="K445" s="373">
        <v>40</v>
      </c>
      <c r="L445" s="373">
        <v>-7</v>
      </c>
      <c r="M445" s="379" t="s">
        <v>14</v>
      </c>
      <c r="N445" s="408" t="s">
        <v>273</v>
      </c>
      <c r="O445" s="373" t="s">
        <v>27</v>
      </c>
      <c r="P445" s="156"/>
      <c r="Q445" s="373" t="s">
        <v>243</v>
      </c>
      <c r="R445" s="1"/>
    </row>
    <row r="446" spans="1:18" ht="15.6" x14ac:dyDescent="0.3">
      <c r="A446" s="374"/>
      <c r="B446" s="374"/>
      <c r="C446" s="51">
        <v>7955</v>
      </c>
      <c r="D446" s="374"/>
      <c r="E446" s="374"/>
      <c r="F446" s="374"/>
      <c r="G446" s="374"/>
      <c r="H446" s="374"/>
      <c r="I446" s="374"/>
      <c r="J446" s="377"/>
      <c r="K446" s="374"/>
      <c r="L446" s="374"/>
      <c r="M446" s="380"/>
      <c r="N446" s="409"/>
      <c r="O446" s="374"/>
      <c r="P446" s="157"/>
      <c r="Q446" s="374"/>
      <c r="R446" s="1"/>
    </row>
    <row r="447" spans="1:18" ht="16.2" thickBot="1" x14ac:dyDescent="0.35">
      <c r="A447" s="375"/>
      <c r="B447" s="375"/>
      <c r="C447" s="50">
        <v>7527</v>
      </c>
      <c r="D447" s="375"/>
      <c r="E447" s="375"/>
      <c r="F447" s="375"/>
      <c r="G447" s="375"/>
      <c r="H447" s="375"/>
      <c r="I447" s="375"/>
      <c r="J447" s="378"/>
      <c r="K447" s="375"/>
      <c r="L447" s="375"/>
      <c r="M447" s="381"/>
      <c r="N447" s="410"/>
      <c r="O447" s="375"/>
      <c r="P447" s="158"/>
      <c r="Q447" s="375"/>
      <c r="R447" s="1"/>
    </row>
    <row r="448" spans="1:18" ht="15.6" x14ac:dyDescent="0.3">
      <c r="A448" s="373">
        <v>161</v>
      </c>
      <c r="B448" s="373" t="s">
        <v>191</v>
      </c>
      <c r="C448" s="49">
        <v>7695</v>
      </c>
      <c r="D448" s="373">
        <v>1</v>
      </c>
      <c r="E448" s="373" t="s">
        <v>255</v>
      </c>
      <c r="F448" s="373">
        <v>1450</v>
      </c>
      <c r="G448" s="373">
        <v>1200</v>
      </c>
      <c r="H448" s="373" t="s">
        <v>50</v>
      </c>
      <c r="I448" s="373">
        <v>150</v>
      </c>
      <c r="J448" s="376" t="s">
        <v>45</v>
      </c>
      <c r="K448" s="373">
        <v>30</v>
      </c>
      <c r="L448" s="373">
        <v>6.5</v>
      </c>
      <c r="M448" s="379" t="s">
        <v>14</v>
      </c>
      <c r="N448" s="408" t="s">
        <v>234</v>
      </c>
      <c r="O448" s="373" t="s">
        <v>27</v>
      </c>
      <c r="P448" s="156"/>
      <c r="Q448" s="373" t="s">
        <v>256</v>
      </c>
      <c r="R448" s="1"/>
    </row>
    <row r="449" spans="1:18" ht="15.6" x14ac:dyDescent="0.3">
      <c r="A449" s="374"/>
      <c r="B449" s="374"/>
      <c r="C449" s="51">
        <v>6790</v>
      </c>
      <c r="D449" s="374"/>
      <c r="E449" s="374"/>
      <c r="F449" s="374"/>
      <c r="G449" s="374"/>
      <c r="H449" s="374"/>
      <c r="I449" s="374"/>
      <c r="J449" s="377"/>
      <c r="K449" s="374"/>
      <c r="L449" s="374"/>
      <c r="M449" s="380"/>
      <c r="N449" s="409"/>
      <c r="O449" s="374"/>
      <c r="P449" s="157"/>
      <c r="Q449" s="374"/>
      <c r="R449" s="1"/>
    </row>
    <row r="450" spans="1:18" ht="16.2" thickBot="1" x14ac:dyDescent="0.35">
      <c r="A450" s="375"/>
      <c r="B450" s="375"/>
      <c r="C450" s="50">
        <v>7527</v>
      </c>
      <c r="D450" s="375"/>
      <c r="E450" s="375"/>
      <c r="F450" s="375"/>
      <c r="G450" s="375"/>
      <c r="H450" s="375"/>
      <c r="I450" s="375"/>
      <c r="J450" s="378"/>
      <c r="K450" s="375"/>
      <c r="L450" s="375"/>
      <c r="M450" s="381"/>
      <c r="N450" s="410"/>
      <c r="O450" s="375"/>
      <c r="P450" s="158"/>
      <c r="Q450" s="375"/>
      <c r="R450" s="1"/>
    </row>
    <row r="451" spans="1:18" ht="15.6" x14ac:dyDescent="0.3">
      <c r="A451" s="373">
        <v>162</v>
      </c>
      <c r="B451" s="373" t="s">
        <v>191</v>
      </c>
      <c r="C451" s="49">
        <v>7490</v>
      </c>
      <c r="D451" s="373">
        <v>1</v>
      </c>
      <c r="E451" s="373" t="s">
        <v>255</v>
      </c>
      <c r="F451" s="373">
        <v>1450</v>
      </c>
      <c r="G451" s="373">
        <v>1200</v>
      </c>
      <c r="H451" s="373" t="s">
        <v>50</v>
      </c>
      <c r="I451" s="373">
        <v>150</v>
      </c>
      <c r="J451" s="376" t="s">
        <v>45</v>
      </c>
      <c r="K451" s="373">
        <v>30</v>
      </c>
      <c r="L451" s="373">
        <v>6.5</v>
      </c>
      <c r="M451" s="379" t="s">
        <v>14</v>
      </c>
      <c r="N451" s="408" t="s">
        <v>234</v>
      </c>
      <c r="O451" s="373" t="s">
        <v>27</v>
      </c>
      <c r="P451" s="156"/>
      <c r="Q451" s="373" t="s">
        <v>256</v>
      </c>
      <c r="R451" s="1"/>
    </row>
    <row r="452" spans="1:18" ht="15.6" x14ac:dyDescent="0.3">
      <c r="A452" s="374"/>
      <c r="B452" s="374"/>
      <c r="C452" s="51">
        <v>6645</v>
      </c>
      <c r="D452" s="374"/>
      <c r="E452" s="374"/>
      <c r="F452" s="374"/>
      <c r="G452" s="374"/>
      <c r="H452" s="374"/>
      <c r="I452" s="374"/>
      <c r="J452" s="377"/>
      <c r="K452" s="374"/>
      <c r="L452" s="374"/>
      <c r="M452" s="380"/>
      <c r="N452" s="409"/>
      <c r="O452" s="374"/>
      <c r="P452" s="157"/>
      <c r="Q452" s="374"/>
      <c r="R452" s="1"/>
    </row>
    <row r="453" spans="1:18" ht="16.2" thickBot="1" x14ac:dyDescent="0.35">
      <c r="A453" s="375"/>
      <c r="B453" s="375"/>
      <c r="C453" s="50">
        <v>7527</v>
      </c>
      <c r="D453" s="375"/>
      <c r="E453" s="375"/>
      <c r="F453" s="375"/>
      <c r="G453" s="375"/>
      <c r="H453" s="375"/>
      <c r="I453" s="375"/>
      <c r="J453" s="378"/>
      <c r="K453" s="375"/>
      <c r="L453" s="375"/>
      <c r="M453" s="381"/>
      <c r="N453" s="410"/>
      <c r="O453" s="375"/>
      <c r="P453" s="158"/>
      <c r="Q453" s="375"/>
      <c r="R453" s="1"/>
    </row>
    <row r="454" spans="1:18" ht="15.6" x14ac:dyDescent="0.3">
      <c r="A454" s="388">
        <v>167</v>
      </c>
      <c r="B454" s="388" t="s">
        <v>191</v>
      </c>
      <c r="C454" s="45">
        <v>8085</v>
      </c>
      <c r="D454" s="388">
        <v>1</v>
      </c>
      <c r="E454" s="388" t="s">
        <v>168</v>
      </c>
      <c r="F454" s="388">
        <v>1450</v>
      </c>
      <c r="G454" s="388">
        <v>1200</v>
      </c>
      <c r="H454" s="388" t="s">
        <v>50</v>
      </c>
      <c r="I454" s="388">
        <v>150</v>
      </c>
      <c r="J454" s="385" t="s">
        <v>45</v>
      </c>
      <c r="K454" s="388">
        <v>30</v>
      </c>
      <c r="L454" s="388">
        <v>12</v>
      </c>
      <c r="M454" s="355" t="s">
        <v>14</v>
      </c>
      <c r="N454" s="437" t="s">
        <v>234</v>
      </c>
      <c r="O454" s="388" t="s">
        <v>27</v>
      </c>
      <c r="P454" s="145"/>
      <c r="Q454" s="385" t="s">
        <v>281</v>
      </c>
      <c r="R454" s="1"/>
    </row>
    <row r="455" spans="1:18" ht="15.6" x14ac:dyDescent="0.3">
      <c r="A455" s="389"/>
      <c r="B455" s="389"/>
      <c r="C455" s="46">
        <v>4350</v>
      </c>
      <c r="D455" s="389"/>
      <c r="E455" s="389"/>
      <c r="F455" s="389"/>
      <c r="G455" s="389"/>
      <c r="H455" s="389"/>
      <c r="I455" s="389"/>
      <c r="J455" s="386"/>
      <c r="K455" s="389"/>
      <c r="L455" s="389"/>
      <c r="M455" s="356"/>
      <c r="N455" s="438"/>
      <c r="O455" s="389"/>
      <c r="P455" s="146"/>
      <c r="Q455" s="386"/>
      <c r="R455" s="1"/>
    </row>
    <row r="456" spans="1:18" ht="16.2" thickBot="1" x14ac:dyDescent="0.35">
      <c r="A456" s="390"/>
      <c r="B456" s="390"/>
      <c r="C456" s="47">
        <v>7527</v>
      </c>
      <c r="D456" s="390"/>
      <c r="E456" s="390"/>
      <c r="F456" s="390"/>
      <c r="G456" s="390"/>
      <c r="H456" s="390"/>
      <c r="I456" s="390"/>
      <c r="J456" s="387"/>
      <c r="K456" s="390"/>
      <c r="L456" s="390"/>
      <c r="M456" s="357"/>
      <c r="N456" s="439"/>
      <c r="O456" s="390"/>
      <c r="P456" s="147"/>
      <c r="Q456" s="387"/>
      <c r="R456" s="1"/>
    </row>
    <row r="457" spans="1:18" ht="15.6" x14ac:dyDescent="0.3">
      <c r="A457" s="388">
        <v>168</v>
      </c>
      <c r="B457" s="388" t="s">
        <v>191</v>
      </c>
      <c r="C457" s="45">
        <v>9085</v>
      </c>
      <c r="D457" s="388">
        <v>1</v>
      </c>
      <c r="E457" s="388" t="s">
        <v>168</v>
      </c>
      <c r="F457" s="388">
        <v>1450</v>
      </c>
      <c r="G457" s="388">
        <v>1200</v>
      </c>
      <c r="H457" s="388" t="s">
        <v>50</v>
      </c>
      <c r="I457" s="388">
        <v>150</v>
      </c>
      <c r="J457" s="385" t="s">
        <v>45</v>
      </c>
      <c r="K457" s="388">
        <v>30</v>
      </c>
      <c r="L457" s="388">
        <v>12</v>
      </c>
      <c r="M457" s="355" t="s">
        <v>14</v>
      </c>
      <c r="N457" s="437" t="s">
        <v>234</v>
      </c>
      <c r="O457" s="388" t="s">
        <v>27</v>
      </c>
      <c r="P457" s="145"/>
      <c r="Q457" s="385" t="s">
        <v>169</v>
      </c>
      <c r="R457" s="1"/>
    </row>
    <row r="458" spans="1:18" ht="15.6" x14ac:dyDescent="0.3">
      <c r="A458" s="389"/>
      <c r="B458" s="389"/>
      <c r="C458" s="46">
        <v>4350</v>
      </c>
      <c r="D458" s="389"/>
      <c r="E458" s="389"/>
      <c r="F458" s="389"/>
      <c r="G458" s="389"/>
      <c r="H458" s="389"/>
      <c r="I458" s="389"/>
      <c r="J458" s="386"/>
      <c r="K458" s="389"/>
      <c r="L458" s="389"/>
      <c r="M458" s="356"/>
      <c r="N458" s="438"/>
      <c r="O458" s="389"/>
      <c r="P458" s="146"/>
      <c r="Q458" s="386"/>
      <c r="R458" s="1"/>
    </row>
    <row r="459" spans="1:18" ht="16.2" thickBot="1" x14ac:dyDescent="0.35">
      <c r="A459" s="390"/>
      <c r="B459" s="390"/>
      <c r="C459" s="47">
        <v>7527</v>
      </c>
      <c r="D459" s="390"/>
      <c r="E459" s="390"/>
      <c r="F459" s="390"/>
      <c r="G459" s="390"/>
      <c r="H459" s="390"/>
      <c r="I459" s="390"/>
      <c r="J459" s="387"/>
      <c r="K459" s="390"/>
      <c r="L459" s="390"/>
      <c r="M459" s="357"/>
      <c r="N459" s="439"/>
      <c r="O459" s="390"/>
      <c r="P459" s="147"/>
      <c r="Q459" s="387"/>
      <c r="R459" s="1"/>
    </row>
    <row r="460" spans="1:18" ht="15.6" x14ac:dyDescent="0.3">
      <c r="A460" s="373">
        <v>169</v>
      </c>
      <c r="B460" s="373" t="s">
        <v>268</v>
      </c>
      <c r="C460" s="49">
        <v>9085</v>
      </c>
      <c r="D460" s="373">
        <v>1</v>
      </c>
      <c r="E460" s="373" t="s">
        <v>269</v>
      </c>
      <c r="F460" s="373">
        <v>1450</v>
      </c>
      <c r="G460" s="373">
        <v>1200</v>
      </c>
      <c r="H460" s="373" t="s">
        <v>44</v>
      </c>
      <c r="I460" s="373">
        <v>300</v>
      </c>
      <c r="J460" s="376" t="s">
        <v>45</v>
      </c>
      <c r="K460" s="373">
        <v>100</v>
      </c>
      <c r="L460" s="373">
        <v>0.5</v>
      </c>
      <c r="M460" s="379" t="s">
        <v>14</v>
      </c>
      <c r="N460" s="408" t="s">
        <v>234</v>
      </c>
      <c r="O460" s="373" t="s">
        <v>27</v>
      </c>
      <c r="P460" s="156"/>
      <c r="Q460" s="373" t="s">
        <v>267</v>
      </c>
      <c r="R460" s="1"/>
    </row>
    <row r="461" spans="1:18" ht="15.6" x14ac:dyDescent="0.3">
      <c r="A461" s="374"/>
      <c r="B461" s="374"/>
      <c r="C461" s="51">
        <v>5200</v>
      </c>
      <c r="D461" s="374"/>
      <c r="E461" s="374"/>
      <c r="F461" s="374"/>
      <c r="G461" s="374"/>
      <c r="H461" s="374"/>
      <c r="I461" s="374"/>
      <c r="J461" s="377"/>
      <c r="K461" s="374"/>
      <c r="L461" s="374"/>
      <c r="M461" s="380"/>
      <c r="N461" s="409"/>
      <c r="O461" s="374"/>
      <c r="P461" s="157"/>
      <c r="Q461" s="374"/>
      <c r="R461" s="1"/>
    </row>
    <row r="462" spans="1:18" ht="16.2" thickBot="1" x14ac:dyDescent="0.35">
      <c r="A462" s="375"/>
      <c r="B462" s="375"/>
      <c r="C462" s="50">
        <v>7527</v>
      </c>
      <c r="D462" s="375"/>
      <c r="E462" s="375"/>
      <c r="F462" s="375"/>
      <c r="G462" s="375"/>
      <c r="H462" s="375"/>
      <c r="I462" s="375"/>
      <c r="J462" s="378"/>
      <c r="K462" s="375"/>
      <c r="L462" s="375"/>
      <c r="M462" s="381"/>
      <c r="N462" s="410"/>
      <c r="O462" s="375"/>
      <c r="P462" s="158"/>
      <c r="Q462" s="375"/>
      <c r="R462" s="1"/>
    </row>
    <row r="463" spans="1:18" ht="15.6" x14ac:dyDescent="0.3">
      <c r="A463" s="376">
        <v>170</v>
      </c>
      <c r="B463" s="376" t="s">
        <v>191</v>
      </c>
      <c r="C463" s="58">
        <v>9850</v>
      </c>
      <c r="D463" s="376">
        <v>1</v>
      </c>
      <c r="E463" s="376" t="s">
        <v>201</v>
      </c>
      <c r="F463" s="373">
        <v>1450</v>
      </c>
      <c r="G463" s="373">
        <v>1200</v>
      </c>
      <c r="H463" s="376" t="s">
        <v>19</v>
      </c>
      <c r="I463" s="376">
        <v>300</v>
      </c>
      <c r="J463" s="376" t="s">
        <v>45</v>
      </c>
      <c r="K463" s="376">
        <v>90</v>
      </c>
      <c r="L463" s="373">
        <v>-54</v>
      </c>
      <c r="M463" s="379" t="s">
        <v>14</v>
      </c>
      <c r="N463" s="402" t="s">
        <v>234</v>
      </c>
      <c r="O463" s="373" t="s">
        <v>27</v>
      </c>
      <c r="P463" s="156"/>
      <c r="Q463" s="373" t="s">
        <v>243</v>
      </c>
      <c r="R463" s="1"/>
    </row>
    <row r="464" spans="1:18" ht="15.6" x14ac:dyDescent="0.3">
      <c r="A464" s="377"/>
      <c r="B464" s="377"/>
      <c r="C464" s="59">
        <v>3250</v>
      </c>
      <c r="D464" s="377"/>
      <c r="E464" s="377"/>
      <c r="F464" s="374"/>
      <c r="G464" s="374"/>
      <c r="H464" s="377"/>
      <c r="I464" s="377"/>
      <c r="J464" s="377"/>
      <c r="K464" s="377"/>
      <c r="L464" s="374"/>
      <c r="M464" s="380"/>
      <c r="N464" s="403"/>
      <c r="O464" s="374"/>
      <c r="P464" s="157"/>
      <c r="Q464" s="374"/>
      <c r="R464" s="1"/>
    </row>
    <row r="465" spans="1:18" ht="16.2" thickBot="1" x14ac:dyDescent="0.35">
      <c r="A465" s="378"/>
      <c r="B465" s="378"/>
      <c r="C465" s="57">
        <v>7527</v>
      </c>
      <c r="D465" s="378"/>
      <c r="E465" s="378"/>
      <c r="F465" s="375"/>
      <c r="G465" s="375"/>
      <c r="H465" s="378"/>
      <c r="I465" s="378"/>
      <c r="J465" s="378"/>
      <c r="K465" s="378"/>
      <c r="L465" s="375"/>
      <c r="M465" s="381"/>
      <c r="N465" s="404"/>
      <c r="O465" s="375"/>
      <c r="P465" s="158"/>
      <c r="Q465" s="375"/>
      <c r="R465" s="1"/>
    </row>
    <row r="466" spans="1:18" ht="15.6" x14ac:dyDescent="0.3">
      <c r="A466" s="373">
        <v>171</v>
      </c>
      <c r="B466" s="373" t="s">
        <v>48</v>
      </c>
      <c r="C466" s="49">
        <v>12800</v>
      </c>
      <c r="D466" s="373">
        <v>1</v>
      </c>
      <c r="E466" s="373" t="s">
        <v>282</v>
      </c>
      <c r="F466" s="373">
        <v>1450</v>
      </c>
      <c r="G466" s="373">
        <v>1200</v>
      </c>
      <c r="H466" s="373" t="s">
        <v>44</v>
      </c>
      <c r="I466" s="373">
        <v>150</v>
      </c>
      <c r="J466" s="376" t="s">
        <v>45</v>
      </c>
      <c r="K466" s="373">
        <v>50</v>
      </c>
      <c r="L466" s="373">
        <v>-5.5</v>
      </c>
      <c r="M466" s="379" t="s">
        <v>14</v>
      </c>
      <c r="N466" s="408" t="s">
        <v>273</v>
      </c>
      <c r="O466" s="373" t="s">
        <v>27</v>
      </c>
      <c r="P466" s="156"/>
      <c r="Q466" s="373" t="s">
        <v>243</v>
      </c>
      <c r="R466" s="1"/>
    </row>
    <row r="467" spans="1:18" ht="15.6" x14ac:dyDescent="0.3">
      <c r="A467" s="374"/>
      <c r="B467" s="374"/>
      <c r="C467" s="51">
        <v>3500</v>
      </c>
      <c r="D467" s="374"/>
      <c r="E467" s="374"/>
      <c r="F467" s="374"/>
      <c r="G467" s="374"/>
      <c r="H467" s="374"/>
      <c r="I467" s="374"/>
      <c r="J467" s="377"/>
      <c r="K467" s="374"/>
      <c r="L467" s="374"/>
      <c r="M467" s="380"/>
      <c r="N467" s="409"/>
      <c r="O467" s="374"/>
      <c r="P467" s="157"/>
      <c r="Q467" s="374"/>
      <c r="R467" s="1"/>
    </row>
    <row r="468" spans="1:18" ht="16.2" thickBot="1" x14ac:dyDescent="0.35">
      <c r="A468" s="375"/>
      <c r="B468" s="375"/>
      <c r="C468" s="50">
        <v>7527</v>
      </c>
      <c r="D468" s="375"/>
      <c r="E468" s="375"/>
      <c r="F468" s="375"/>
      <c r="G468" s="375"/>
      <c r="H468" s="375"/>
      <c r="I468" s="375"/>
      <c r="J468" s="378"/>
      <c r="K468" s="375"/>
      <c r="L468" s="375"/>
      <c r="M468" s="381"/>
      <c r="N468" s="410"/>
      <c r="O468" s="375"/>
      <c r="P468" s="158"/>
      <c r="Q468" s="375"/>
      <c r="R468" s="1"/>
    </row>
    <row r="469" spans="1:18" ht="15.6" x14ac:dyDescent="0.3">
      <c r="A469" s="373">
        <v>172</v>
      </c>
      <c r="B469" s="373" t="s">
        <v>62</v>
      </c>
      <c r="C469" s="49">
        <v>13400</v>
      </c>
      <c r="D469" s="373">
        <v>1</v>
      </c>
      <c r="E469" s="373" t="s">
        <v>25</v>
      </c>
      <c r="F469" s="373">
        <v>1450</v>
      </c>
      <c r="G469" s="373">
        <v>1200</v>
      </c>
      <c r="H469" s="373" t="s">
        <v>44</v>
      </c>
      <c r="I469" s="373">
        <v>150</v>
      </c>
      <c r="J469" s="376" t="s">
        <v>45</v>
      </c>
      <c r="K469" s="373">
        <v>50</v>
      </c>
      <c r="L469" s="373">
        <v>25</v>
      </c>
      <c r="M469" s="379" t="s">
        <v>14</v>
      </c>
      <c r="N469" s="408" t="s">
        <v>273</v>
      </c>
      <c r="O469" s="373" t="s">
        <v>27</v>
      </c>
      <c r="P469" s="156"/>
      <c r="Q469" s="373" t="s">
        <v>283</v>
      </c>
      <c r="R469" s="1"/>
    </row>
    <row r="470" spans="1:18" ht="15.6" x14ac:dyDescent="0.3">
      <c r="A470" s="374"/>
      <c r="B470" s="374"/>
      <c r="C470" s="51">
        <v>3500</v>
      </c>
      <c r="D470" s="374"/>
      <c r="E470" s="374"/>
      <c r="F470" s="374"/>
      <c r="G470" s="374"/>
      <c r="H470" s="374"/>
      <c r="I470" s="374"/>
      <c r="J470" s="377"/>
      <c r="K470" s="374"/>
      <c r="L470" s="374"/>
      <c r="M470" s="380"/>
      <c r="N470" s="409"/>
      <c r="O470" s="374"/>
      <c r="P470" s="157"/>
      <c r="Q470" s="374"/>
      <c r="R470" s="1"/>
    </row>
    <row r="471" spans="1:18" ht="16.2" thickBot="1" x14ac:dyDescent="0.35">
      <c r="A471" s="375"/>
      <c r="B471" s="375"/>
      <c r="C471" s="50">
        <v>7527</v>
      </c>
      <c r="D471" s="375"/>
      <c r="E471" s="375"/>
      <c r="F471" s="375"/>
      <c r="G471" s="375"/>
      <c r="H471" s="375"/>
      <c r="I471" s="375"/>
      <c r="J471" s="378"/>
      <c r="K471" s="375"/>
      <c r="L471" s="375"/>
      <c r="M471" s="381"/>
      <c r="N471" s="410"/>
      <c r="O471" s="375"/>
      <c r="P471" s="158"/>
      <c r="Q471" s="375"/>
      <c r="R471" s="1"/>
    </row>
    <row r="472" spans="1:18" ht="15.6" x14ac:dyDescent="0.3">
      <c r="A472" s="376">
        <v>173</v>
      </c>
      <c r="B472" s="376" t="s">
        <v>56</v>
      </c>
      <c r="C472" s="58">
        <v>11615</v>
      </c>
      <c r="D472" s="376">
        <v>1</v>
      </c>
      <c r="E472" s="376" t="s">
        <v>248</v>
      </c>
      <c r="F472" s="373">
        <v>1450</v>
      </c>
      <c r="G472" s="373">
        <v>1200</v>
      </c>
      <c r="H472" s="376" t="s">
        <v>61</v>
      </c>
      <c r="I472" s="376">
        <v>150</v>
      </c>
      <c r="J472" s="376" t="s">
        <v>45</v>
      </c>
      <c r="K472" s="376">
        <v>50</v>
      </c>
      <c r="L472" s="373">
        <v>76.5</v>
      </c>
      <c r="M472" s="379" t="s">
        <v>14</v>
      </c>
      <c r="N472" s="402" t="s">
        <v>273</v>
      </c>
      <c r="O472" s="373" t="s">
        <v>27</v>
      </c>
      <c r="P472" s="156"/>
      <c r="Q472" s="373" t="s">
        <v>249</v>
      </c>
      <c r="R472" s="1"/>
    </row>
    <row r="473" spans="1:18" ht="15.6" x14ac:dyDescent="0.3">
      <c r="A473" s="377"/>
      <c r="B473" s="377"/>
      <c r="C473" s="59">
        <v>2975</v>
      </c>
      <c r="D473" s="377"/>
      <c r="E473" s="377"/>
      <c r="F473" s="374"/>
      <c r="G473" s="374"/>
      <c r="H473" s="377"/>
      <c r="I473" s="377"/>
      <c r="J473" s="377"/>
      <c r="K473" s="377"/>
      <c r="L473" s="374"/>
      <c r="M473" s="380"/>
      <c r="N473" s="403"/>
      <c r="O473" s="374"/>
      <c r="P473" s="157"/>
      <c r="Q473" s="374"/>
      <c r="R473" s="1"/>
    </row>
    <row r="474" spans="1:18" ht="16.2" thickBot="1" x14ac:dyDescent="0.35">
      <c r="A474" s="378"/>
      <c r="B474" s="378"/>
      <c r="C474" s="57">
        <v>7527</v>
      </c>
      <c r="D474" s="378"/>
      <c r="E474" s="378"/>
      <c r="F474" s="375"/>
      <c r="G474" s="375"/>
      <c r="H474" s="378"/>
      <c r="I474" s="378"/>
      <c r="J474" s="378"/>
      <c r="K474" s="378"/>
      <c r="L474" s="375"/>
      <c r="M474" s="381"/>
      <c r="N474" s="404"/>
      <c r="O474" s="375"/>
      <c r="P474" s="158"/>
      <c r="Q474" s="375"/>
      <c r="R474" s="1"/>
    </row>
    <row r="475" spans="1:18" ht="15.6" x14ac:dyDescent="0.3">
      <c r="A475" s="385">
        <v>174</v>
      </c>
      <c r="B475" s="385" t="s">
        <v>62</v>
      </c>
      <c r="C475" s="43">
        <v>14000</v>
      </c>
      <c r="D475" s="385">
        <v>1</v>
      </c>
      <c r="E475" s="385" t="s">
        <v>63</v>
      </c>
      <c r="F475" s="388">
        <v>1450</v>
      </c>
      <c r="G475" s="388">
        <v>1200</v>
      </c>
      <c r="H475" s="385" t="s">
        <v>61</v>
      </c>
      <c r="I475" s="385">
        <v>150</v>
      </c>
      <c r="J475" s="385" t="s">
        <v>45</v>
      </c>
      <c r="K475" s="385">
        <v>50</v>
      </c>
      <c r="L475" s="388">
        <v>19.5</v>
      </c>
      <c r="M475" s="355" t="s">
        <v>14</v>
      </c>
      <c r="N475" s="455" t="s">
        <v>273</v>
      </c>
      <c r="O475" s="388" t="s">
        <v>27</v>
      </c>
      <c r="P475" s="145"/>
      <c r="Q475" s="388" t="s">
        <v>254</v>
      </c>
      <c r="R475" s="1"/>
    </row>
    <row r="476" spans="1:18" ht="15.6" x14ac:dyDescent="0.3">
      <c r="A476" s="386"/>
      <c r="B476" s="386"/>
      <c r="C476" s="43">
        <v>3600</v>
      </c>
      <c r="D476" s="386"/>
      <c r="E476" s="386"/>
      <c r="F476" s="389"/>
      <c r="G476" s="389"/>
      <c r="H476" s="386"/>
      <c r="I476" s="386"/>
      <c r="J476" s="386"/>
      <c r="K476" s="386"/>
      <c r="L476" s="389"/>
      <c r="M476" s="356"/>
      <c r="N476" s="456"/>
      <c r="O476" s="389"/>
      <c r="P476" s="146"/>
      <c r="Q476" s="389"/>
      <c r="R476" s="1"/>
    </row>
    <row r="477" spans="1:18" ht="16.2" thickBot="1" x14ac:dyDescent="0.35">
      <c r="A477" s="387"/>
      <c r="B477" s="387"/>
      <c r="C477" s="44">
        <v>7527</v>
      </c>
      <c r="D477" s="387"/>
      <c r="E477" s="387"/>
      <c r="F477" s="390"/>
      <c r="G477" s="390"/>
      <c r="H477" s="387"/>
      <c r="I477" s="387"/>
      <c r="J477" s="387"/>
      <c r="K477" s="387"/>
      <c r="L477" s="390"/>
      <c r="M477" s="357"/>
      <c r="N477" s="457"/>
      <c r="O477" s="390"/>
      <c r="P477" s="147"/>
      <c r="Q477" s="390"/>
      <c r="R477" s="1"/>
    </row>
    <row r="478" spans="1:18" ht="15.6" x14ac:dyDescent="0.3">
      <c r="A478" s="376">
        <v>175</v>
      </c>
      <c r="B478" s="376" t="s">
        <v>62</v>
      </c>
      <c r="C478" s="58">
        <v>14000</v>
      </c>
      <c r="D478" s="376">
        <v>1</v>
      </c>
      <c r="E478" s="376" t="s">
        <v>284</v>
      </c>
      <c r="F478" s="373">
        <v>1450</v>
      </c>
      <c r="G478" s="373">
        <v>1200</v>
      </c>
      <c r="H478" s="376" t="s">
        <v>61</v>
      </c>
      <c r="I478" s="376">
        <v>350</v>
      </c>
      <c r="J478" s="376" t="s">
        <v>45</v>
      </c>
      <c r="K478" s="376">
        <v>70</v>
      </c>
      <c r="L478" s="373">
        <v>-39.5</v>
      </c>
      <c r="M478" s="379" t="s">
        <v>14</v>
      </c>
      <c r="N478" s="402" t="s">
        <v>273</v>
      </c>
      <c r="O478" s="373" t="s">
        <v>27</v>
      </c>
      <c r="P478" s="156"/>
      <c r="Q478" s="373" t="s">
        <v>243</v>
      </c>
      <c r="R478" s="1"/>
    </row>
    <row r="479" spans="1:18" ht="15.6" x14ac:dyDescent="0.3">
      <c r="A479" s="377"/>
      <c r="B479" s="377"/>
      <c r="C479" s="58">
        <v>2525</v>
      </c>
      <c r="D479" s="377"/>
      <c r="E479" s="377"/>
      <c r="F479" s="374"/>
      <c r="G479" s="374"/>
      <c r="H479" s="377"/>
      <c r="I479" s="377"/>
      <c r="J479" s="377"/>
      <c r="K479" s="377"/>
      <c r="L479" s="374"/>
      <c r="M479" s="380"/>
      <c r="N479" s="403"/>
      <c r="O479" s="374"/>
      <c r="P479" s="157"/>
      <c r="Q479" s="374"/>
      <c r="R479" s="1"/>
    </row>
    <row r="480" spans="1:18" ht="16.2" thickBot="1" x14ac:dyDescent="0.35">
      <c r="A480" s="378"/>
      <c r="B480" s="378"/>
      <c r="C480" s="57">
        <v>7527</v>
      </c>
      <c r="D480" s="378"/>
      <c r="E480" s="378"/>
      <c r="F480" s="375"/>
      <c r="G480" s="375"/>
      <c r="H480" s="378"/>
      <c r="I480" s="378"/>
      <c r="J480" s="378"/>
      <c r="K480" s="378"/>
      <c r="L480" s="375"/>
      <c r="M480" s="381"/>
      <c r="N480" s="404"/>
      <c r="O480" s="375"/>
      <c r="P480" s="158"/>
      <c r="Q480" s="375"/>
      <c r="R480" s="1"/>
    </row>
    <row r="481" spans="1:18" ht="15.6" x14ac:dyDescent="0.3">
      <c r="A481" s="373">
        <v>176</v>
      </c>
      <c r="B481" s="373" t="s">
        <v>64</v>
      </c>
      <c r="C481" s="49">
        <v>13315</v>
      </c>
      <c r="D481" s="373">
        <v>1</v>
      </c>
      <c r="E481" s="373" t="s">
        <v>204</v>
      </c>
      <c r="F481" s="373">
        <v>1450</v>
      </c>
      <c r="G481" s="373">
        <v>1200</v>
      </c>
      <c r="H481" s="373" t="s">
        <v>19</v>
      </c>
      <c r="I481" s="373">
        <v>90</v>
      </c>
      <c r="J481" s="376" t="s">
        <v>45</v>
      </c>
      <c r="K481" s="373">
        <v>30</v>
      </c>
      <c r="L481" s="373">
        <v>44</v>
      </c>
      <c r="M481" s="379" t="s">
        <v>14</v>
      </c>
      <c r="N481" s="408" t="s">
        <v>273</v>
      </c>
      <c r="O481" s="373" t="s">
        <v>27</v>
      </c>
      <c r="P481" s="156"/>
      <c r="Q481" s="376" t="s">
        <v>285</v>
      </c>
      <c r="R481" s="1"/>
    </row>
    <row r="482" spans="1:18" ht="15.6" x14ac:dyDescent="0.3">
      <c r="A482" s="374"/>
      <c r="B482" s="374"/>
      <c r="C482" s="49">
        <v>2685</v>
      </c>
      <c r="D482" s="374"/>
      <c r="E482" s="374"/>
      <c r="F482" s="374"/>
      <c r="G482" s="374"/>
      <c r="H482" s="374"/>
      <c r="I482" s="374"/>
      <c r="J482" s="377"/>
      <c r="K482" s="374"/>
      <c r="L482" s="374"/>
      <c r="M482" s="380"/>
      <c r="N482" s="409"/>
      <c r="O482" s="374"/>
      <c r="P482" s="157"/>
      <c r="Q482" s="377"/>
      <c r="R482" s="1"/>
    </row>
    <row r="483" spans="1:18" ht="16.2" thickBot="1" x14ac:dyDescent="0.35">
      <c r="A483" s="375"/>
      <c r="B483" s="375"/>
      <c r="C483" s="50">
        <v>7527</v>
      </c>
      <c r="D483" s="375"/>
      <c r="E483" s="375"/>
      <c r="F483" s="375"/>
      <c r="G483" s="375"/>
      <c r="H483" s="375"/>
      <c r="I483" s="375"/>
      <c r="J483" s="378"/>
      <c r="K483" s="375"/>
      <c r="L483" s="375"/>
      <c r="M483" s="381"/>
      <c r="N483" s="410"/>
      <c r="O483" s="375"/>
      <c r="P483" s="158"/>
      <c r="Q483" s="378"/>
      <c r="R483" s="1"/>
    </row>
    <row r="484" spans="1:18" ht="15.6" x14ac:dyDescent="0.3">
      <c r="A484" s="388">
        <v>178</v>
      </c>
      <c r="B484" s="388" t="s">
        <v>62</v>
      </c>
      <c r="C484" s="45">
        <v>20700</v>
      </c>
      <c r="D484" s="388">
        <v>1</v>
      </c>
      <c r="E484" s="388" t="s">
        <v>24</v>
      </c>
      <c r="F484" s="388">
        <v>1450</v>
      </c>
      <c r="G484" s="388">
        <v>1200</v>
      </c>
      <c r="H484" s="388" t="s">
        <v>19</v>
      </c>
      <c r="I484" s="388">
        <v>150</v>
      </c>
      <c r="J484" s="385" t="s">
        <v>45</v>
      </c>
      <c r="K484" s="388">
        <v>40</v>
      </c>
      <c r="L484" s="388">
        <v>18</v>
      </c>
      <c r="M484" s="355" t="s">
        <v>14</v>
      </c>
      <c r="N484" s="437" t="s">
        <v>273</v>
      </c>
      <c r="O484" s="388" t="s">
        <v>27</v>
      </c>
      <c r="P484" s="145"/>
      <c r="Q484" s="388" t="s">
        <v>287</v>
      </c>
      <c r="R484" s="1"/>
    </row>
    <row r="485" spans="1:18" ht="15.6" x14ac:dyDescent="0.3">
      <c r="A485" s="389"/>
      <c r="B485" s="389"/>
      <c r="C485" s="46">
        <v>5330</v>
      </c>
      <c r="D485" s="389"/>
      <c r="E485" s="389"/>
      <c r="F485" s="389"/>
      <c r="G485" s="389"/>
      <c r="H485" s="389"/>
      <c r="I485" s="389"/>
      <c r="J485" s="386"/>
      <c r="K485" s="389"/>
      <c r="L485" s="389"/>
      <c r="M485" s="356"/>
      <c r="N485" s="438"/>
      <c r="O485" s="389"/>
      <c r="P485" s="146"/>
      <c r="Q485" s="389"/>
      <c r="R485" s="1"/>
    </row>
    <row r="486" spans="1:18" ht="16.2" thickBot="1" x14ac:dyDescent="0.35">
      <c r="A486" s="390"/>
      <c r="B486" s="390"/>
      <c r="C486" s="47">
        <v>7527</v>
      </c>
      <c r="D486" s="390"/>
      <c r="E486" s="390"/>
      <c r="F486" s="390"/>
      <c r="G486" s="390"/>
      <c r="H486" s="390"/>
      <c r="I486" s="390"/>
      <c r="J486" s="387"/>
      <c r="K486" s="390"/>
      <c r="L486" s="390"/>
      <c r="M486" s="357"/>
      <c r="N486" s="439"/>
      <c r="O486" s="390"/>
      <c r="P486" s="147"/>
      <c r="Q486" s="390"/>
      <c r="R486" s="1"/>
    </row>
    <row r="487" spans="1:18" ht="15.6" x14ac:dyDescent="0.3">
      <c r="A487" s="376">
        <v>179</v>
      </c>
      <c r="B487" s="376" t="s">
        <v>288</v>
      </c>
      <c r="C487" s="58">
        <v>19300</v>
      </c>
      <c r="D487" s="376">
        <v>2</v>
      </c>
      <c r="E487" s="376" t="s">
        <v>204</v>
      </c>
      <c r="F487" s="373">
        <v>1450</v>
      </c>
      <c r="G487" s="373">
        <v>1200</v>
      </c>
      <c r="H487" s="376" t="s">
        <v>19</v>
      </c>
      <c r="I487" s="376">
        <v>300</v>
      </c>
      <c r="J487" s="376" t="s">
        <v>45</v>
      </c>
      <c r="K487" s="376">
        <v>80</v>
      </c>
      <c r="L487" s="373" t="s">
        <v>13</v>
      </c>
      <c r="M487" s="379" t="s">
        <v>14</v>
      </c>
      <c r="N487" s="402" t="s">
        <v>273</v>
      </c>
      <c r="O487" s="373" t="s">
        <v>27</v>
      </c>
      <c r="P487" s="156"/>
      <c r="Q487" s="373" t="s">
        <v>289</v>
      </c>
      <c r="R487" s="1"/>
    </row>
    <row r="488" spans="1:18" ht="16.2" thickBot="1" x14ac:dyDescent="0.35">
      <c r="A488" s="377"/>
      <c r="B488" s="378"/>
      <c r="C488" s="59">
        <v>3200</v>
      </c>
      <c r="D488" s="377"/>
      <c r="E488" s="378"/>
      <c r="F488" s="374"/>
      <c r="G488" s="374"/>
      <c r="H488" s="377"/>
      <c r="I488" s="378"/>
      <c r="J488" s="378"/>
      <c r="K488" s="378"/>
      <c r="L488" s="374"/>
      <c r="M488" s="380"/>
      <c r="N488" s="403"/>
      <c r="O488" s="374"/>
      <c r="P488" s="157"/>
      <c r="Q488" s="374"/>
      <c r="R488" s="1"/>
    </row>
    <row r="489" spans="1:18" ht="31.8" thickBot="1" x14ac:dyDescent="0.35">
      <c r="A489" s="378"/>
      <c r="B489" s="57" t="s">
        <v>274</v>
      </c>
      <c r="C489" s="57">
        <v>7527</v>
      </c>
      <c r="D489" s="378"/>
      <c r="E489" s="57" t="s">
        <v>168</v>
      </c>
      <c r="F489" s="375"/>
      <c r="G489" s="375"/>
      <c r="H489" s="378"/>
      <c r="I489" s="57">
        <v>60</v>
      </c>
      <c r="J489" s="57" t="s">
        <v>290</v>
      </c>
      <c r="K489" s="57">
        <v>30</v>
      </c>
      <c r="L489" s="375"/>
      <c r="M489" s="381"/>
      <c r="N489" s="404"/>
      <c r="O489" s="375"/>
      <c r="P489" s="158"/>
      <c r="Q489" s="375"/>
      <c r="R489" s="1"/>
    </row>
    <row r="490" spans="1:18" ht="15.6" x14ac:dyDescent="0.3">
      <c r="A490" s="373">
        <v>180</v>
      </c>
      <c r="B490" s="373" t="s">
        <v>291</v>
      </c>
      <c r="C490" s="49">
        <v>20100</v>
      </c>
      <c r="D490" s="373">
        <v>1</v>
      </c>
      <c r="E490" s="373" t="s">
        <v>49</v>
      </c>
      <c r="F490" s="373">
        <v>1450</v>
      </c>
      <c r="G490" s="373">
        <v>1200</v>
      </c>
      <c r="H490" s="373" t="s">
        <v>25</v>
      </c>
      <c r="I490" s="373">
        <v>150</v>
      </c>
      <c r="J490" s="376" t="s">
        <v>45</v>
      </c>
      <c r="K490" s="373">
        <v>40</v>
      </c>
      <c r="L490" s="373">
        <v>5</v>
      </c>
      <c r="M490" s="379" t="s">
        <v>14</v>
      </c>
      <c r="N490" s="408" t="s">
        <v>273</v>
      </c>
      <c r="O490" s="373" t="s">
        <v>27</v>
      </c>
      <c r="P490" s="156"/>
      <c r="Q490" s="373" t="s">
        <v>263</v>
      </c>
      <c r="R490" s="1"/>
    </row>
    <row r="491" spans="1:18" ht="15.6" x14ac:dyDescent="0.3">
      <c r="A491" s="374"/>
      <c r="B491" s="374"/>
      <c r="C491" s="51">
        <v>3200</v>
      </c>
      <c r="D491" s="374"/>
      <c r="E491" s="374"/>
      <c r="F491" s="374"/>
      <c r="G491" s="374"/>
      <c r="H491" s="374"/>
      <c r="I491" s="374"/>
      <c r="J491" s="377"/>
      <c r="K491" s="374"/>
      <c r="L491" s="374"/>
      <c r="M491" s="380"/>
      <c r="N491" s="409"/>
      <c r="O491" s="374"/>
      <c r="P491" s="157"/>
      <c r="Q491" s="374"/>
      <c r="R491" s="1"/>
    </row>
    <row r="492" spans="1:18" ht="16.2" thickBot="1" x14ac:dyDescent="0.35">
      <c r="A492" s="375"/>
      <c r="B492" s="375"/>
      <c r="C492" s="50">
        <v>7527</v>
      </c>
      <c r="D492" s="375"/>
      <c r="E492" s="375"/>
      <c r="F492" s="375"/>
      <c r="G492" s="375"/>
      <c r="H492" s="375"/>
      <c r="I492" s="375"/>
      <c r="J492" s="378"/>
      <c r="K492" s="375"/>
      <c r="L492" s="375"/>
      <c r="M492" s="381"/>
      <c r="N492" s="410"/>
      <c r="O492" s="375"/>
      <c r="P492" s="158"/>
      <c r="Q492" s="375"/>
      <c r="R492" s="1"/>
    </row>
    <row r="493" spans="1:18" ht="15.6" x14ac:dyDescent="0.3">
      <c r="A493" s="385">
        <v>185</v>
      </c>
      <c r="B493" s="385" t="s">
        <v>57</v>
      </c>
      <c r="C493" s="43">
        <v>18660</v>
      </c>
      <c r="D493" s="385">
        <v>1</v>
      </c>
      <c r="E493" s="385" t="s">
        <v>292</v>
      </c>
      <c r="F493" s="388">
        <v>1450</v>
      </c>
      <c r="G493" s="388">
        <v>1200</v>
      </c>
      <c r="H493" s="385" t="s">
        <v>96</v>
      </c>
      <c r="I493" s="385">
        <v>150</v>
      </c>
      <c r="J493" s="385" t="s">
        <v>45</v>
      </c>
      <c r="K493" s="385">
        <v>50</v>
      </c>
      <c r="L493" s="388">
        <v>97.5</v>
      </c>
      <c r="M493" s="355" t="s">
        <v>14</v>
      </c>
      <c r="N493" s="455" t="s">
        <v>273</v>
      </c>
      <c r="O493" s="388" t="s">
        <v>27</v>
      </c>
      <c r="P493" s="145"/>
      <c r="Q493" s="385" t="s">
        <v>293</v>
      </c>
      <c r="R493" s="1"/>
    </row>
    <row r="494" spans="1:18" ht="15.6" x14ac:dyDescent="0.3">
      <c r="A494" s="386"/>
      <c r="B494" s="386"/>
      <c r="C494" s="48">
        <v>-7985</v>
      </c>
      <c r="D494" s="386"/>
      <c r="E494" s="386"/>
      <c r="F494" s="389"/>
      <c r="G494" s="389"/>
      <c r="H494" s="386"/>
      <c r="I494" s="386"/>
      <c r="J494" s="386"/>
      <c r="K494" s="386"/>
      <c r="L494" s="389"/>
      <c r="M494" s="356"/>
      <c r="N494" s="456"/>
      <c r="O494" s="389"/>
      <c r="P494" s="146"/>
      <c r="Q494" s="386"/>
      <c r="R494" s="1"/>
    </row>
    <row r="495" spans="1:18" ht="16.2" thickBot="1" x14ac:dyDescent="0.35">
      <c r="A495" s="387"/>
      <c r="B495" s="387"/>
      <c r="C495" s="44">
        <v>7527</v>
      </c>
      <c r="D495" s="387"/>
      <c r="E495" s="387"/>
      <c r="F495" s="390"/>
      <c r="G495" s="390"/>
      <c r="H495" s="387"/>
      <c r="I495" s="387"/>
      <c r="J495" s="387"/>
      <c r="K495" s="387"/>
      <c r="L495" s="390"/>
      <c r="M495" s="357"/>
      <c r="N495" s="457"/>
      <c r="O495" s="390"/>
      <c r="P495" s="147"/>
      <c r="Q495" s="387"/>
      <c r="R495" s="1"/>
    </row>
    <row r="496" spans="1:18" ht="15.6" x14ac:dyDescent="0.3">
      <c r="A496" s="388">
        <v>190</v>
      </c>
      <c r="B496" s="388" t="s">
        <v>62</v>
      </c>
      <c r="C496" s="45">
        <v>15150</v>
      </c>
      <c r="D496" s="388">
        <v>1</v>
      </c>
      <c r="E496" s="388" t="s">
        <v>24</v>
      </c>
      <c r="F496" s="388">
        <v>1450</v>
      </c>
      <c r="G496" s="388">
        <v>1200</v>
      </c>
      <c r="H496" s="388" t="s">
        <v>12</v>
      </c>
      <c r="I496" s="388">
        <v>150</v>
      </c>
      <c r="J496" s="385" t="s">
        <v>45</v>
      </c>
      <c r="K496" s="388">
        <v>40</v>
      </c>
      <c r="L496" s="388">
        <v>96</v>
      </c>
      <c r="M496" s="355" t="s">
        <v>14</v>
      </c>
      <c r="N496" s="437" t="s">
        <v>273</v>
      </c>
      <c r="O496" s="388" t="s">
        <v>27</v>
      </c>
      <c r="P496" s="145"/>
      <c r="Q496" s="388" t="s">
        <v>246</v>
      </c>
      <c r="R496" s="1"/>
    </row>
    <row r="497" spans="1:18" ht="15.6" x14ac:dyDescent="0.3">
      <c r="A497" s="389"/>
      <c r="B497" s="389"/>
      <c r="C497" s="46">
        <v>-13650</v>
      </c>
      <c r="D497" s="389"/>
      <c r="E497" s="389"/>
      <c r="F497" s="389"/>
      <c r="G497" s="389"/>
      <c r="H497" s="389"/>
      <c r="I497" s="389"/>
      <c r="J497" s="386"/>
      <c r="K497" s="389"/>
      <c r="L497" s="389"/>
      <c r="M497" s="356"/>
      <c r="N497" s="438"/>
      <c r="O497" s="389"/>
      <c r="P497" s="146"/>
      <c r="Q497" s="389"/>
      <c r="R497" s="1"/>
    </row>
    <row r="498" spans="1:18" ht="16.2" thickBot="1" x14ac:dyDescent="0.35">
      <c r="A498" s="390"/>
      <c r="B498" s="390"/>
      <c r="C498" s="47">
        <v>7527</v>
      </c>
      <c r="D498" s="390"/>
      <c r="E498" s="390"/>
      <c r="F498" s="390"/>
      <c r="G498" s="390"/>
      <c r="H498" s="390"/>
      <c r="I498" s="390"/>
      <c r="J498" s="387"/>
      <c r="K498" s="390"/>
      <c r="L498" s="390"/>
      <c r="M498" s="357"/>
      <c r="N498" s="439"/>
      <c r="O498" s="390"/>
      <c r="P498" s="147"/>
      <c r="Q498" s="390"/>
      <c r="R498" s="1"/>
    </row>
    <row r="499" spans="1:18" ht="15.6" x14ac:dyDescent="0.3">
      <c r="A499" s="385">
        <v>191</v>
      </c>
      <c r="B499" s="385" t="s">
        <v>57</v>
      </c>
      <c r="C499" s="43">
        <v>14450</v>
      </c>
      <c r="D499" s="388">
        <v>1</v>
      </c>
      <c r="E499" s="385" t="s">
        <v>294</v>
      </c>
      <c r="F499" s="388">
        <v>1450</v>
      </c>
      <c r="G499" s="388">
        <v>1200</v>
      </c>
      <c r="H499" s="385" t="s">
        <v>96</v>
      </c>
      <c r="I499" s="385">
        <v>190</v>
      </c>
      <c r="J499" s="385" t="s">
        <v>45</v>
      </c>
      <c r="K499" s="385">
        <v>60</v>
      </c>
      <c r="L499" s="388">
        <v>87.5</v>
      </c>
      <c r="M499" s="355" t="s">
        <v>14</v>
      </c>
      <c r="N499" s="455" t="s">
        <v>273</v>
      </c>
      <c r="O499" s="388" t="s">
        <v>27</v>
      </c>
      <c r="P499" s="145"/>
      <c r="Q499" s="385" t="s">
        <v>293</v>
      </c>
      <c r="R499" s="1"/>
    </row>
    <row r="500" spans="1:18" ht="15.6" x14ac:dyDescent="0.3">
      <c r="A500" s="386"/>
      <c r="B500" s="386"/>
      <c r="C500" s="48">
        <v>-13650</v>
      </c>
      <c r="D500" s="389"/>
      <c r="E500" s="386"/>
      <c r="F500" s="389"/>
      <c r="G500" s="389"/>
      <c r="H500" s="386"/>
      <c r="I500" s="386"/>
      <c r="J500" s="386"/>
      <c r="K500" s="386"/>
      <c r="L500" s="389"/>
      <c r="M500" s="356"/>
      <c r="N500" s="456"/>
      <c r="O500" s="389"/>
      <c r="P500" s="146"/>
      <c r="Q500" s="386"/>
      <c r="R500" s="1"/>
    </row>
    <row r="501" spans="1:18" ht="16.2" thickBot="1" x14ac:dyDescent="0.35">
      <c r="A501" s="387"/>
      <c r="B501" s="387"/>
      <c r="C501" s="44">
        <v>7527</v>
      </c>
      <c r="D501" s="390"/>
      <c r="E501" s="387"/>
      <c r="F501" s="390"/>
      <c r="G501" s="390"/>
      <c r="H501" s="387"/>
      <c r="I501" s="387"/>
      <c r="J501" s="387"/>
      <c r="K501" s="387"/>
      <c r="L501" s="390"/>
      <c r="M501" s="357"/>
      <c r="N501" s="457"/>
      <c r="O501" s="390"/>
      <c r="P501" s="147"/>
      <c r="Q501" s="387"/>
      <c r="R501" s="1"/>
    </row>
    <row r="502" spans="1:18" ht="15.6" x14ac:dyDescent="0.3">
      <c r="A502" s="373">
        <v>192</v>
      </c>
      <c r="B502" s="373" t="s">
        <v>160</v>
      </c>
      <c r="C502" s="49">
        <v>13500</v>
      </c>
      <c r="D502" s="373">
        <v>1</v>
      </c>
      <c r="E502" s="373" t="s">
        <v>63</v>
      </c>
      <c r="F502" s="373">
        <v>1450</v>
      </c>
      <c r="G502" s="373">
        <v>1200</v>
      </c>
      <c r="H502" s="373" t="s">
        <v>96</v>
      </c>
      <c r="I502" s="373">
        <v>100</v>
      </c>
      <c r="J502" s="376" t="s">
        <v>45</v>
      </c>
      <c r="K502" s="373">
        <v>30</v>
      </c>
      <c r="L502" s="373">
        <v>90.5</v>
      </c>
      <c r="M502" s="379" t="s">
        <v>14</v>
      </c>
      <c r="N502" s="408" t="s">
        <v>273</v>
      </c>
      <c r="O502" s="373" t="s">
        <v>27</v>
      </c>
      <c r="P502" s="156"/>
      <c r="Q502" s="376" t="s">
        <v>295</v>
      </c>
      <c r="R502" s="1"/>
    </row>
    <row r="503" spans="1:18" ht="15.6" x14ac:dyDescent="0.3">
      <c r="A503" s="374"/>
      <c r="B503" s="374"/>
      <c r="C503" s="51">
        <v>-13675</v>
      </c>
      <c r="D503" s="374"/>
      <c r="E503" s="374"/>
      <c r="F503" s="374"/>
      <c r="G503" s="374"/>
      <c r="H503" s="374"/>
      <c r="I503" s="374"/>
      <c r="J503" s="377"/>
      <c r="K503" s="374"/>
      <c r="L503" s="374"/>
      <c r="M503" s="380"/>
      <c r="N503" s="409"/>
      <c r="O503" s="374"/>
      <c r="P503" s="157"/>
      <c r="Q503" s="377"/>
      <c r="R503" s="1"/>
    </row>
    <row r="504" spans="1:18" ht="16.2" thickBot="1" x14ac:dyDescent="0.35">
      <c r="A504" s="375"/>
      <c r="B504" s="375"/>
      <c r="C504" s="50">
        <v>7527</v>
      </c>
      <c r="D504" s="375"/>
      <c r="E504" s="375"/>
      <c r="F504" s="375"/>
      <c r="G504" s="375"/>
      <c r="H504" s="375"/>
      <c r="I504" s="375"/>
      <c r="J504" s="378"/>
      <c r="K504" s="375"/>
      <c r="L504" s="375"/>
      <c r="M504" s="381"/>
      <c r="N504" s="410"/>
      <c r="O504" s="375"/>
      <c r="P504" s="158"/>
      <c r="Q504" s="378"/>
      <c r="R504" s="1"/>
    </row>
    <row r="505" spans="1:18" ht="15.6" x14ac:dyDescent="0.3">
      <c r="A505" s="388">
        <v>193</v>
      </c>
      <c r="B505" s="388" t="s">
        <v>174</v>
      </c>
      <c r="C505" s="45">
        <v>11940</v>
      </c>
      <c r="D505" s="385">
        <v>0</v>
      </c>
      <c r="E505" s="388" t="s">
        <v>13</v>
      </c>
      <c r="F505" s="388">
        <v>1450</v>
      </c>
      <c r="G505" s="388">
        <v>1200</v>
      </c>
      <c r="H505" s="388" t="s">
        <v>25</v>
      </c>
      <c r="I505" s="388" t="s">
        <v>13</v>
      </c>
      <c r="J505" s="388" t="s">
        <v>13</v>
      </c>
      <c r="K505" s="388" t="s">
        <v>13</v>
      </c>
      <c r="L505" s="388" t="s">
        <v>13</v>
      </c>
      <c r="M505" s="355" t="s">
        <v>14</v>
      </c>
      <c r="N505" s="437" t="s">
        <v>273</v>
      </c>
      <c r="O505" s="388" t="s">
        <v>27</v>
      </c>
      <c r="P505" s="145"/>
      <c r="Q505" s="388" t="s">
        <v>176</v>
      </c>
      <c r="R505" s="1"/>
    </row>
    <row r="506" spans="1:18" ht="15.6" x14ac:dyDescent="0.3">
      <c r="A506" s="389"/>
      <c r="B506" s="389"/>
      <c r="C506" s="45">
        <v>-14810</v>
      </c>
      <c r="D506" s="386"/>
      <c r="E506" s="389"/>
      <c r="F506" s="389"/>
      <c r="G506" s="389"/>
      <c r="H506" s="389"/>
      <c r="I506" s="389"/>
      <c r="J506" s="389"/>
      <c r="K506" s="389"/>
      <c r="L506" s="389"/>
      <c r="M506" s="356"/>
      <c r="N506" s="438"/>
      <c r="O506" s="389"/>
      <c r="P506" s="146"/>
      <c r="Q506" s="389"/>
      <c r="R506" s="1"/>
    </row>
    <row r="507" spans="1:18" ht="16.2" thickBot="1" x14ac:dyDescent="0.35">
      <c r="A507" s="390"/>
      <c r="B507" s="390"/>
      <c r="C507" s="47">
        <v>7527</v>
      </c>
      <c r="D507" s="387"/>
      <c r="E507" s="390"/>
      <c r="F507" s="390"/>
      <c r="G507" s="390"/>
      <c r="H507" s="390"/>
      <c r="I507" s="390"/>
      <c r="J507" s="390"/>
      <c r="K507" s="390"/>
      <c r="L507" s="390"/>
      <c r="M507" s="357"/>
      <c r="N507" s="439"/>
      <c r="O507" s="390"/>
      <c r="P507" s="147"/>
      <c r="Q507" s="390"/>
      <c r="R507" s="1"/>
    </row>
    <row r="508" spans="1:18" ht="15.6" x14ac:dyDescent="0.3">
      <c r="A508" s="388">
        <v>194</v>
      </c>
      <c r="B508" s="388" t="s">
        <v>174</v>
      </c>
      <c r="C508" s="45">
        <v>11940</v>
      </c>
      <c r="D508" s="385">
        <v>0</v>
      </c>
      <c r="E508" s="388" t="s">
        <v>13</v>
      </c>
      <c r="F508" s="388">
        <v>1450</v>
      </c>
      <c r="G508" s="388">
        <v>1200</v>
      </c>
      <c r="H508" s="388" t="s">
        <v>25</v>
      </c>
      <c r="I508" s="388" t="s">
        <v>13</v>
      </c>
      <c r="J508" s="388" t="s">
        <v>13</v>
      </c>
      <c r="K508" s="388" t="s">
        <v>13</v>
      </c>
      <c r="L508" s="388" t="s">
        <v>13</v>
      </c>
      <c r="M508" s="355" t="s">
        <v>14</v>
      </c>
      <c r="N508" s="437" t="s">
        <v>273</v>
      </c>
      <c r="O508" s="388" t="s">
        <v>27</v>
      </c>
      <c r="P508" s="145"/>
      <c r="Q508" s="388" t="s">
        <v>176</v>
      </c>
      <c r="R508" s="1"/>
    </row>
    <row r="509" spans="1:18" ht="15.6" x14ac:dyDescent="0.3">
      <c r="A509" s="389"/>
      <c r="B509" s="389"/>
      <c r="C509" s="45">
        <v>-15410</v>
      </c>
      <c r="D509" s="386"/>
      <c r="E509" s="389"/>
      <c r="F509" s="389"/>
      <c r="G509" s="389"/>
      <c r="H509" s="389"/>
      <c r="I509" s="389"/>
      <c r="J509" s="389"/>
      <c r="K509" s="389"/>
      <c r="L509" s="389"/>
      <c r="M509" s="356"/>
      <c r="N509" s="438"/>
      <c r="O509" s="389"/>
      <c r="P509" s="146"/>
      <c r="Q509" s="389"/>
      <c r="R509" s="1"/>
    </row>
    <row r="510" spans="1:18" ht="16.2" thickBot="1" x14ac:dyDescent="0.35">
      <c r="A510" s="390"/>
      <c r="B510" s="390"/>
      <c r="C510" s="47">
        <v>7527</v>
      </c>
      <c r="D510" s="387"/>
      <c r="E510" s="390"/>
      <c r="F510" s="390"/>
      <c r="G510" s="390"/>
      <c r="H510" s="390"/>
      <c r="I510" s="390"/>
      <c r="J510" s="390"/>
      <c r="K510" s="390"/>
      <c r="L510" s="390"/>
      <c r="M510" s="357"/>
      <c r="N510" s="439"/>
      <c r="O510" s="390"/>
      <c r="P510" s="147"/>
      <c r="Q510" s="390"/>
      <c r="R510" s="1"/>
    </row>
    <row r="511" spans="1:18" ht="15.6" x14ac:dyDescent="0.3">
      <c r="A511" s="388">
        <v>195</v>
      </c>
      <c r="B511" s="388" t="s">
        <v>174</v>
      </c>
      <c r="C511" s="45">
        <v>11940</v>
      </c>
      <c r="D511" s="385">
        <v>0</v>
      </c>
      <c r="E511" s="388" t="s">
        <v>13</v>
      </c>
      <c r="F511" s="388">
        <v>1450</v>
      </c>
      <c r="G511" s="388">
        <v>1200</v>
      </c>
      <c r="H511" s="388" t="s">
        <v>25</v>
      </c>
      <c r="I511" s="388" t="s">
        <v>13</v>
      </c>
      <c r="J511" s="388" t="s">
        <v>13</v>
      </c>
      <c r="K511" s="388" t="s">
        <v>13</v>
      </c>
      <c r="L511" s="388" t="s">
        <v>13</v>
      </c>
      <c r="M511" s="355" t="s">
        <v>14</v>
      </c>
      <c r="N511" s="437" t="s">
        <v>273</v>
      </c>
      <c r="O511" s="388" t="s">
        <v>27</v>
      </c>
      <c r="P511" s="145"/>
      <c r="Q511" s="388" t="s">
        <v>176</v>
      </c>
      <c r="R511" s="1"/>
    </row>
    <row r="512" spans="1:18" ht="15.6" x14ac:dyDescent="0.3">
      <c r="A512" s="389"/>
      <c r="B512" s="389"/>
      <c r="C512" s="45">
        <v>-16710</v>
      </c>
      <c r="D512" s="386"/>
      <c r="E512" s="389"/>
      <c r="F512" s="389"/>
      <c r="G512" s="389"/>
      <c r="H512" s="389"/>
      <c r="I512" s="389"/>
      <c r="J512" s="389"/>
      <c r="K512" s="389"/>
      <c r="L512" s="389"/>
      <c r="M512" s="356"/>
      <c r="N512" s="438"/>
      <c r="O512" s="389"/>
      <c r="P512" s="146"/>
      <c r="Q512" s="389"/>
      <c r="R512" s="1"/>
    </row>
    <row r="513" spans="1:18" ht="16.2" thickBot="1" x14ac:dyDescent="0.35">
      <c r="A513" s="390"/>
      <c r="B513" s="390"/>
      <c r="C513" s="47">
        <v>7527</v>
      </c>
      <c r="D513" s="387"/>
      <c r="E513" s="390"/>
      <c r="F513" s="390"/>
      <c r="G513" s="390"/>
      <c r="H513" s="390"/>
      <c r="I513" s="390"/>
      <c r="J513" s="390"/>
      <c r="K513" s="390"/>
      <c r="L513" s="390"/>
      <c r="M513" s="357"/>
      <c r="N513" s="439"/>
      <c r="O513" s="390"/>
      <c r="P513" s="147"/>
      <c r="Q513" s="390"/>
      <c r="R513" s="1"/>
    </row>
    <row r="514" spans="1:18" ht="15.6" x14ac:dyDescent="0.3">
      <c r="A514" s="373">
        <v>196</v>
      </c>
      <c r="B514" s="373" t="s">
        <v>160</v>
      </c>
      <c r="C514" s="49">
        <v>12000</v>
      </c>
      <c r="D514" s="373">
        <v>1</v>
      </c>
      <c r="E514" s="373" t="s">
        <v>60</v>
      </c>
      <c r="F514" s="373">
        <v>1450</v>
      </c>
      <c r="G514" s="373">
        <v>1200</v>
      </c>
      <c r="H514" s="373" t="s">
        <v>96</v>
      </c>
      <c r="I514" s="373">
        <v>100</v>
      </c>
      <c r="J514" s="376" t="s">
        <v>45</v>
      </c>
      <c r="K514" s="373">
        <v>30</v>
      </c>
      <c r="L514" s="373">
        <v>64.5</v>
      </c>
      <c r="M514" s="379" t="s">
        <v>14</v>
      </c>
      <c r="N514" s="408" t="s">
        <v>273</v>
      </c>
      <c r="O514" s="373" t="s">
        <v>27</v>
      </c>
      <c r="P514" s="156"/>
      <c r="Q514" s="376" t="s">
        <v>296</v>
      </c>
      <c r="R514" s="1"/>
    </row>
    <row r="515" spans="1:18" ht="15.6" x14ac:dyDescent="0.3">
      <c r="A515" s="374"/>
      <c r="B515" s="374"/>
      <c r="C515" s="49">
        <v>-16260</v>
      </c>
      <c r="D515" s="374"/>
      <c r="E515" s="374"/>
      <c r="F515" s="374"/>
      <c r="G515" s="374"/>
      <c r="H515" s="374"/>
      <c r="I515" s="374"/>
      <c r="J515" s="377"/>
      <c r="K515" s="374"/>
      <c r="L515" s="374"/>
      <c r="M515" s="380"/>
      <c r="N515" s="409"/>
      <c r="O515" s="374"/>
      <c r="P515" s="157"/>
      <c r="Q515" s="377"/>
      <c r="R515" s="1"/>
    </row>
    <row r="516" spans="1:18" ht="16.2" thickBot="1" x14ac:dyDescent="0.35">
      <c r="A516" s="375"/>
      <c r="B516" s="375"/>
      <c r="C516" s="50">
        <v>7527</v>
      </c>
      <c r="D516" s="375"/>
      <c r="E516" s="375"/>
      <c r="F516" s="375"/>
      <c r="G516" s="375"/>
      <c r="H516" s="375"/>
      <c r="I516" s="375"/>
      <c r="J516" s="378"/>
      <c r="K516" s="375"/>
      <c r="L516" s="375"/>
      <c r="M516" s="381"/>
      <c r="N516" s="410"/>
      <c r="O516" s="375"/>
      <c r="P516" s="158"/>
      <c r="Q516" s="378"/>
      <c r="R516" s="1"/>
    </row>
    <row r="517" spans="1:18" ht="15.6" x14ac:dyDescent="0.3">
      <c r="A517" s="388">
        <v>197</v>
      </c>
      <c r="B517" s="388" t="s">
        <v>64</v>
      </c>
      <c r="C517" s="45">
        <v>15095</v>
      </c>
      <c r="D517" s="388">
        <v>1</v>
      </c>
      <c r="E517" s="388" t="s">
        <v>201</v>
      </c>
      <c r="F517" s="388">
        <v>1450</v>
      </c>
      <c r="G517" s="388">
        <v>1200</v>
      </c>
      <c r="H517" s="388" t="s">
        <v>12</v>
      </c>
      <c r="I517" s="388">
        <v>300</v>
      </c>
      <c r="J517" s="385" t="s">
        <v>45</v>
      </c>
      <c r="K517" s="388">
        <v>90</v>
      </c>
      <c r="L517" s="388">
        <v>24</v>
      </c>
      <c r="M517" s="355" t="s">
        <v>14</v>
      </c>
      <c r="N517" s="437" t="s">
        <v>297</v>
      </c>
      <c r="O517" s="388" t="s">
        <v>27</v>
      </c>
      <c r="P517" s="145"/>
      <c r="Q517" s="388" t="s">
        <v>298</v>
      </c>
      <c r="R517" s="1"/>
    </row>
    <row r="518" spans="1:18" ht="15.6" x14ac:dyDescent="0.3">
      <c r="A518" s="389"/>
      <c r="B518" s="389"/>
      <c r="C518" s="46">
        <v>-7000</v>
      </c>
      <c r="D518" s="389"/>
      <c r="E518" s="389"/>
      <c r="F518" s="389"/>
      <c r="G518" s="389"/>
      <c r="H518" s="389"/>
      <c r="I518" s="389"/>
      <c r="J518" s="386"/>
      <c r="K518" s="389"/>
      <c r="L518" s="389"/>
      <c r="M518" s="356"/>
      <c r="N518" s="438"/>
      <c r="O518" s="389"/>
      <c r="P518" s="146"/>
      <c r="Q518" s="389"/>
      <c r="R518" s="1"/>
    </row>
    <row r="519" spans="1:18" ht="16.2" thickBot="1" x14ac:dyDescent="0.35">
      <c r="A519" s="390"/>
      <c r="B519" s="390"/>
      <c r="C519" s="47">
        <v>7527</v>
      </c>
      <c r="D519" s="390"/>
      <c r="E519" s="390"/>
      <c r="F519" s="390"/>
      <c r="G519" s="390"/>
      <c r="H519" s="390"/>
      <c r="I519" s="390"/>
      <c r="J519" s="387"/>
      <c r="K519" s="390"/>
      <c r="L519" s="390"/>
      <c r="M519" s="357"/>
      <c r="N519" s="439"/>
      <c r="O519" s="390"/>
      <c r="P519" s="147"/>
      <c r="Q519" s="390"/>
      <c r="R519" s="1"/>
    </row>
    <row r="520" spans="1:18" ht="15.6" x14ac:dyDescent="0.3">
      <c r="A520" s="388">
        <v>198</v>
      </c>
      <c r="B520" s="388" t="s">
        <v>64</v>
      </c>
      <c r="C520" s="45">
        <v>14350</v>
      </c>
      <c r="D520" s="388">
        <v>1</v>
      </c>
      <c r="E520" s="388" t="s">
        <v>50</v>
      </c>
      <c r="F520" s="388">
        <v>1450</v>
      </c>
      <c r="G520" s="388">
        <v>1200</v>
      </c>
      <c r="H520" s="388" t="s">
        <v>12</v>
      </c>
      <c r="I520" s="388">
        <v>217</v>
      </c>
      <c r="J520" s="385" t="s">
        <v>45</v>
      </c>
      <c r="K520" s="388">
        <v>60</v>
      </c>
      <c r="L520" s="388">
        <v>66.5</v>
      </c>
      <c r="M520" s="355" t="s">
        <v>14</v>
      </c>
      <c r="N520" s="437" t="s">
        <v>297</v>
      </c>
      <c r="O520" s="388" t="s">
        <v>27</v>
      </c>
      <c r="P520" s="145"/>
      <c r="Q520" s="385" t="s">
        <v>299</v>
      </c>
      <c r="R520" s="1"/>
    </row>
    <row r="521" spans="1:18" ht="15.6" x14ac:dyDescent="0.3">
      <c r="A521" s="389"/>
      <c r="B521" s="389"/>
      <c r="C521" s="46">
        <v>-7000</v>
      </c>
      <c r="D521" s="389"/>
      <c r="E521" s="389"/>
      <c r="F521" s="389"/>
      <c r="G521" s="389"/>
      <c r="H521" s="389"/>
      <c r="I521" s="389"/>
      <c r="J521" s="386"/>
      <c r="K521" s="389"/>
      <c r="L521" s="389"/>
      <c r="M521" s="356"/>
      <c r="N521" s="438"/>
      <c r="O521" s="389"/>
      <c r="P521" s="146"/>
      <c r="Q521" s="386"/>
      <c r="R521" s="1"/>
    </row>
    <row r="522" spans="1:18" ht="16.2" thickBot="1" x14ac:dyDescent="0.35">
      <c r="A522" s="390"/>
      <c r="B522" s="390"/>
      <c r="C522" s="47">
        <v>7527</v>
      </c>
      <c r="D522" s="390"/>
      <c r="E522" s="390"/>
      <c r="F522" s="390"/>
      <c r="G522" s="390"/>
      <c r="H522" s="390"/>
      <c r="I522" s="390"/>
      <c r="J522" s="387"/>
      <c r="K522" s="390"/>
      <c r="L522" s="390"/>
      <c r="M522" s="357"/>
      <c r="N522" s="439"/>
      <c r="O522" s="390"/>
      <c r="P522" s="147"/>
      <c r="Q522" s="387"/>
      <c r="R522" s="1"/>
    </row>
    <row r="523" spans="1:18" ht="15.6" x14ac:dyDescent="0.3">
      <c r="A523" s="376">
        <v>199</v>
      </c>
      <c r="B523" s="376" t="s">
        <v>241</v>
      </c>
      <c r="C523" s="58">
        <v>12150</v>
      </c>
      <c r="D523" s="376">
        <v>1</v>
      </c>
      <c r="E523" s="376" t="s">
        <v>242</v>
      </c>
      <c r="F523" s="373">
        <v>1450</v>
      </c>
      <c r="G523" s="373">
        <v>1200</v>
      </c>
      <c r="H523" s="376" t="s">
        <v>55</v>
      </c>
      <c r="I523" s="376">
        <v>300</v>
      </c>
      <c r="J523" s="376">
        <f>-71.4 / 80.58</f>
        <v>-0.88607594936708867</v>
      </c>
      <c r="K523" s="376">
        <v>100</v>
      </c>
      <c r="L523" s="373">
        <v>-50</v>
      </c>
      <c r="M523" s="379" t="s">
        <v>14</v>
      </c>
      <c r="N523" s="402" t="s">
        <v>297</v>
      </c>
      <c r="O523" s="373" t="s">
        <v>27</v>
      </c>
      <c r="P523" s="156"/>
      <c r="Q523" s="373" t="s">
        <v>243</v>
      </c>
      <c r="R523" s="1"/>
    </row>
    <row r="524" spans="1:18" ht="15.6" x14ac:dyDescent="0.3">
      <c r="A524" s="377"/>
      <c r="B524" s="377"/>
      <c r="C524" s="59">
        <v>-8850</v>
      </c>
      <c r="D524" s="377"/>
      <c r="E524" s="377"/>
      <c r="F524" s="374"/>
      <c r="G524" s="374"/>
      <c r="H524" s="377"/>
      <c r="I524" s="377"/>
      <c r="J524" s="377"/>
      <c r="K524" s="377"/>
      <c r="L524" s="374"/>
      <c r="M524" s="380"/>
      <c r="N524" s="403"/>
      <c r="O524" s="374"/>
      <c r="P524" s="157"/>
      <c r="Q524" s="374"/>
      <c r="R524" s="1"/>
    </row>
    <row r="525" spans="1:18" ht="16.2" thickBot="1" x14ac:dyDescent="0.35">
      <c r="A525" s="378"/>
      <c r="B525" s="378"/>
      <c r="C525" s="57">
        <v>7527</v>
      </c>
      <c r="D525" s="378"/>
      <c r="E525" s="378"/>
      <c r="F525" s="375"/>
      <c r="G525" s="375"/>
      <c r="H525" s="378"/>
      <c r="I525" s="378"/>
      <c r="J525" s="378"/>
      <c r="K525" s="378"/>
      <c r="L525" s="375"/>
      <c r="M525" s="381"/>
      <c r="N525" s="404"/>
      <c r="O525" s="375"/>
      <c r="P525" s="158"/>
      <c r="Q525" s="375"/>
      <c r="R525" s="1"/>
    </row>
    <row r="526" spans="1:18" ht="15.6" x14ac:dyDescent="0.3">
      <c r="A526" s="388">
        <v>206</v>
      </c>
      <c r="B526" s="388" t="s">
        <v>56</v>
      </c>
      <c r="C526" s="45">
        <v>6970</v>
      </c>
      <c r="D526" s="388">
        <v>1</v>
      </c>
      <c r="E526" s="388" t="s">
        <v>248</v>
      </c>
      <c r="F526" s="388">
        <v>1450</v>
      </c>
      <c r="G526" s="388">
        <v>1200</v>
      </c>
      <c r="H526" s="388" t="s">
        <v>61</v>
      </c>
      <c r="I526" s="388">
        <v>150</v>
      </c>
      <c r="J526" s="385" t="s">
        <v>45</v>
      </c>
      <c r="K526" s="388">
        <v>50</v>
      </c>
      <c r="L526" s="388">
        <v>76.5</v>
      </c>
      <c r="M526" s="355" t="s">
        <v>14</v>
      </c>
      <c r="N526" s="437" t="s">
        <v>297</v>
      </c>
      <c r="O526" s="388" t="s">
        <v>27</v>
      </c>
      <c r="P526" s="145"/>
      <c r="Q526" s="388" t="s">
        <v>249</v>
      </c>
      <c r="R526" s="1"/>
    </row>
    <row r="527" spans="1:18" ht="15.6" x14ac:dyDescent="0.3">
      <c r="A527" s="389"/>
      <c r="B527" s="389"/>
      <c r="C527" s="46">
        <v>-6855</v>
      </c>
      <c r="D527" s="389"/>
      <c r="E527" s="389"/>
      <c r="F527" s="389"/>
      <c r="G527" s="389"/>
      <c r="H527" s="389"/>
      <c r="I527" s="389"/>
      <c r="J527" s="386"/>
      <c r="K527" s="389"/>
      <c r="L527" s="389"/>
      <c r="M527" s="356"/>
      <c r="N527" s="438"/>
      <c r="O527" s="389"/>
      <c r="P527" s="146"/>
      <c r="Q527" s="389"/>
      <c r="R527" s="1"/>
    </row>
    <row r="528" spans="1:18" ht="16.2" thickBot="1" x14ac:dyDescent="0.35">
      <c r="A528" s="390"/>
      <c r="B528" s="390"/>
      <c r="C528" s="47">
        <v>7527</v>
      </c>
      <c r="D528" s="390"/>
      <c r="E528" s="390"/>
      <c r="F528" s="390"/>
      <c r="G528" s="390"/>
      <c r="H528" s="390"/>
      <c r="I528" s="390"/>
      <c r="J528" s="387"/>
      <c r="K528" s="390"/>
      <c r="L528" s="390"/>
      <c r="M528" s="357"/>
      <c r="N528" s="439"/>
      <c r="O528" s="390"/>
      <c r="P528" s="147"/>
      <c r="Q528" s="390"/>
      <c r="R528" s="1"/>
    </row>
    <row r="529" spans="1:18" ht="15.6" x14ac:dyDescent="0.3">
      <c r="A529" s="388">
        <v>210</v>
      </c>
      <c r="B529" s="388" t="s">
        <v>64</v>
      </c>
      <c r="C529" s="45">
        <v>2720</v>
      </c>
      <c r="D529" s="388">
        <v>1</v>
      </c>
      <c r="E529" s="388" t="s">
        <v>245</v>
      </c>
      <c r="F529" s="388">
        <v>1450</v>
      </c>
      <c r="G529" s="388">
        <v>1200</v>
      </c>
      <c r="H529" s="388" t="s">
        <v>12</v>
      </c>
      <c r="I529" s="388">
        <v>350</v>
      </c>
      <c r="J529" s="385" t="s">
        <v>45</v>
      </c>
      <c r="K529" s="388">
        <v>90</v>
      </c>
      <c r="L529" s="388">
        <v>46</v>
      </c>
      <c r="M529" s="355" t="s">
        <v>14</v>
      </c>
      <c r="N529" s="437" t="s">
        <v>297</v>
      </c>
      <c r="O529" s="388" t="s">
        <v>27</v>
      </c>
      <c r="P529" s="145"/>
      <c r="Q529" s="388" t="s">
        <v>246</v>
      </c>
      <c r="R529" s="1"/>
    </row>
    <row r="530" spans="1:18" ht="15.6" x14ac:dyDescent="0.3">
      <c r="A530" s="389"/>
      <c r="B530" s="389"/>
      <c r="C530" s="46">
        <v>-7280</v>
      </c>
      <c r="D530" s="389"/>
      <c r="E530" s="389"/>
      <c r="F530" s="389"/>
      <c r="G530" s="389"/>
      <c r="H530" s="389"/>
      <c r="I530" s="389"/>
      <c r="J530" s="386"/>
      <c r="K530" s="389"/>
      <c r="L530" s="389"/>
      <c r="M530" s="356"/>
      <c r="N530" s="438"/>
      <c r="O530" s="389"/>
      <c r="P530" s="146"/>
      <c r="Q530" s="389"/>
      <c r="R530" s="1"/>
    </row>
    <row r="531" spans="1:18" ht="16.2" thickBot="1" x14ac:dyDescent="0.35">
      <c r="A531" s="390"/>
      <c r="B531" s="390"/>
      <c r="C531" s="47">
        <v>7527</v>
      </c>
      <c r="D531" s="390"/>
      <c r="E531" s="390"/>
      <c r="F531" s="390"/>
      <c r="G531" s="390"/>
      <c r="H531" s="390"/>
      <c r="I531" s="390"/>
      <c r="J531" s="387"/>
      <c r="K531" s="390"/>
      <c r="L531" s="390"/>
      <c r="M531" s="357"/>
      <c r="N531" s="439"/>
      <c r="O531" s="390"/>
      <c r="P531" s="147"/>
      <c r="Q531" s="390"/>
      <c r="R531" s="1"/>
    </row>
    <row r="532" spans="1:18" ht="16.2" thickBot="1" x14ac:dyDescent="0.35">
      <c r="A532" s="505">
        <v>211</v>
      </c>
      <c r="B532" s="505" t="s">
        <v>179</v>
      </c>
      <c r="C532" s="45">
        <v>5600</v>
      </c>
      <c r="D532" s="505">
        <v>1</v>
      </c>
      <c r="E532" s="505" t="s">
        <v>239</v>
      </c>
      <c r="F532" s="505">
        <v>1450</v>
      </c>
      <c r="G532" s="505">
        <v>1200</v>
      </c>
      <c r="H532" s="505" t="s">
        <v>44</v>
      </c>
      <c r="I532" s="505">
        <v>350</v>
      </c>
      <c r="J532" s="507" t="s">
        <v>45</v>
      </c>
      <c r="K532" s="505">
        <v>40</v>
      </c>
      <c r="L532" s="505">
        <v>95.5</v>
      </c>
      <c r="M532" s="508" t="s">
        <v>14</v>
      </c>
      <c r="N532" s="506" t="s">
        <v>297</v>
      </c>
      <c r="O532" s="505" t="s">
        <v>27</v>
      </c>
      <c r="P532" s="162"/>
      <c r="Q532" s="505" t="s">
        <v>247</v>
      </c>
      <c r="R532" s="1"/>
    </row>
    <row r="533" spans="1:18" ht="15.6" x14ac:dyDescent="0.3">
      <c r="A533" s="389"/>
      <c r="B533" s="389"/>
      <c r="C533" s="46">
        <v>-11000</v>
      </c>
      <c r="D533" s="389"/>
      <c r="E533" s="389"/>
      <c r="F533" s="389"/>
      <c r="G533" s="389"/>
      <c r="H533" s="389"/>
      <c r="I533" s="389"/>
      <c r="J533" s="386"/>
      <c r="K533" s="389"/>
      <c r="L533" s="389"/>
      <c r="M533" s="356"/>
      <c r="N533" s="438"/>
      <c r="O533" s="389"/>
      <c r="P533" s="146"/>
      <c r="Q533" s="389"/>
      <c r="R533" s="1"/>
    </row>
    <row r="534" spans="1:18" ht="15.6" x14ac:dyDescent="0.3">
      <c r="A534" s="389"/>
      <c r="B534" s="389"/>
      <c r="C534" s="45">
        <v>7527</v>
      </c>
      <c r="D534" s="389"/>
      <c r="E534" s="389"/>
      <c r="F534" s="389"/>
      <c r="G534" s="389"/>
      <c r="H534" s="389"/>
      <c r="I534" s="389"/>
      <c r="J534" s="386"/>
      <c r="K534" s="389"/>
      <c r="L534" s="389"/>
      <c r="M534" s="356"/>
      <c r="N534" s="438"/>
      <c r="O534" s="389"/>
      <c r="P534" s="146"/>
      <c r="Q534" s="389"/>
      <c r="R534" s="1"/>
    </row>
    <row r="535" spans="1:18" ht="15.6" x14ac:dyDescent="0.3">
      <c r="A535" s="389">
        <v>218</v>
      </c>
      <c r="B535" s="389" t="s">
        <v>179</v>
      </c>
      <c r="C535" s="45">
        <v>4740</v>
      </c>
      <c r="D535" s="389">
        <v>1</v>
      </c>
      <c r="E535" s="389" t="s">
        <v>66</v>
      </c>
      <c r="F535" s="389">
        <v>1450</v>
      </c>
      <c r="G535" s="389">
        <v>1200</v>
      </c>
      <c r="H535" s="389" t="s">
        <v>50</v>
      </c>
      <c r="I535" s="389">
        <v>100</v>
      </c>
      <c r="J535" s="386" t="s">
        <v>45</v>
      </c>
      <c r="K535" s="389">
        <v>30</v>
      </c>
      <c r="L535" s="389">
        <v>10</v>
      </c>
      <c r="M535" s="356" t="s">
        <v>14</v>
      </c>
      <c r="N535" s="438" t="s">
        <v>297</v>
      </c>
      <c r="O535" s="389" t="s">
        <v>27</v>
      </c>
      <c r="P535" s="146"/>
      <c r="Q535" s="389" t="s">
        <v>238</v>
      </c>
      <c r="R535" s="1"/>
    </row>
    <row r="536" spans="1:18" ht="15.6" x14ac:dyDescent="0.3">
      <c r="A536" s="389"/>
      <c r="B536" s="389"/>
      <c r="C536" s="46">
        <v>-17150</v>
      </c>
      <c r="D536" s="389"/>
      <c r="E536" s="389"/>
      <c r="F536" s="389"/>
      <c r="G536" s="389"/>
      <c r="H536" s="389"/>
      <c r="I536" s="389"/>
      <c r="J536" s="386"/>
      <c r="K536" s="389"/>
      <c r="L536" s="389"/>
      <c r="M536" s="356"/>
      <c r="N536" s="438"/>
      <c r="O536" s="389"/>
      <c r="P536" s="146"/>
      <c r="Q536" s="389"/>
      <c r="R536" s="1"/>
    </row>
    <row r="537" spans="1:18" ht="16.2" thickBot="1" x14ac:dyDescent="0.35">
      <c r="A537" s="390"/>
      <c r="B537" s="390"/>
      <c r="C537" s="47">
        <v>7527</v>
      </c>
      <c r="D537" s="390"/>
      <c r="E537" s="390"/>
      <c r="F537" s="390"/>
      <c r="G537" s="390"/>
      <c r="H537" s="390"/>
      <c r="I537" s="390"/>
      <c r="J537" s="387"/>
      <c r="K537" s="390"/>
      <c r="L537" s="390"/>
      <c r="M537" s="357"/>
      <c r="N537" s="439"/>
      <c r="O537" s="390"/>
      <c r="P537" s="147"/>
      <c r="Q537" s="390"/>
      <c r="R537" s="1"/>
    </row>
    <row r="538" spans="1:18" ht="15.6" x14ac:dyDescent="0.3">
      <c r="A538" s="388">
        <v>225</v>
      </c>
      <c r="B538" s="388" t="s">
        <v>179</v>
      </c>
      <c r="C538" s="45">
        <v>8870</v>
      </c>
      <c r="D538" s="388">
        <v>1</v>
      </c>
      <c r="E538" s="388" t="s">
        <v>161</v>
      </c>
      <c r="F538" s="388">
        <v>1450</v>
      </c>
      <c r="G538" s="388">
        <v>1200</v>
      </c>
      <c r="H538" s="388" t="s">
        <v>50</v>
      </c>
      <c r="I538" s="388">
        <v>150</v>
      </c>
      <c r="J538" s="385" t="s">
        <v>45</v>
      </c>
      <c r="K538" s="388">
        <v>40</v>
      </c>
      <c r="L538" s="388">
        <v>-7</v>
      </c>
      <c r="M538" s="355" t="s">
        <v>14</v>
      </c>
      <c r="N538" s="437" t="s">
        <v>297</v>
      </c>
      <c r="O538" s="388" t="s">
        <v>27</v>
      </c>
      <c r="P538" s="145"/>
      <c r="Q538" s="388" t="s">
        <v>243</v>
      </c>
      <c r="R538" s="1"/>
    </row>
    <row r="539" spans="1:18" ht="15.6" x14ac:dyDescent="0.3">
      <c r="A539" s="389"/>
      <c r="B539" s="389"/>
      <c r="C539" s="46">
        <v>-16485</v>
      </c>
      <c r="D539" s="389"/>
      <c r="E539" s="389"/>
      <c r="F539" s="389"/>
      <c r="G539" s="389"/>
      <c r="H539" s="389"/>
      <c r="I539" s="389"/>
      <c r="J539" s="386"/>
      <c r="K539" s="389"/>
      <c r="L539" s="389"/>
      <c r="M539" s="356"/>
      <c r="N539" s="438"/>
      <c r="O539" s="389"/>
      <c r="P539" s="146"/>
      <c r="Q539" s="389"/>
      <c r="R539" s="1"/>
    </row>
    <row r="540" spans="1:18" ht="16.2" thickBot="1" x14ac:dyDescent="0.35">
      <c r="A540" s="390"/>
      <c r="B540" s="390"/>
      <c r="C540" s="47">
        <v>7527</v>
      </c>
      <c r="D540" s="390"/>
      <c r="E540" s="390"/>
      <c r="F540" s="390"/>
      <c r="G540" s="390"/>
      <c r="H540" s="390"/>
      <c r="I540" s="390"/>
      <c r="J540" s="387"/>
      <c r="K540" s="390"/>
      <c r="L540" s="390"/>
      <c r="M540" s="357"/>
      <c r="N540" s="439"/>
      <c r="O540" s="390"/>
      <c r="P540" s="147"/>
      <c r="Q540" s="390"/>
      <c r="R540" s="1"/>
    </row>
    <row r="541" spans="1:18" ht="15.6" x14ac:dyDescent="0.3">
      <c r="A541" s="388">
        <v>229</v>
      </c>
      <c r="B541" s="388" t="s">
        <v>270</v>
      </c>
      <c r="C541" s="45">
        <v>0</v>
      </c>
      <c r="D541" s="388">
        <v>1</v>
      </c>
      <c r="E541" s="388" t="s">
        <v>161</v>
      </c>
      <c r="F541" s="388">
        <v>1450</v>
      </c>
      <c r="G541" s="388">
        <v>1200</v>
      </c>
      <c r="H541" s="388" t="s">
        <v>50</v>
      </c>
      <c r="I541" s="388">
        <v>30</v>
      </c>
      <c r="J541" s="388">
        <f>-0.09/0.05</f>
        <v>-1.7999999999999998</v>
      </c>
      <c r="K541" s="388">
        <v>0</v>
      </c>
      <c r="L541" s="388">
        <v>33</v>
      </c>
      <c r="M541" s="355" t="s">
        <v>14</v>
      </c>
      <c r="N541" s="437" t="s">
        <v>297</v>
      </c>
      <c r="O541" s="388" t="s">
        <v>27</v>
      </c>
      <c r="P541" s="145"/>
      <c r="Q541" s="388" t="s">
        <v>258</v>
      </c>
      <c r="R541" s="1"/>
    </row>
    <row r="542" spans="1:18" ht="15.6" x14ac:dyDescent="0.3">
      <c r="A542" s="389"/>
      <c r="B542" s="389"/>
      <c r="C542" s="46">
        <v>-5650</v>
      </c>
      <c r="D542" s="389"/>
      <c r="E542" s="389"/>
      <c r="F542" s="389"/>
      <c r="G542" s="389"/>
      <c r="H542" s="389"/>
      <c r="I542" s="389"/>
      <c r="J542" s="389"/>
      <c r="K542" s="389"/>
      <c r="L542" s="389"/>
      <c r="M542" s="356"/>
      <c r="N542" s="438"/>
      <c r="O542" s="389"/>
      <c r="P542" s="146"/>
      <c r="Q542" s="389"/>
      <c r="R542" s="1"/>
    </row>
    <row r="543" spans="1:18" ht="16.2" thickBot="1" x14ac:dyDescent="0.35">
      <c r="A543" s="390"/>
      <c r="B543" s="390"/>
      <c r="C543" s="47">
        <v>7527</v>
      </c>
      <c r="D543" s="390"/>
      <c r="E543" s="390"/>
      <c r="F543" s="390"/>
      <c r="G543" s="390"/>
      <c r="H543" s="390"/>
      <c r="I543" s="390"/>
      <c r="J543" s="390"/>
      <c r="K543" s="390"/>
      <c r="L543" s="390"/>
      <c r="M543" s="357"/>
      <c r="N543" s="439"/>
      <c r="O543" s="390"/>
      <c r="P543" s="147"/>
      <c r="Q543" s="390"/>
      <c r="R543" s="1"/>
    </row>
    <row r="544" spans="1:18" ht="15.6" x14ac:dyDescent="0.3">
      <c r="A544" s="388">
        <v>232</v>
      </c>
      <c r="B544" s="388" t="s">
        <v>257</v>
      </c>
      <c r="C544" s="45">
        <v>550</v>
      </c>
      <c r="D544" s="388">
        <v>1</v>
      </c>
      <c r="E544" s="388" t="s">
        <v>245</v>
      </c>
      <c r="F544" s="388">
        <v>1450</v>
      </c>
      <c r="G544" s="388">
        <v>1200</v>
      </c>
      <c r="H544" s="388" t="s">
        <v>19</v>
      </c>
      <c r="I544" s="388">
        <v>350</v>
      </c>
      <c r="J544" s="385" t="s">
        <v>45</v>
      </c>
      <c r="K544" s="388">
        <v>90</v>
      </c>
      <c r="L544" s="388">
        <v>-32</v>
      </c>
      <c r="M544" s="355" t="s">
        <v>14</v>
      </c>
      <c r="N544" s="437" t="s">
        <v>297</v>
      </c>
      <c r="O544" s="388" t="s">
        <v>27</v>
      </c>
      <c r="P544" s="145"/>
      <c r="Q544" s="388" t="s">
        <v>243</v>
      </c>
      <c r="R544" s="1"/>
    </row>
    <row r="545" spans="1:18" ht="15.6" x14ac:dyDescent="0.3">
      <c r="A545" s="389"/>
      <c r="B545" s="389"/>
      <c r="C545" s="46">
        <v>-7550</v>
      </c>
      <c r="D545" s="389"/>
      <c r="E545" s="389"/>
      <c r="F545" s="389"/>
      <c r="G545" s="389"/>
      <c r="H545" s="389"/>
      <c r="I545" s="389"/>
      <c r="J545" s="386"/>
      <c r="K545" s="389"/>
      <c r="L545" s="389"/>
      <c r="M545" s="356"/>
      <c r="N545" s="438"/>
      <c r="O545" s="389"/>
      <c r="P545" s="146"/>
      <c r="Q545" s="389"/>
      <c r="R545" s="1"/>
    </row>
    <row r="546" spans="1:18" ht="16.2" thickBot="1" x14ac:dyDescent="0.35">
      <c r="A546" s="390"/>
      <c r="B546" s="390"/>
      <c r="C546" s="47">
        <v>7527</v>
      </c>
      <c r="D546" s="390"/>
      <c r="E546" s="390"/>
      <c r="F546" s="390"/>
      <c r="G546" s="390"/>
      <c r="H546" s="390"/>
      <c r="I546" s="390"/>
      <c r="J546" s="387"/>
      <c r="K546" s="390"/>
      <c r="L546" s="390"/>
      <c r="M546" s="357"/>
      <c r="N546" s="439"/>
      <c r="O546" s="390"/>
      <c r="P546" s="147"/>
      <c r="Q546" s="390"/>
      <c r="R546" s="1"/>
    </row>
    <row r="547" spans="1:18" ht="15.6" x14ac:dyDescent="0.3">
      <c r="A547" s="385">
        <v>233</v>
      </c>
      <c r="B547" s="385" t="s">
        <v>56</v>
      </c>
      <c r="C547" s="43">
        <v>550</v>
      </c>
      <c r="D547" s="385">
        <v>1</v>
      </c>
      <c r="E547" s="385" t="s">
        <v>248</v>
      </c>
      <c r="F547" s="388">
        <v>1450</v>
      </c>
      <c r="G547" s="388">
        <v>1200</v>
      </c>
      <c r="H547" s="385" t="s">
        <v>61</v>
      </c>
      <c r="I547" s="385">
        <v>150</v>
      </c>
      <c r="J547" s="385" t="s">
        <v>45</v>
      </c>
      <c r="K547" s="385">
        <v>50</v>
      </c>
      <c r="L547" s="388">
        <v>76.5</v>
      </c>
      <c r="M547" s="355" t="s">
        <v>14</v>
      </c>
      <c r="N547" s="455" t="s">
        <v>297</v>
      </c>
      <c r="O547" s="388" t="s">
        <v>27</v>
      </c>
      <c r="P547" s="145"/>
      <c r="Q547" s="388" t="s">
        <v>249</v>
      </c>
      <c r="R547" s="1"/>
    </row>
    <row r="548" spans="1:18" ht="15.6" x14ac:dyDescent="0.3">
      <c r="A548" s="386"/>
      <c r="B548" s="386"/>
      <c r="C548" s="48">
        <v>-8405</v>
      </c>
      <c r="D548" s="386"/>
      <c r="E548" s="386"/>
      <c r="F548" s="389"/>
      <c r="G548" s="389"/>
      <c r="H548" s="386"/>
      <c r="I548" s="386"/>
      <c r="J548" s="386"/>
      <c r="K548" s="386"/>
      <c r="L548" s="389"/>
      <c r="M548" s="356"/>
      <c r="N548" s="456"/>
      <c r="O548" s="389"/>
      <c r="P548" s="146"/>
      <c r="Q548" s="389"/>
      <c r="R548" s="1"/>
    </row>
    <row r="549" spans="1:18" ht="16.2" thickBot="1" x14ac:dyDescent="0.35">
      <c r="A549" s="387"/>
      <c r="B549" s="387"/>
      <c r="C549" s="44">
        <v>7527</v>
      </c>
      <c r="D549" s="387"/>
      <c r="E549" s="387"/>
      <c r="F549" s="390"/>
      <c r="G549" s="390"/>
      <c r="H549" s="387"/>
      <c r="I549" s="387"/>
      <c r="J549" s="387"/>
      <c r="K549" s="387"/>
      <c r="L549" s="390"/>
      <c r="M549" s="357"/>
      <c r="N549" s="457"/>
      <c r="O549" s="390"/>
      <c r="P549" s="147"/>
      <c r="Q549" s="390"/>
      <c r="R549" s="1"/>
    </row>
    <row r="550" spans="1:18" ht="15.6" x14ac:dyDescent="0.3">
      <c r="A550" s="373">
        <v>235</v>
      </c>
      <c r="B550" s="373" t="s">
        <v>191</v>
      </c>
      <c r="C550" s="49">
        <v>1150</v>
      </c>
      <c r="D550" s="373">
        <v>1</v>
      </c>
      <c r="E550" s="373" t="s">
        <v>255</v>
      </c>
      <c r="F550" s="373">
        <v>1450</v>
      </c>
      <c r="G550" s="373">
        <v>1200</v>
      </c>
      <c r="H550" s="373" t="s">
        <v>50</v>
      </c>
      <c r="I550" s="373">
        <v>150</v>
      </c>
      <c r="J550" s="376" t="s">
        <v>45</v>
      </c>
      <c r="K550" s="373">
        <v>30</v>
      </c>
      <c r="L550" s="373">
        <v>6.5</v>
      </c>
      <c r="M550" s="379" t="s">
        <v>14</v>
      </c>
      <c r="N550" s="408" t="s">
        <v>297</v>
      </c>
      <c r="O550" s="373" t="s">
        <v>27</v>
      </c>
      <c r="P550" s="156"/>
      <c r="Q550" s="373" t="s">
        <v>256</v>
      </c>
      <c r="R550" s="1"/>
    </row>
    <row r="551" spans="1:18" ht="15.6" x14ac:dyDescent="0.3">
      <c r="A551" s="374"/>
      <c r="B551" s="374"/>
      <c r="C551" s="51">
        <v>-9160</v>
      </c>
      <c r="D551" s="374"/>
      <c r="E551" s="374"/>
      <c r="F551" s="374"/>
      <c r="G551" s="374"/>
      <c r="H551" s="374"/>
      <c r="I551" s="374"/>
      <c r="J551" s="377"/>
      <c r="K551" s="374"/>
      <c r="L551" s="374"/>
      <c r="M551" s="380"/>
      <c r="N551" s="409"/>
      <c r="O551" s="374"/>
      <c r="P551" s="157"/>
      <c r="Q551" s="374"/>
      <c r="R551" s="1"/>
    </row>
    <row r="552" spans="1:18" ht="16.2" thickBot="1" x14ac:dyDescent="0.35">
      <c r="A552" s="375"/>
      <c r="B552" s="375"/>
      <c r="C552" s="50">
        <v>7527</v>
      </c>
      <c r="D552" s="375"/>
      <c r="E552" s="375"/>
      <c r="F552" s="375"/>
      <c r="G552" s="375"/>
      <c r="H552" s="375"/>
      <c r="I552" s="375"/>
      <c r="J552" s="378"/>
      <c r="K552" s="375"/>
      <c r="L552" s="375"/>
      <c r="M552" s="381"/>
      <c r="N552" s="410"/>
      <c r="O552" s="375"/>
      <c r="P552" s="158"/>
      <c r="Q552" s="375"/>
      <c r="R552" s="1"/>
    </row>
    <row r="553" spans="1:18" ht="15.6" x14ac:dyDescent="0.3">
      <c r="A553" s="373">
        <v>236</v>
      </c>
      <c r="B553" s="373" t="s">
        <v>191</v>
      </c>
      <c r="C553" s="49">
        <v>1150</v>
      </c>
      <c r="D553" s="373">
        <v>1</v>
      </c>
      <c r="E553" s="373" t="s">
        <v>168</v>
      </c>
      <c r="F553" s="373">
        <v>1450</v>
      </c>
      <c r="G553" s="373">
        <v>1200</v>
      </c>
      <c r="H553" s="373" t="s">
        <v>50</v>
      </c>
      <c r="I553" s="373">
        <v>150</v>
      </c>
      <c r="J553" s="376" t="s">
        <v>45</v>
      </c>
      <c r="K553" s="373">
        <v>30</v>
      </c>
      <c r="L553" s="373">
        <v>12</v>
      </c>
      <c r="M553" s="379" t="s">
        <v>14</v>
      </c>
      <c r="N553" s="408" t="s">
        <v>297</v>
      </c>
      <c r="O553" s="373" t="s">
        <v>27</v>
      </c>
      <c r="P553" s="156"/>
      <c r="Q553" s="376" t="s">
        <v>169</v>
      </c>
      <c r="R553" s="1"/>
    </row>
    <row r="554" spans="1:18" ht="15.6" x14ac:dyDescent="0.3">
      <c r="A554" s="374"/>
      <c r="B554" s="374"/>
      <c r="C554" s="51">
        <v>-9910</v>
      </c>
      <c r="D554" s="374"/>
      <c r="E554" s="374"/>
      <c r="F554" s="374"/>
      <c r="G554" s="374"/>
      <c r="H554" s="374"/>
      <c r="I554" s="374"/>
      <c r="J554" s="377"/>
      <c r="K554" s="374"/>
      <c r="L554" s="374"/>
      <c r="M554" s="380"/>
      <c r="N554" s="409"/>
      <c r="O554" s="374"/>
      <c r="P554" s="157"/>
      <c r="Q554" s="377"/>
      <c r="R554" s="1"/>
    </row>
    <row r="555" spans="1:18" ht="16.2" thickBot="1" x14ac:dyDescent="0.35">
      <c r="A555" s="375"/>
      <c r="B555" s="375"/>
      <c r="C555" s="50">
        <v>7527</v>
      </c>
      <c r="D555" s="375"/>
      <c r="E555" s="375"/>
      <c r="F555" s="375"/>
      <c r="G555" s="375"/>
      <c r="H555" s="375"/>
      <c r="I555" s="375"/>
      <c r="J555" s="378"/>
      <c r="K555" s="375"/>
      <c r="L555" s="375"/>
      <c r="M555" s="381"/>
      <c r="N555" s="410"/>
      <c r="O555" s="375"/>
      <c r="P555" s="158"/>
      <c r="Q555" s="378"/>
      <c r="R555" s="1"/>
    </row>
    <row r="556" spans="1:18" ht="15.6" x14ac:dyDescent="0.3">
      <c r="A556" s="373">
        <v>239</v>
      </c>
      <c r="B556" s="373" t="s">
        <v>268</v>
      </c>
      <c r="C556" s="49">
        <v>-950</v>
      </c>
      <c r="D556" s="373">
        <v>1</v>
      </c>
      <c r="E556" s="373" t="s">
        <v>269</v>
      </c>
      <c r="F556" s="373">
        <v>1450</v>
      </c>
      <c r="G556" s="373">
        <v>1200</v>
      </c>
      <c r="H556" s="373" t="s">
        <v>44</v>
      </c>
      <c r="I556" s="373">
        <v>300</v>
      </c>
      <c r="J556" s="376" t="s">
        <v>45</v>
      </c>
      <c r="K556" s="373">
        <v>100</v>
      </c>
      <c r="L556" s="373">
        <v>0.5</v>
      </c>
      <c r="M556" s="379" t="s">
        <v>14</v>
      </c>
      <c r="N556" s="408" t="s">
        <v>297</v>
      </c>
      <c r="O556" s="373" t="s">
        <v>27</v>
      </c>
      <c r="P556" s="156"/>
      <c r="Q556" s="373" t="s">
        <v>267</v>
      </c>
      <c r="R556" s="1"/>
    </row>
    <row r="557" spans="1:18" ht="15.6" x14ac:dyDescent="0.3">
      <c r="A557" s="374"/>
      <c r="B557" s="374"/>
      <c r="C557" s="51">
        <v>10425</v>
      </c>
      <c r="D557" s="374"/>
      <c r="E557" s="374"/>
      <c r="F557" s="374"/>
      <c r="G557" s="374"/>
      <c r="H557" s="374"/>
      <c r="I557" s="374"/>
      <c r="J557" s="377"/>
      <c r="K557" s="374"/>
      <c r="L557" s="374"/>
      <c r="M557" s="380"/>
      <c r="N557" s="409"/>
      <c r="O557" s="374"/>
      <c r="P557" s="157"/>
      <c r="Q557" s="374"/>
      <c r="R557" s="1"/>
    </row>
    <row r="558" spans="1:18" ht="16.2" thickBot="1" x14ac:dyDescent="0.35">
      <c r="A558" s="375"/>
      <c r="B558" s="375"/>
      <c r="C558" s="50">
        <v>7527</v>
      </c>
      <c r="D558" s="375"/>
      <c r="E558" s="375"/>
      <c r="F558" s="375"/>
      <c r="G558" s="375"/>
      <c r="H558" s="375"/>
      <c r="I558" s="375"/>
      <c r="J558" s="378"/>
      <c r="K558" s="375"/>
      <c r="L558" s="375"/>
      <c r="M558" s="381"/>
      <c r="N558" s="410"/>
      <c r="O558" s="375"/>
      <c r="P558" s="158"/>
      <c r="Q558" s="375"/>
      <c r="R558" s="1"/>
    </row>
    <row r="559" spans="1:18" ht="15.6" x14ac:dyDescent="0.3">
      <c r="A559" s="373">
        <v>242</v>
      </c>
      <c r="B559" s="373" t="s">
        <v>191</v>
      </c>
      <c r="C559" s="49">
        <v>-2480</v>
      </c>
      <c r="D559" s="373">
        <v>1</v>
      </c>
      <c r="E559" s="373" t="s">
        <v>255</v>
      </c>
      <c r="F559" s="373">
        <v>1450</v>
      </c>
      <c r="G559" s="373">
        <v>1200</v>
      </c>
      <c r="H559" s="373" t="s">
        <v>50</v>
      </c>
      <c r="I559" s="373">
        <v>150</v>
      </c>
      <c r="J559" s="376" t="s">
        <v>45</v>
      </c>
      <c r="K559" s="373">
        <v>30</v>
      </c>
      <c r="L559" s="373">
        <v>6.5</v>
      </c>
      <c r="M559" s="379" t="s">
        <v>14</v>
      </c>
      <c r="N559" s="408" t="s">
        <v>297</v>
      </c>
      <c r="O559" s="373" t="s">
        <v>27</v>
      </c>
      <c r="P559" s="156"/>
      <c r="Q559" s="373" t="s">
        <v>256</v>
      </c>
      <c r="R559" s="1"/>
    </row>
    <row r="560" spans="1:18" ht="15.6" x14ac:dyDescent="0.3">
      <c r="A560" s="374"/>
      <c r="B560" s="374"/>
      <c r="C560" s="51">
        <v>17205</v>
      </c>
      <c r="D560" s="374"/>
      <c r="E560" s="374"/>
      <c r="F560" s="374"/>
      <c r="G560" s="374"/>
      <c r="H560" s="374"/>
      <c r="I560" s="374"/>
      <c r="J560" s="377"/>
      <c r="K560" s="374"/>
      <c r="L560" s="374"/>
      <c r="M560" s="380"/>
      <c r="N560" s="409"/>
      <c r="O560" s="374"/>
      <c r="P560" s="157"/>
      <c r="Q560" s="374"/>
      <c r="R560" s="1"/>
    </row>
    <row r="561" spans="1:18" ht="16.2" thickBot="1" x14ac:dyDescent="0.35">
      <c r="A561" s="375"/>
      <c r="B561" s="375"/>
      <c r="C561" s="50">
        <v>7527</v>
      </c>
      <c r="D561" s="375"/>
      <c r="E561" s="375"/>
      <c r="F561" s="375"/>
      <c r="G561" s="375"/>
      <c r="H561" s="375"/>
      <c r="I561" s="375"/>
      <c r="J561" s="378"/>
      <c r="K561" s="375"/>
      <c r="L561" s="375"/>
      <c r="M561" s="381"/>
      <c r="N561" s="410"/>
      <c r="O561" s="375"/>
      <c r="P561" s="158"/>
      <c r="Q561" s="375"/>
      <c r="R561" s="1"/>
    </row>
    <row r="562" spans="1:18" ht="15.6" x14ac:dyDescent="0.3">
      <c r="A562" s="373">
        <v>244</v>
      </c>
      <c r="B562" s="373" t="s">
        <v>241</v>
      </c>
      <c r="C562" s="49">
        <v>100</v>
      </c>
      <c r="D562" s="373">
        <v>1</v>
      </c>
      <c r="E562" s="373" t="s">
        <v>242</v>
      </c>
      <c r="F562" s="373">
        <v>1450</v>
      </c>
      <c r="G562" s="373">
        <v>1200</v>
      </c>
      <c r="H562" s="373" t="s">
        <v>55</v>
      </c>
      <c r="I562" s="373">
        <v>300</v>
      </c>
      <c r="J562" s="376" t="s">
        <v>45</v>
      </c>
      <c r="K562" s="373">
        <v>100</v>
      </c>
      <c r="L562" s="373">
        <v>-50</v>
      </c>
      <c r="M562" s="379" t="s">
        <v>14</v>
      </c>
      <c r="N562" s="408" t="s">
        <v>297</v>
      </c>
      <c r="O562" s="373" t="s">
        <v>27</v>
      </c>
      <c r="P562" s="156"/>
      <c r="Q562" s="373" t="s">
        <v>243</v>
      </c>
      <c r="R562" s="1"/>
    </row>
    <row r="563" spans="1:18" ht="15.6" x14ac:dyDescent="0.3">
      <c r="A563" s="374"/>
      <c r="B563" s="374"/>
      <c r="C563" s="51">
        <v>-15400</v>
      </c>
      <c r="D563" s="374"/>
      <c r="E563" s="374"/>
      <c r="F563" s="374"/>
      <c r="G563" s="374"/>
      <c r="H563" s="374"/>
      <c r="I563" s="374"/>
      <c r="J563" s="377"/>
      <c r="K563" s="374"/>
      <c r="L563" s="374"/>
      <c r="M563" s="380"/>
      <c r="N563" s="409"/>
      <c r="O563" s="374"/>
      <c r="P563" s="157"/>
      <c r="Q563" s="374"/>
      <c r="R563" s="1"/>
    </row>
    <row r="564" spans="1:18" ht="16.2" thickBot="1" x14ac:dyDescent="0.35">
      <c r="A564" s="375"/>
      <c r="B564" s="375"/>
      <c r="C564" s="50">
        <v>7527</v>
      </c>
      <c r="D564" s="375"/>
      <c r="E564" s="375"/>
      <c r="F564" s="375"/>
      <c r="G564" s="375"/>
      <c r="H564" s="375"/>
      <c r="I564" s="375"/>
      <c r="J564" s="378"/>
      <c r="K564" s="375"/>
      <c r="L564" s="375"/>
      <c r="M564" s="381"/>
      <c r="N564" s="410"/>
      <c r="O564" s="375"/>
      <c r="P564" s="158"/>
      <c r="Q564" s="375"/>
      <c r="R564" s="1"/>
    </row>
    <row r="565" spans="1:18" ht="15.6" x14ac:dyDescent="0.3">
      <c r="A565" s="373">
        <v>248</v>
      </c>
      <c r="B565" s="373" t="s">
        <v>179</v>
      </c>
      <c r="C565" s="49">
        <v>-7050</v>
      </c>
      <c r="D565" s="373">
        <v>1</v>
      </c>
      <c r="E565" s="373" t="s">
        <v>161</v>
      </c>
      <c r="F565" s="373">
        <v>1450</v>
      </c>
      <c r="G565" s="373">
        <v>1200</v>
      </c>
      <c r="H565" s="373" t="s">
        <v>50</v>
      </c>
      <c r="I565" s="373">
        <v>150</v>
      </c>
      <c r="J565" s="376" t="s">
        <v>45</v>
      </c>
      <c r="K565" s="373">
        <v>40</v>
      </c>
      <c r="L565" s="373">
        <v>-7</v>
      </c>
      <c r="M565" s="379" t="s">
        <v>14</v>
      </c>
      <c r="N565" s="408" t="s">
        <v>297</v>
      </c>
      <c r="O565" s="373" t="s">
        <v>27</v>
      </c>
      <c r="P565" s="156"/>
      <c r="Q565" s="373" t="s">
        <v>243</v>
      </c>
      <c r="R565" s="1"/>
    </row>
    <row r="566" spans="1:18" ht="15.6" x14ac:dyDescent="0.3">
      <c r="A566" s="374"/>
      <c r="B566" s="374"/>
      <c r="C566" s="49">
        <v>-17320</v>
      </c>
      <c r="D566" s="374"/>
      <c r="E566" s="374"/>
      <c r="F566" s="374"/>
      <c r="G566" s="374"/>
      <c r="H566" s="374"/>
      <c r="I566" s="374"/>
      <c r="J566" s="377"/>
      <c r="K566" s="374"/>
      <c r="L566" s="374"/>
      <c r="M566" s="380"/>
      <c r="N566" s="409"/>
      <c r="O566" s="374"/>
      <c r="P566" s="157"/>
      <c r="Q566" s="374"/>
      <c r="R566" s="1"/>
    </row>
    <row r="567" spans="1:18" ht="16.2" thickBot="1" x14ac:dyDescent="0.35">
      <c r="A567" s="375"/>
      <c r="B567" s="375"/>
      <c r="C567" s="50">
        <v>7527</v>
      </c>
      <c r="D567" s="375"/>
      <c r="E567" s="375"/>
      <c r="F567" s="375"/>
      <c r="G567" s="375"/>
      <c r="H567" s="375"/>
      <c r="I567" s="375"/>
      <c r="J567" s="378"/>
      <c r="K567" s="375"/>
      <c r="L567" s="375"/>
      <c r="M567" s="381"/>
      <c r="N567" s="410"/>
      <c r="O567" s="375"/>
      <c r="P567" s="158"/>
      <c r="Q567" s="375"/>
      <c r="R567" s="1"/>
    </row>
    <row r="568" spans="1:18" ht="15.6" x14ac:dyDescent="0.3">
      <c r="A568" s="376">
        <v>250</v>
      </c>
      <c r="B568" s="376" t="s">
        <v>62</v>
      </c>
      <c r="C568" s="58">
        <v>-5560</v>
      </c>
      <c r="D568" s="376">
        <v>1</v>
      </c>
      <c r="E568" s="376" t="s">
        <v>250</v>
      </c>
      <c r="F568" s="373">
        <v>1450</v>
      </c>
      <c r="G568" s="373">
        <v>1200</v>
      </c>
      <c r="H568" s="376" t="s">
        <v>251</v>
      </c>
      <c r="I568" s="376">
        <v>350</v>
      </c>
      <c r="J568" s="376" t="s">
        <v>303</v>
      </c>
      <c r="K568" s="376">
        <v>70</v>
      </c>
      <c r="L568" s="373">
        <v>106.5</v>
      </c>
      <c r="M568" s="379" t="s">
        <v>14</v>
      </c>
      <c r="N568" s="402" t="s">
        <v>297</v>
      </c>
      <c r="O568" s="373" t="s">
        <v>27</v>
      </c>
      <c r="P568" s="156"/>
      <c r="Q568" s="373" t="s">
        <v>252</v>
      </c>
      <c r="R568" s="1"/>
    </row>
    <row r="569" spans="1:18" ht="15.6" x14ac:dyDescent="0.3">
      <c r="A569" s="377"/>
      <c r="B569" s="377"/>
      <c r="C569" s="59">
        <v>-15475</v>
      </c>
      <c r="D569" s="377"/>
      <c r="E569" s="377"/>
      <c r="F569" s="374"/>
      <c r="G569" s="374"/>
      <c r="H569" s="377"/>
      <c r="I569" s="377"/>
      <c r="J569" s="377"/>
      <c r="K569" s="377"/>
      <c r="L569" s="374"/>
      <c r="M569" s="380"/>
      <c r="N569" s="403"/>
      <c r="O569" s="374"/>
      <c r="P569" s="157"/>
      <c r="Q569" s="374"/>
      <c r="R569" s="1"/>
    </row>
    <row r="570" spans="1:18" ht="16.2" thickBot="1" x14ac:dyDescent="0.35">
      <c r="A570" s="378"/>
      <c r="B570" s="378"/>
      <c r="C570" s="57">
        <v>7527</v>
      </c>
      <c r="D570" s="378"/>
      <c r="E570" s="378"/>
      <c r="F570" s="375"/>
      <c r="G570" s="375"/>
      <c r="H570" s="378"/>
      <c r="I570" s="378"/>
      <c r="J570" s="378"/>
      <c r="K570" s="378"/>
      <c r="L570" s="375"/>
      <c r="M570" s="381"/>
      <c r="N570" s="404"/>
      <c r="O570" s="375"/>
      <c r="P570" s="158"/>
      <c r="Q570" s="375"/>
      <c r="R570" s="1"/>
    </row>
    <row r="571" spans="1:18" ht="15.6" x14ac:dyDescent="0.3">
      <c r="A571" s="373">
        <v>254</v>
      </c>
      <c r="B571" s="373" t="s">
        <v>64</v>
      </c>
      <c r="C571" s="49">
        <v>-8000</v>
      </c>
      <c r="D571" s="373">
        <v>1</v>
      </c>
      <c r="E571" s="373" t="s">
        <v>245</v>
      </c>
      <c r="F571" s="373">
        <v>1450</v>
      </c>
      <c r="G571" s="373">
        <v>1200</v>
      </c>
      <c r="H571" s="373" t="s">
        <v>12</v>
      </c>
      <c r="I571" s="373">
        <v>350</v>
      </c>
      <c r="J571" s="376" t="s">
        <v>45</v>
      </c>
      <c r="K571" s="373">
        <v>90</v>
      </c>
      <c r="L571" s="373">
        <v>46</v>
      </c>
      <c r="M571" s="379" t="s">
        <v>14</v>
      </c>
      <c r="N571" s="408" t="s">
        <v>297</v>
      </c>
      <c r="O571" s="373" t="s">
        <v>27</v>
      </c>
      <c r="P571" s="156"/>
      <c r="Q571" s="373" t="s">
        <v>246</v>
      </c>
      <c r="R571" s="1"/>
    </row>
    <row r="572" spans="1:18" ht="15.6" x14ac:dyDescent="0.3">
      <c r="A572" s="374"/>
      <c r="B572" s="374"/>
      <c r="C572" s="51">
        <v>-9675</v>
      </c>
      <c r="D572" s="374"/>
      <c r="E572" s="374"/>
      <c r="F572" s="374"/>
      <c r="G572" s="374"/>
      <c r="H572" s="374"/>
      <c r="I572" s="374"/>
      <c r="J572" s="377"/>
      <c r="K572" s="374"/>
      <c r="L572" s="374"/>
      <c r="M572" s="380"/>
      <c r="N572" s="409"/>
      <c r="O572" s="374"/>
      <c r="P572" s="157"/>
      <c r="Q572" s="374"/>
      <c r="R572" s="1"/>
    </row>
    <row r="573" spans="1:18" ht="16.2" thickBot="1" x14ac:dyDescent="0.35">
      <c r="A573" s="375"/>
      <c r="B573" s="375"/>
      <c r="C573" s="50">
        <v>7527</v>
      </c>
      <c r="D573" s="375"/>
      <c r="E573" s="375"/>
      <c r="F573" s="375"/>
      <c r="G573" s="375"/>
      <c r="H573" s="375"/>
      <c r="I573" s="375"/>
      <c r="J573" s="378"/>
      <c r="K573" s="375"/>
      <c r="L573" s="375"/>
      <c r="M573" s="381"/>
      <c r="N573" s="410"/>
      <c r="O573" s="375"/>
      <c r="P573" s="158"/>
      <c r="Q573" s="375"/>
      <c r="R573" s="350"/>
    </row>
    <row r="574" spans="1:18" ht="15.6" x14ac:dyDescent="0.3">
      <c r="A574" s="373">
        <v>255</v>
      </c>
      <c r="B574" s="373" t="s">
        <v>230</v>
      </c>
      <c r="C574" s="49">
        <v>-9335</v>
      </c>
      <c r="D574" s="373">
        <v>1</v>
      </c>
      <c r="E574" s="373" t="s">
        <v>49</v>
      </c>
      <c r="F574" s="373">
        <v>1450</v>
      </c>
      <c r="G574" s="373">
        <v>1200</v>
      </c>
      <c r="H574" s="373" t="s">
        <v>50</v>
      </c>
      <c r="I574" s="373">
        <v>150</v>
      </c>
      <c r="J574" s="376" t="s">
        <v>45</v>
      </c>
      <c r="K574" s="373">
        <v>40</v>
      </c>
      <c r="L574" s="373">
        <v>-19.5</v>
      </c>
      <c r="M574" s="379" t="s">
        <v>14</v>
      </c>
      <c r="N574" s="408" t="s">
        <v>297</v>
      </c>
      <c r="O574" s="373" t="s">
        <v>27</v>
      </c>
      <c r="P574" s="156"/>
      <c r="Q574" s="373" t="s">
        <v>243</v>
      </c>
      <c r="R574" s="351"/>
    </row>
    <row r="575" spans="1:18" ht="15.6" x14ac:dyDescent="0.3">
      <c r="A575" s="374"/>
      <c r="B575" s="374"/>
      <c r="C575" s="51">
        <v>-12205</v>
      </c>
      <c r="D575" s="374"/>
      <c r="E575" s="374"/>
      <c r="F575" s="374"/>
      <c r="G575" s="374"/>
      <c r="H575" s="374"/>
      <c r="I575" s="374"/>
      <c r="J575" s="377"/>
      <c r="K575" s="374"/>
      <c r="L575" s="374"/>
      <c r="M575" s="380"/>
      <c r="N575" s="409"/>
      <c r="O575" s="374"/>
      <c r="P575" s="157"/>
      <c r="Q575" s="374"/>
      <c r="R575" s="351"/>
    </row>
    <row r="576" spans="1:18" ht="16.2" thickBot="1" x14ac:dyDescent="0.35">
      <c r="A576" s="375"/>
      <c r="B576" s="375"/>
      <c r="C576" s="50">
        <v>7527</v>
      </c>
      <c r="D576" s="375"/>
      <c r="E576" s="375"/>
      <c r="F576" s="375"/>
      <c r="G576" s="375"/>
      <c r="H576" s="375"/>
      <c r="I576" s="375"/>
      <c r="J576" s="378"/>
      <c r="K576" s="375"/>
      <c r="L576" s="375"/>
      <c r="M576" s="381"/>
      <c r="N576" s="410"/>
      <c r="O576" s="375"/>
      <c r="P576" s="158"/>
      <c r="Q576" s="375"/>
      <c r="R576" s="1"/>
    </row>
    <row r="577" spans="1:18" ht="15.6" x14ac:dyDescent="0.3">
      <c r="A577" s="388">
        <v>257</v>
      </c>
      <c r="B577" s="388" t="s">
        <v>179</v>
      </c>
      <c r="C577" s="45">
        <v>-10460</v>
      </c>
      <c r="D577" s="388">
        <v>1</v>
      </c>
      <c r="E577" s="388" t="s">
        <v>66</v>
      </c>
      <c r="F577" s="388">
        <v>1450</v>
      </c>
      <c r="G577" s="388">
        <v>1200</v>
      </c>
      <c r="H577" s="388" t="s">
        <v>50</v>
      </c>
      <c r="I577" s="388">
        <v>100</v>
      </c>
      <c r="J577" s="385" t="s">
        <v>45</v>
      </c>
      <c r="K577" s="388">
        <v>30</v>
      </c>
      <c r="L577" s="388">
        <v>10</v>
      </c>
      <c r="M577" s="355" t="s">
        <v>14</v>
      </c>
      <c r="N577" s="437" t="s">
        <v>297</v>
      </c>
      <c r="O577" s="388" t="s">
        <v>27</v>
      </c>
      <c r="P577" s="145"/>
      <c r="Q577" s="388" t="s">
        <v>238</v>
      </c>
      <c r="R577" s="1"/>
    </row>
    <row r="578" spans="1:18" ht="15.6" x14ac:dyDescent="0.3">
      <c r="A578" s="389"/>
      <c r="B578" s="389"/>
      <c r="C578" s="46">
        <v>-12990</v>
      </c>
      <c r="D578" s="389"/>
      <c r="E578" s="389"/>
      <c r="F578" s="389"/>
      <c r="G578" s="389"/>
      <c r="H578" s="389"/>
      <c r="I578" s="389"/>
      <c r="J578" s="386"/>
      <c r="K578" s="389"/>
      <c r="L578" s="389"/>
      <c r="M578" s="356"/>
      <c r="N578" s="438"/>
      <c r="O578" s="389"/>
      <c r="P578" s="146"/>
      <c r="Q578" s="389"/>
      <c r="R578" s="1"/>
    </row>
    <row r="579" spans="1:18" ht="16.2" thickBot="1" x14ac:dyDescent="0.35">
      <c r="A579" s="390"/>
      <c r="B579" s="390"/>
      <c r="C579" s="47">
        <v>7527</v>
      </c>
      <c r="D579" s="390"/>
      <c r="E579" s="390"/>
      <c r="F579" s="390"/>
      <c r="G579" s="390"/>
      <c r="H579" s="390"/>
      <c r="I579" s="390"/>
      <c r="J579" s="387"/>
      <c r="K579" s="390"/>
      <c r="L579" s="390"/>
      <c r="M579" s="357"/>
      <c r="N579" s="439"/>
      <c r="O579" s="390"/>
      <c r="P579" s="147"/>
      <c r="Q579" s="390"/>
      <c r="R579" s="1"/>
    </row>
    <row r="580" spans="1:18" ht="15.6" x14ac:dyDescent="0.3">
      <c r="A580" s="388">
        <v>259</v>
      </c>
      <c r="B580" s="388" t="s">
        <v>233</v>
      </c>
      <c r="C580" s="45">
        <v>-11760</v>
      </c>
      <c r="D580" s="388">
        <v>1</v>
      </c>
      <c r="E580" s="388" t="s">
        <v>50</v>
      </c>
      <c r="F580" s="388">
        <v>1450</v>
      </c>
      <c r="G580" s="388">
        <v>1200</v>
      </c>
      <c r="H580" s="388" t="s">
        <v>44</v>
      </c>
      <c r="I580" s="388">
        <v>100</v>
      </c>
      <c r="J580" s="385" t="s">
        <v>45</v>
      </c>
      <c r="K580" s="388">
        <v>30</v>
      </c>
      <c r="L580" s="388">
        <v>70.5</v>
      </c>
      <c r="M580" s="355" t="s">
        <v>14</v>
      </c>
      <c r="N580" s="437" t="s">
        <v>297</v>
      </c>
      <c r="O580" s="388" t="s">
        <v>27</v>
      </c>
      <c r="P580" s="145"/>
      <c r="Q580" s="388" t="s">
        <v>267</v>
      </c>
      <c r="R580" s="1"/>
    </row>
    <row r="581" spans="1:18" ht="15.6" x14ac:dyDescent="0.3">
      <c r="A581" s="389"/>
      <c r="B581" s="389"/>
      <c r="C581" s="46">
        <v>-14570</v>
      </c>
      <c r="D581" s="389"/>
      <c r="E581" s="389"/>
      <c r="F581" s="389"/>
      <c r="G581" s="389"/>
      <c r="H581" s="389"/>
      <c r="I581" s="389"/>
      <c r="J581" s="386"/>
      <c r="K581" s="389"/>
      <c r="L581" s="389"/>
      <c r="M581" s="356"/>
      <c r="N581" s="438"/>
      <c r="O581" s="389"/>
      <c r="P581" s="146"/>
      <c r="Q581" s="389"/>
      <c r="R581" s="1"/>
    </row>
    <row r="582" spans="1:18" ht="16.2" thickBot="1" x14ac:dyDescent="0.35">
      <c r="A582" s="390"/>
      <c r="B582" s="390"/>
      <c r="C582" s="47">
        <v>7527</v>
      </c>
      <c r="D582" s="390"/>
      <c r="E582" s="390"/>
      <c r="F582" s="390"/>
      <c r="G582" s="390"/>
      <c r="H582" s="390"/>
      <c r="I582" s="390"/>
      <c r="J582" s="387"/>
      <c r="K582" s="390"/>
      <c r="L582" s="390"/>
      <c r="M582" s="357"/>
      <c r="N582" s="439"/>
      <c r="O582" s="390"/>
      <c r="P582" s="147"/>
      <c r="Q582" s="390"/>
      <c r="R582" s="1"/>
    </row>
    <row r="583" spans="1:18" ht="15.6" x14ac:dyDescent="0.3">
      <c r="A583" s="388">
        <v>260</v>
      </c>
      <c r="B583" s="388" t="s">
        <v>233</v>
      </c>
      <c r="C583" s="45">
        <v>-12185</v>
      </c>
      <c r="D583" s="388">
        <v>1</v>
      </c>
      <c r="E583" s="388" t="s">
        <v>50</v>
      </c>
      <c r="F583" s="388">
        <v>1450</v>
      </c>
      <c r="G583" s="388">
        <v>1200</v>
      </c>
      <c r="H583" s="388" t="s">
        <v>44</v>
      </c>
      <c r="I583" s="388">
        <v>100</v>
      </c>
      <c r="J583" s="385" t="s">
        <v>45</v>
      </c>
      <c r="K583" s="388">
        <v>30</v>
      </c>
      <c r="L583" s="388">
        <v>70.5</v>
      </c>
      <c r="M583" s="355" t="s">
        <v>14</v>
      </c>
      <c r="N583" s="437" t="s">
        <v>297</v>
      </c>
      <c r="O583" s="388" t="s">
        <v>27</v>
      </c>
      <c r="P583" s="145"/>
      <c r="Q583" s="388" t="s">
        <v>267</v>
      </c>
      <c r="R583" s="1"/>
    </row>
    <row r="584" spans="1:18" ht="15.6" x14ac:dyDescent="0.3">
      <c r="A584" s="389"/>
      <c r="B584" s="389"/>
      <c r="C584" s="46">
        <v>-14895</v>
      </c>
      <c r="D584" s="389"/>
      <c r="E584" s="389"/>
      <c r="F584" s="389"/>
      <c r="G584" s="389"/>
      <c r="H584" s="389"/>
      <c r="I584" s="389"/>
      <c r="J584" s="386"/>
      <c r="K584" s="389"/>
      <c r="L584" s="389"/>
      <c r="M584" s="356"/>
      <c r="N584" s="438"/>
      <c r="O584" s="389"/>
      <c r="P584" s="146"/>
      <c r="Q584" s="389"/>
      <c r="R584" s="1"/>
    </row>
    <row r="585" spans="1:18" ht="16.2" thickBot="1" x14ac:dyDescent="0.35">
      <c r="A585" s="390"/>
      <c r="B585" s="390"/>
      <c r="C585" s="47">
        <v>7527</v>
      </c>
      <c r="D585" s="390"/>
      <c r="E585" s="390"/>
      <c r="F585" s="390"/>
      <c r="G585" s="390"/>
      <c r="H585" s="390"/>
      <c r="I585" s="390"/>
      <c r="J585" s="387"/>
      <c r="K585" s="390"/>
      <c r="L585" s="390"/>
      <c r="M585" s="357"/>
      <c r="N585" s="439"/>
      <c r="O585" s="390"/>
      <c r="P585" s="147"/>
      <c r="Q585" s="390"/>
      <c r="R585" s="1"/>
    </row>
    <row r="586" spans="1:18" ht="15.6" x14ac:dyDescent="0.3">
      <c r="A586" s="373">
        <v>263</v>
      </c>
      <c r="B586" s="373" t="s">
        <v>233</v>
      </c>
      <c r="C586" s="49">
        <v>-14235</v>
      </c>
      <c r="D586" s="373">
        <v>1</v>
      </c>
      <c r="E586" s="373" t="s">
        <v>305</v>
      </c>
      <c r="F586" s="373">
        <v>1450</v>
      </c>
      <c r="G586" s="373">
        <v>1200</v>
      </c>
      <c r="H586" s="373" t="s">
        <v>19</v>
      </c>
      <c r="I586" s="373">
        <v>350</v>
      </c>
      <c r="J586" s="376" t="s">
        <v>45</v>
      </c>
      <c r="K586" s="373">
        <v>100</v>
      </c>
      <c r="L586" s="373">
        <v>-51.5</v>
      </c>
      <c r="M586" s="379" t="s">
        <v>14</v>
      </c>
      <c r="N586" s="408" t="s">
        <v>304</v>
      </c>
      <c r="O586" s="373" t="s">
        <v>27</v>
      </c>
      <c r="P586" s="156"/>
      <c r="Q586" s="373" t="s">
        <v>243</v>
      </c>
      <c r="R586" s="1"/>
    </row>
    <row r="587" spans="1:18" ht="15.6" x14ac:dyDescent="0.3">
      <c r="A587" s="374"/>
      <c r="B587" s="374"/>
      <c r="C587" s="51">
        <v>-13230</v>
      </c>
      <c r="D587" s="374"/>
      <c r="E587" s="374"/>
      <c r="F587" s="374"/>
      <c r="G587" s="374"/>
      <c r="H587" s="374"/>
      <c r="I587" s="374"/>
      <c r="J587" s="377"/>
      <c r="K587" s="374"/>
      <c r="L587" s="374"/>
      <c r="M587" s="380"/>
      <c r="N587" s="409"/>
      <c r="O587" s="374"/>
      <c r="P587" s="157"/>
      <c r="Q587" s="374"/>
      <c r="R587" s="1"/>
    </row>
    <row r="588" spans="1:18" ht="16.2" thickBot="1" x14ac:dyDescent="0.35">
      <c r="A588" s="375"/>
      <c r="B588" s="375"/>
      <c r="C588" s="50">
        <v>7527</v>
      </c>
      <c r="D588" s="375"/>
      <c r="E588" s="375"/>
      <c r="F588" s="375"/>
      <c r="G588" s="375"/>
      <c r="H588" s="375"/>
      <c r="I588" s="375"/>
      <c r="J588" s="378"/>
      <c r="K588" s="375"/>
      <c r="L588" s="375"/>
      <c r="M588" s="381"/>
      <c r="N588" s="410"/>
      <c r="O588" s="375"/>
      <c r="P588" s="158"/>
      <c r="Q588" s="375"/>
      <c r="R588" s="1"/>
    </row>
    <row r="589" spans="1:18" ht="15.6" x14ac:dyDescent="0.3">
      <c r="A589" s="376">
        <v>264</v>
      </c>
      <c r="B589" s="376" t="s">
        <v>233</v>
      </c>
      <c r="C589" s="58">
        <v>-14455</v>
      </c>
      <c r="D589" s="376">
        <v>1</v>
      </c>
      <c r="E589" s="376" t="s">
        <v>305</v>
      </c>
      <c r="F589" s="373">
        <v>1450</v>
      </c>
      <c r="G589" s="373">
        <v>1200</v>
      </c>
      <c r="H589" s="376" t="s">
        <v>19</v>
      </c>
      <c r="I589" s="376">
        <v>350</v>
      </c>
      <c r="J589" s="376" t="s">
        <v>45</v>
      </c>
      <c r="K589" s="376">
        <v>100</v>
      </c>
      <c r="L589" s="373">
        <v>-51.5</v>
      </c>
      <c r="M589" s="379" t="s">
        <v>14</v>
      </c>
      <c r="N589" s="402" t="s">
        <v>304</v>
      </c>
      <c r="O589" s="373" t="s">
        <v>27</v>
      </c>
      <c r="P589" s="156"/>
      <c r="Q589" s="373" t="s">
        <v>243</v>
      </c>
      <c r="R589" s="1"/>
    </row>
    <row r="590" spans="1:18" ht="15.6" x14ac:dyDescent="0.3">
      <c r="A590" s="377"/>
      <c r="B590" s="377"/>
      <c r="C590" s="58">
        <v>-12920</v>
      </c>
      <c r="D590" s="377"/>
      <c r="E590" s="377"/>
      <c r="F590" s="374"/>
      <c r="G590" s="374"/>
      <c r="H590" s="377"/>
      <c r="I590" s="377"/>
      <c r="J590" s="377"/>
      <c r="K590" s="377"/>
      <c r="L590" s="374"/>
      <c r="M590" s="380"/>
      <c r="N590" s="403"/>
      <c r="O590" s="374"/>
      <c r="P590" s="157"/>
      <c r="Q590" s="374"/>
      <c r="R590" s="1"/>
    </row>
    <row r="591" spans="1:18" ht="16.2" thickBot="1" x14ac:dyDescent="0.35">
      <c r="A591" s="378"/>
      <c r="B591" s="378"/>
      <c r="C591" s="57">
        <v>7527</v>
      </c>
      <c r="D591" s="378"/>
      <c r="E591" s="378"/>
      <c r="F591" s="375"/>
      <c r="G591" s="375"/>
      <c r="H591" s="378"/>
      <c r="I591" s="378"/>
      <c r="J591" s="378"/>
      <c r="K591" s="378"/>
      <c r="L591" s="375"/>
      <c r="M591" s="381"/>
      <c r="N591" s="404"/>
      <c r="O591" s="375"/>
      <c r="P591" s="158"/>
      <c r="Q591" s="375"/>
      <c r="R591" s="1"/>
    </row>
    <row r="592" spans="1:18" ht="15.6" x14ac:dyDescent="0.3">
      <c r="A592" s="373">
        <v>268</v>
      </c>
      <c r="B592" s="373" t="s">
        <v>233</v>
      </c>
      <c r="C592" s="49">
        <v>-11845</v>
      </c>
      <c r="D592" s="373">
        <v>1</v>
      </c>
      <c r="E592" s="373" t="s">
        <v>248</v>
      </c>
      <c r="F592" s="373">
        <v>1450</v>
      </c>
      <c r="G592" s="373">
        <v>1200</v>
      </c>
      <c r="H592" s="373" t="s">
        <v>44</v>
      </c>
      <c r="I592" s="373">
        <v>350</v>
      </c>
      <c r="J592" s="376" t="s">
        <v>45</v>
      </c>
      <c r="K592" s="373">
        <v>100</v>
      </c>
      <c r="L592" s="373">
        <v>-25</v>
      </c>
      <c r="M592" s="379" t="s">
        <v>14</v>
      </c>
      <c r="N592" s="408" t="s">
        <v>304</v>
      </c>
      <c r="O592" s="373" t="s">
        <v>27</v>
      </c>
      <c r="P592" s="156"/>
      <c r="Q592" s="373" t="s">
        <v>243</v>
      </c>
      <c r="R592" s="1"/>
    </row>
    <row r="593" spans="1:18" ht="15.6" x14ac:dyDescent="0.3">
      <c r="A593" s="374"/>
      <c r="B593" s="374"/>
      <c r="C593" s="51">
        <v>-10540</v>
      </c>
      <c r="D593" s="374"/>
      <c r="E593" s="374"/>
      <c r="F593" s="374"/>
      <c r="G593" s="374"/>
      <c r="H593" s="374"/>
      <c r="I593" s="374"/>
      <c r="J593" s="377"/>
      <c r="K593" s="374"/>
      <c r="L593" s="374"/>
      <c r="M593" s="380"/>
      <c r="N593" s="409"/>
      <c r="O593" s="374"/>
      <c r="P593" s="157"/>
      <c r="Q593" s="374"/>
      <c r="R593" s="1"/>
    </row>
    <row r="594" spans="1:18" ht="16.2" thickBot="1" x14ac:dyDescent="0.35">
      <c r="A594" s="375"/>
      <c r="B594" s="375"/>
      <c r="C594" s="50">
        <v>7527</v>
      </c>
      <c r="D594" s="375"/>
      <c r="E594" s="375"/>
      <c r="F594" s="375"/>
      <c r="G594" s="375"/>
      <c r="H594" s="375"/>
      <c r="I594" s="375"/>
      <c r="J594" s="378"/>
      <c r="K594" s="375"/>
      <c r="L594" s="375"/>
      <c r="M594" s="381"/>
      <c r="N594" s="410"/>
      <c r="O594" s="375"/>
      <c r="P594" s="158"/>
      <c r="Q594" s="375"/>
      <c r="R594" s="1"/>
    </row>
    <row r="595" spans="1:18" ht="15.6" x14ac:dyDescent="0.3">
      <c r="A595" s="376">
        <v>269</v>
      </c>
      <c r="B595" s="376" t="s">
        <v>233</v>
      </c>
      <c r="C595" s="58">
        <v>-12020</v>
      </c>
      <c r="D595" s="376">
        <v>1</v>
      </c>
      <c r="E595" s="376" t="s">
        <v>248</v>
      </c>
      <c r="F595" s="373">
        <v>1450</v>
      </c>
      <c r="G595" s="373">
        <v>1200</v>
      </c>
      <c r="H595" s="376" t="s">
        <v>44</v>
      </c>
      <c r="I595" s="376">
        <v>350</v>
      </c>
      <c r="J595" s="376" t="s">
        <v>45</v>
      </c>
      <c r="K595" s="376">
        <v>100</v>
      </c>
      <c r="L595" s="373">
        <v>-25</v>
      </c>
      <c r="M595" s="379" t="s">
        <v>14</v>
      </c>
      <c r="N595" s="402" t="s">
        <v>304</v>
      </c>
      <c r="O595" s="373" t="s">
        <v>27</v>
      </c>
      <c r="P595" s="156"/>
      <c r="Q595" s="373" t="s">
        <v>243</v>
      </c>
      <c r="R595" s="1"/>
    </row>
    <row r="596" spans="1:18" ht="15.6" x14ac:dyDescent="0.3">
      <c r="A596" s="377"/>
      <c r="B596" s="377"/>
      <c r="C596" s="59">
        <v>-10115</v>
      </c>
      <c r="D596" s="377"/>
      <c r="E596" s="377"/>
      <c r="F596" s="374"/>
      <c r="G596" s="374"/>
      <c r="H596" s="377"/>
      <c r="I596" s="377"/>
      <c r="J596" s="377"/>
      <c r="K596" s="377"/>
      <c r="L596" s="374"/>
      <c r="M596" s="380"/>
      <c r="N596" s="403"/>
      <c r="O596" s="374"/>
      <c r="P596" s="157"/>
      <c r="Q596" s="374"/>
      <c r="R596" s="1"/>
    </row>
    <row r="597" spans="1:18" ht="16.2" thickBot="1" x14ac:dyDescent="0.35">
      <c r="A597" s="378"/>
      <c r="B597" s="378"/>
      <c r="C597" s="57">
        <v>7527</v>
      </c>
      <c r="D597" s="378"/>
      <c r="E597" s="378"/>
      <c r="F597" s="375"/>
      <c r="G597" s="375"/>
      <c r="H597" s="378"/>
      <c r="I597" s="378"/>
      <c r="J597" s="378"/>
      <c r="K597" s="378"/>
      <c r="L597" s="375"/>
      <c r="M597" s="381"/>
      <c r="N597" s="404"/>
      <c r="O597" s="375"/>
      <c r="P597" s="158"/>
      <c r="Q597" s="375"/>
      <c r="R597" s="1"/>
    </row>
    <row r="598" spans="1:18" ht="15.6" x14ac:dyDescent="0.3">
      <c r="A598" s="373">
        <v>275</v>
      </c>
      <c r="B598" s="373" t="s">
        <v>64</v>
      </c>
      <c r="C598" s="49">
        <v>-15000</v>
      </c>
      <c r="D598" s="373">
        <v>1</v>
      </c>
      <c r="E598" s="373" t="s">
        <v>248</v>
      </c>
      <c r="F598" s="373">
        <v>1450</v>
      </c>
      <c r="G598" s="373">
        <v>1200</v>
      </c>
      <c r="H598" s="373" t="s">
        <v>12</v>
      </c>
      <c r="I598" s="373">
        <v>350</v>
      </c>
      <c r="J598" s="376" t="s">
        <v>45</v>
      </c>
      <c r="K598" s="373">
        <v>100</v>
      </c>
      <c r="L598" s="373">
        <v>1</v>
      </c>
      <c r="M598" s="379" t="s">
        <v>14</v>
      </c>
      <c r="N598" s="408" t="s">
        <v>306</v>
      </c>
      <c r="O598" s="373" t="s">
        <v>27</v>
      </c>
      <c r="P598" s="156"/>
      <c r="Q598" s="373" t="s">
        <v>308</v>
      </c>
      <c r="R598" s="1"/>
    </row>
    <row r="599" spans="1:18" ht="15.6" x14ac:dyDescent="0.3">
      <c r="A599" s="374"/>
      <c r="B599" s="374"/>
      <c r="C599" s="51">
        <v>-3800</v>
      </c>
      <c r="D599" s="374"/>
      <c r="E599" s="374"/>
      <c r="F599" s="374"/>
      <c r="G599" s="374"/>
      <c r="H599" s="374"/>
      <c r="I599" s="374"/>
      <c r="J599" s="377"/>
      <c r="K599" s="374"/>
      <c r="L599" s="374"/>
      <c r="M599" s="380"/>
      <c r="N599" s="409"/>
      <c r="O599" s="374"/>
      <c r="P599" s="157"/>
      <c r="Q599" s="374"/>
      <c r="R599" s="1"/>
    </row>
    <row r="600" spans="1:18" ht="16.2" thickBot="1" x14ac:dyDescent="0.35">
      <c r="A600" s="375"/>
      <c r="B600" s="375"/>
      <c r="C600" s="50">
        <v>7527</v>
      </c>
      <c r="D600" s="375"/>
      <c r="E600" s="375"/>
      <c r="F600" s="375"/>
      <c r="G600" s="375"/>
      <c r="H600" s="375"/>
      <c r="I600" s="375"/>
      <c r="J600" s="378"/>
      <c r="K600" s="375"/>
      <c r="L600" s="375"/>
      <c r="M600" s="381"/>
      <c r="N600" s="410"/>
      <c r="O600" s="375"/>
      <c r="P600" s="158"/>
      <c r="Q600" s="375"/>
      <c r="R600" s="1"/>
    </row>
    <row r="601" spans="1:18" ht="15.6" x14ac:dyDescent="0.3">
      <c r="A601" s="373">
        <v>277</v>
      </c>
      <c r="B601" s="373" t="s">
        <v>64</v>
      </c>
      <c r="C601" s="49">
        <v>-16196</v>
      </c>
      <c r="D601" s="373">
        <v>1</v>
      </c>
      <c r="E601" s="373" t="s">
        <v>201</v>
      </c>
      <c r="F601" s="373">
        <v>1450</v>
      </c>
      <c r="G601" s="373">
        <v>1200</v>
      </c>
      <c r="H601" s="373" t="s">
        <v>12</v>
      </c>
      <c r="I601" s="373">
        <v>350</v>
      </c>
      <c r="J601" s="376" t="s">
        <v>45</v>
      </c>
      <c r="K601" s="373">
        <v>90</v>
      </c>
      <c r="L601" s="373">
        <v>24</v>
      </c>
      <c r="M601" s="379" t="s">
        <v>14</v>
      </c>
      <c r="N601" s="408" t="s">
        <v>306</v>
      </c>
      <c r="O601" s="373" t="s">
        <v>27</v>
      </c>
      <c r="P601" s="156"/>
      <c r="Q601" s="373" t="s">
        <v>298</v>
      </c>
      <c r="R601" s="1"/>
    </row>
    <row r="602" spans="1:18" ht="15.6" x14ac:dyDescent="0.3">
      <c r="A602" s="374"/>
      <c r="B602" s="374"/>
      <c r="C602" s="51">
        <v>-7812</v>
      </c>
      <c r="D602" s="374"/>
      <c r="E602" s="374"/>
      <c r="F602" s="374"/>
      <c r="G602" s="374"/>
      <c r="H602" s="374"/>
      <c r="I602" s="374"/>
      <c r="J602" s="377"/>
      <c r="K602" s="374"/>
      <c r="L602" s="374"/>
      <c r="M602" s="380"/>
      <c r="N602" s="409"/>
      <c r="O602" s="374"/>
      <c r="P602" s="157"/>
      <c r="Q602" s="374"/>
      <c r="R602" s="1"/>
    </row>
    <row r="603" spans="1:18" ht="16.2" thickBot="1" x14ac:dyDescent="0.35">
      <c r="A603" s="375"/>
      <c r="B603" s="375"/>
      <c r="C603" s="50">
        <v>7527</v>
      </c>
      <c r="D603" s="375"/>
      <c r="E603" s="375"/>
      <c r="F603" s="375"/>
      <c r="G603" s="375"/>
      <c r="H603" s="375"/>
      <c r="I603" s="375"/>
      <c r="J603" s="378"/>
      <c r="K603" s="375"/>
      <c r="L603" s="375"/>
      <c r="M603" s="381"/>
      <c r="N603" s="410"/>
      <c r="O603" s="375"/>
      <c r="P603" s="158"/>
      <c r="Q603" s="375"/>
      <c r="R603" s="1"/>
    </row>
    <row r="604" spans="1:18" ht="15.6" x14ac:dyDescent="0.3">
      <c r="A604" s="373">
        <v>278</v>
      </c>
      <c r="B604" s="373" t="s">
        <v>64</v>
      </c>
      <c r="C604" s="49">
        <v>-14297</v>
      </c>
      <c r="D604" s="373">
        <v>1</v>
      </c>
      <c r="E604" s="373" t="s">
        <v>248</v>
      </c>
      <c r="F604" s="373">
        <v>1450</v>
      </c>
      <c r="G604" s="373">
        <v>1200</v>
      </c>
      <c r="H604" s="373" t="s">
        <v>12</v>
      </c>
      <c r="I604" s="373">
        <v>350</v>
      </c>
      <c r="J604" s="376" t="s">
        <v>45</v>
      </c>
      <c r="K604" s="373">
        <v>100</v>
      </c>
      <c r="L604" s="373">
        <v>0</v>
      </c>
      <c r="M604" s="379" t="s">
        <v>14</v>
      </c>
      <c r="N604" s="408" t="s">
        <v>306</v>
      </c>
      <c r="O604" s="373" t="s">
        <v>27</v>
      </c>
      <c r="P604" s="156"/>
      <c r="Q604" s="373" t="s">
        <v>308</v>
      </c>
      <c r="R604" s="1"/>
    </row>
    <row r="605" spans="1:18" ht="15.6" x14ac:dyDescent="0.3">
      <c r="A605" s="374"/>
      <c r="B605" s="374"/>
      <c r="C605" s="51">
        <v>-7762</v>
      </c>
      <c r="D605" s="374"/>
      <c r="E605" s="374"/>
      <c r="F605" s="374"/>
      <c r="G605" s="374"/>
      <c r="H605" s="374"/>
      <c r="I605" s="374"/>
      <c r="J605" s="377"/>
      <c r="K605" s="374"/>
      <c r="L605" s="374"/>
      <c r="M605" s="380"/>
      <c r="N605" s="409"/>
      <c r="O605" s="374"/>
      <c r="P605" s="157"/>
      <c r="Q605" s="374"/>
      <c r="R605" s="1"/>
    </row>
    <row r="606" spans="1:18" ht="16.2" thickBot="1" x14ac:dyDescent="0.35">
      <c r="A606" s="375"/>
      <c r="B606" s="375"/>
      <c r="C606" s="50">
        <v>7527</v>
      </c>
      <c r="D606" s="375"/>
      <c r="E606" s="375"/>
      <c r="F606" s="375"/>
      <c r="G606" s="375"/>
      <c r="H606" s="375"/>
      <c r="I606" s="375"/>
      <c r="J606" s="378"/>
      <c r="K606" s="375"/>
      <c r="L606" s="375"/>
      <c r="M606" s="381"/>
      <c r="N606" s="410"/>
      <c r="O606" s="375"/>
      <c r="P606" s="158"/>
      <c r="Q606" s="375"/>
      <c r="R606" s="1"/>
    </row>
    <row r="607" spans="1:18" ht="15.6" x14ac:dyDescent="0.3">
      <c r="A607" s="373">
        <v>281</v>
      </c>
      <c r="B607" s="373" t="s">
        <v>191</v>
      </c>
      <c r="C607" s="49">
        <v>-12555</v>
      </c>
      <c r="D607" s="373">
        <v>1</v>
      </c>
      <c r="E607" s="373" t="s">
        <v>168</v>
      </c>
      <c r="F607" s="373">
        <v>1450</v>
      </c>
      <c r="G607" s="373">
        <v>1200</v>
      </c>
      <c r="H607" s="373" t="s">
        <v>50</v>
      </c>
      <c r="I607" s="373">
        <v>350</v>
      </c>
      <c r="J607" s="376" t="s">
        <v>45</v>
      </c>
      <c r="K607" s="373">
        <v>40</v>
      </c>
      <c r="L607" s="373">
        <v>2</v>
      </c>
      <c r="M607" s="379" t="s">
        <v>14</v>
      </c>
      <c r="N607" s="408" t="s">
        <v>297</v>
      </c>
      <c r="O607" s="373" t="s">
        <v>27</v>
      </c>
      <c r="P607" s="156"/>
      <c r="Q607" s="376" t="s">
        <v>169</v>
      </c>
      <c r="R607" s="1"/>
    </row>
    <row r="608" spans="1:18" ht="15.6" x14ac:dyDescent="0.3">
      <c r="A608" s="374"/>
      <c r="B608" s="374"/>
      <c r="C608" s="51">
        <v>-7105</v>
      </c>
      <c r="D608" s="374"/>
      <c r="E608" s="374"/>
      <c r="F608" s="374"/>
      <c r="G608" s="374"/>
      <c r="H608" s="374"/>
      <c r="I608" s="374"/>
      <c r="J608" s="377"/>
      <c r="K608" s="374"/>
      <c r="L608" s="374"/>
      <c r="M608" s="380"/>
      <c r="N608" s="409"/>
      <c r="O608" s="374"/>
      <c r="P608" s="157"/>
      <c r="Q608" s="377"/>
      <c r="R608" s="1"/>
    </row>
    <row r="609" spans="1:18" ht="16.2" thickBot="1" x14ac:dyDescent="0.35">
      <c r="A609" s="375"/>
      <c r="B609" s="375"/>
      <c r="C609" s="50">
        <v>7527</v>
      </c>
      <c r="D609" s="375"/>
      <c r="E609" s="375"/>
      <c r="F609" s="375"/>
      <c r="G609" s="375"/>
      <c r="H609" s="375"/>
      <c r="I609" s="375"/>
      <c r="J609" s="378"/>
      <c r="K609" s="375"/>
      <c r="L609" s="375"/>
      <c r="M609" s="381"/>
      <c r="N609" s="410"/>
      <c r="O609" s="375"/>
      <c r="P609" s="158"/>
      <c r="Q609" s="378"/>
      <c r="R609" s="1"/>
    </row>
    <row r="610" spans="1:18" ht="15.6" x14ac:dyDescent="0.3">
      <c r="A610" s="373">
        <v>282</v>
      </c>
      <c r="B610" s="373" t="s">
        <v>191</v>
      </c>
      <c r="C610" s="49">
        <v>-12385</v>
      </c>
      <c r="D610" s="373">
        <v>1</v>
      </c>
      <c r="E610" s="373" t="s">
        <v>168</v>
      </c>
      <c r="F610" s="373">
        <v>1450</v>
      </c>
      <c r="G610" s="373">
        <v>1200</v>
      </c>
      <c r="H610" s="373" t="s">
        <v>50</v>
      </c>
      <c r="I610" s="373">
        <v>350</v>
      </c>
      <c r="J610" s="376" t="s">
        <v>45</v>
      </c>
      <c r="K610" s="373">
        <v>40</v>
      </c>
      <c r="L610" s="373">
        <v>2</v>
      </c>
      <c r="M610" s="379" t="s">
        <v>14</v>
      </c>
      <c r="N610" s="408" t="s">
        <v>297</v>
      </c>
      <c r="O610" s="373" t="s">
        <v>27</v>
      </c>
      <c r="P610" s="156"/>
      <c r="Q610" s="376" t="s">
        <v>169</v>
      </c>
      <c r="R610" s="1"/>
    </row>
    <row r="611" spans="1:18" ht="15.6" x14ac:dyDescent="0.3">
      <c r="A611" s="374"/>
      <c r="B611" s="374"/>
      <c r="C611" s="51">
        <v>-7210</v>
      </c>
      <c r="D611" s="374"/>
      <c r="E611" s="374"/>
      <c r="F611" s="374"/>
      <c r="G611" s="374"/>
      <c r="H611" s="374"/>
      <c r="I611" s="374"/>
      <c r="J611" s="377"/>
      <c r="K611" s="374"/>
      <c r="L611" s="374"/>
      <c r="M611" s="380"/>
      <c r="N611" s="409"/>
      <c r="O611" s="374"/>
      <c r="P611" s="157"/>
      <c r="Q611" s="377"/>
      <c r="R611" s="1"/>
    </row>
    <row r="612" spans="1:18" ht="16.2" thickBot="1" x14ac:dyDescent="0.35">
      <c r="A612" s="375"/>
      <c r="B612" s="375"/>
      <c r="C612" s="50">
        <v>7527</v>
      </c>
      <c r="D612" s="375"/>
      <c r="E612" s="375"/>
      <c r="F612" s="375"/>
      <c r="G612" s="375"/>
      <c r="H612" s="375"/>
      <c r="I612" s="375"/>
      <c r="J612" s="378"/>
      <c r="K612" s="375"/>
      <c r="L612" s="375"/>
      <c r="M612" s="381"/>
      <c r="N612" s="410"/>
      <c r="O612" s="375"/>
      <c r="P612" s="158"/>
      <c r="Q612" s="378"/>
      <c r="R612" s="1"/>
    </row>
    <row r="613" spans="1:18" ht="15.6" x14ac:dyDescent="0.3">
      <c r="A613" s="376">
        <v>283</v>
      </c>
      <c r="B613" s="376" t="s">
        <v>191</v>
      </c>
      <c r="C613" s="58">
        <v>-12210</v>
      </c>
      <c r="D613" s="376">
        <v>2</v>
      </c>
      <c r="E613" s="376" t="s">
        <v>168</v>
      </c>
      <c r="F613" s="373">
        <v>1450</v>
      </c>
      <c r="G613" s="373">
        <v>1200</v>
      </c>
      <c r="H613" s="376" t="s">
        <v>50</v>
      </c>
      <c r="I613" s="376">
        <v>350</v>
      </c>
      <c r="J613" s="376" t="s">
        <v>45</v>
      </c>
      <c r="K613" s="376" t="s">
        <v>275</v>
      </c>
      <c r="L613" s="373" t="s">
        <v>13</v>
      </c>
      <c r="M613" s="379" t="s">
        <v>14</v>
      </c>
      <c r="N613" s="402" t="s">
        <v>297</v>
      </c>
      <c r="O613" s="373" t="s">
        <v>27</v>
      </c>
      <c r="P613" s="156"/>
      <c r="Q613" s="376" t="s">
        <v>243</v>
      </c>
      <c r="R613" s="1"/>
    </row>
    <row r="614" spans="1:18" ht="16.2" thickBot="1" x14ac:dyDescent="0.35">
      <c r="A614" s="377"/>
      <c r="B614" s="378"/>
      <c r="C614" s="59">
        <v>-7310</v>
      </c>
      <c r="D614" s="377"/>
      <c r="E614" s="378"/>
      <c r="F614" s="374"/>
      <c r="G614" s="374"/>
      <c r="H614" s="377"/>
      <c r="I614" s="378"/>
      <c r="J614" s="378"/>
      <c r="K614" s="377"/>
      <c r="L614" s="374"/>
      <c r="M614" s="380"/>
      <c r="N614" s="403"/>
      <c r="O614" s="374"/>
      <c r="P614" s="157"/>
      <c r="Q614" s="377"/>
      <c r="R614" s="1"/>
    </row>
    <row r="615" spans="1:18" ht="31.8" thickBot="1" x14ac:dyDescent="0.35">
      <c r="A615" s="378"/>
      <c r="B615" s="57" t="s">
        <v>191</v>
      </c>
      <c r="C615" s="57">
        <v>7527</v>
      </c>
      <c r="D615" s="378"/>
      <c r="E615" s="57" t="s">
        <v>168</v>
      </c>
      <c r="F615" s="375"/>
      <c r="G615" s="375"/>
      <c r="H615" s="378"/>
      <c r="I615" s="57">
        <v>350</v>
      </c>
      <c r="J615" s="57" t="s">
        <v>45</v>
      </c>
      <c r="K615" s="378"/>
      <c r="L615" s="375"/>
      <c r="M615" s="381"/>
      <c r="N615" s="404"/>
      <c r="O615" s="375"/>
      <c r="P615" s="158"/>
      <c r="Q615" s="378"/>
      <c r="R615" s="1"/>
    </row>
    <row r="616" spans="1:18" ht="15.6" x14ac:dyDescent="0.3">
      <c r="A616" s="388">
        <v>284</v>
      </c>
      <c r="B616" s="388" t="s">
        <v>191</v>
      </c>
      <c r="C616" s="45">
        <v>-12040</v>
      </c>
      <c r="D616" s="388">
        <v>1</v>
      </c>
      <c r="E616" s="388" t="s">
        <v>168</v>
      </c>
      <c r="F616" s="388">
        <v>1450</v>
      </c>
      <c r="G616" s="388">
        <v>1200</v>
      </c>
      <c r="H616" s="388" t="s">
        <v>50</v>
      </c>
      <c r="I616" s="388">
        <v>350</v>
      </c>
      <c r="J616" s="385" t="s">
        <v>45</v>
      </c>
      <c r="K616" s="388">
        <v>40</v>
      </c>
      <c r="L616" s="388">
        <v>2</v>
      </c>
      <c r="M616" s="355" t="s">
        <v>14</v>
      </c>
      <c r="N616" s="437" t="s">
        <v>297</v>
      </c>
      <c r="O616" s="388" t="s">
        <v>27</v>
      </c>
      <c r="P616" s="145"/>
      <c r="Q616" s="385" t="s">
        <v>169</v>
      </c>
      <c r="R616" s="1"/>
    </row>
    <row r="617" spans="1:18" ht="15.6" x14ac:dyDescent="0.3">
      <c r="A617" s="389"/>
      <c r="B617" s="389"/>
      <c r="C617" s="45">
        <v>-7410</v>
      </c>
      <c r="D617" s="389"/>
      <c r="E617" s="389"/>
      <c r="F617" s="389"/>
      <c r="G617" s="389"/>
      <c r="H617" s="389"/>
      <c r="I617" s="389"/>
      <c r="J617" s="386"/>
      <c r="K617" s="389"/>
      <c r="L617" s="389"/>
      <c r="M617" s="356"/>
      <c r="N617" s="438"/>
      <c r="O617" s="389"/>
      <c r="P617" s="146"/>
      <c r="Q617" s="386"/>
      <c r="R617" s="1"/>
    </row>
    <row r="618" spans="1:18" ht="16.2" thickBot="1" x14ac:dyDescent="0.35">
      <c r="A618" s="390"/>
      <c r="B618" s="390"/>
      <c r="C618" s="47">
        <v>7527</v>
      </c>
      <c r="D618" s="390"/>
      <c r="E618" s="390"/>
      <c r="F618" s="390"/>
      <c r="G618" s="390"/>
      <c r="H618" s="390"/>
      <c r="I618" s="390"/>
      <c r="J618" s="387"/>
      <c r="K618" s="390"/>
      <c r="L618" s="390"/>
      <c r="M618" s="357"/>
      <c r="N618" s="439"/>
      <c r="O618" s="390"/>
      <c r="P618" s="147"/>
      <c r="Q618" s="387"/>
      <c r="R618" s="1"/>
    </row>
    <row r="619" spans="1:18" ht="15.6" x14ac:dyDescent="0.3">
      <c r="A619" s="388">
        <v>285</v>
      </c>
      <c r="B619" s="388" t="s">
        <v>191</v>
      </c>
      <c r="C619" s="45">
        <v>-11865</v>
      </c>
      <c r="D619" s="388">
        <v>1</v>
      </c>
      <c r="E619" s="388" t="s">
        <v>168</v>
      </c>
      <c r="F619" s="388">
        <v>1450</v>
      </c>
      <c r="G619" s="388">
        <v>1200</v>
      </c>
      <c r="H619" s="388" t="s">
        <v>50</v>
      </c>
      <c r="I619" s="388">
        <v>350</v>
      </c>
      <c r="J619" s="385" t="s">
        <v>45</v>
      </c>
      <c r="K619" s="388">
        <v>40</v>
      </c>
      <c r="L619" s="388">
        <v>2</v>
      </c>
      <c r="M619" s="355" t="s">
        <v>14</v>
      </c>
      <c r="N619" s="437" t="s">
        <v>297</v>
      </c>
      <c r="O619" s="388" t="s">
        <v>27</v>
      </c>
      <c r="P619" s="145"/>
      <c r="Q619" s="385" t="s">
        <v>169</v>
      </c>
      <c r="R619" s="1"/>
    </row>
    <row r="620" spans="1:18" ht="15.6" x14ac:dyDescent="0.3">
      <c r="A620" s="389"/>
      <c r="B620" s="389"/>
      <c r="C620" s="45">
        <v>-7510</v>
      </c>
      <c r="D620" s="389"/>
      <c r="E620" s="389"/>
      <c r="F620" s="389"/>
      <c r="G620" s="389"/>
      <c r="H620" s="389"/>
      <c r="I620" s="389"/>
      <c r="J620" s="386"/>
      <c r="K620" s="389"/>
      <c r="L620" s="389"/>
      <c r="M620" s="356"/>
      <c r="N620" s="438"/>
      <c r="O620" s="389"/>
      <c r="P620" s="146"/>
      <c r="Q620" s="386"/>
      <c r="R620" s="1"/>
    </row>
    <row r="621" spans="1:18" ht="16.2" thickBot="1" x14ac:dyDescent="0.35">
      <c r="A621" s="390"/>
      <c r="B621" s="390"/>
      <c r="C621" s="47">
        <v>7527</v>
      </c>
      <c r="D621" s="390"/>
      <c r="E621" s="390"/>
      <c r="F621" s="390"/>
      <c r="G621" s="390"/>
      <c r="H621" s="390"/>
      <c r="I621" s="390"/>
      <c r="J621" s="387"/>
      <c r="K621" s="390"/>
      <c r="L621" s="390"/>
      <c r="M621" s="357"/>
      <c r="N621" s="439"/>
      <c r="O621" s="390"/>
      <c r="P621" s="147"/>
      <c r="Q621" s="387"/>
      <c r="R621" s="1"/>
    </row>
    <row r="622" spans="1:18" ht="15.6" x14ac:dyDescent="0.3">
      <c r="A622" s="388">
        <v>286</v>
      </c>
      <c r="B622" s="388" t="s">
        <v>191</v>
      </c>
      <c r="C622" s="45">
        <v>-11695</v>
      </c>
      <c r="D622" s="388">
        <v>1</v>
      </c>
      <c r="E622" s="388" t="s">
        <v>168</v>
      </c>
      <c r="F622" s="388">
        <v>1450</v>
      </c>
      <c r="G622" s="388">
        <v>1200</v>
      </c>
      <c r="H622" s="388" t="s">
        <v>50</v>
      </c>
      <c r="I622" s="388">
        <v>350</v>
      </c>
      <c r="J622" s="385" t="s">
        <v>45</v>
      </c>
      <c r="K622" s="388">
        <v>40</v>
      </c>
      <c r="L622" s="388">
        <v>2</v>
      </c>
      <c r="M622" s="355" t="s">
        <v>14</v>
      </c>
      <c r="N622" s="437" t="s">
        <v>297</v>
      </c>
      <c r="O622" s="388" t="s">
        <v>27</v>
      </c>
      <c r="P622" s="145"/>
      <c r="Q622" s="385" t="s">
        <v>169</v>
      </c>
      <c r="R622" s="1"/>
    </row>
    <row r="623" spans="1:18" ht="15.6" x14ac:dyDescent="0.3">
      <c r="A623" s="389"/>
      <c r="B623" s="389"/>
      <c r="C623" s="45">
        <v>-7610</v>
      </c>
      <c r="D623" s="389"/>
      <c r="E623" s="389"/>
      <c r="F623" s="389"/>
      <c r="G623" s="389"/>
      <c r="H623" s="389"/>
      <c r="I623" s="389"/>
      <c r="J623" s="386"/>
      <c r="K623" s="389"/>
      <c r="L623" s="389"/>
      <c r="M623" s="356"/>
      <c r="N623" s="438"/>
      <c r="O623" s="389"/>
      <c r="P623" s="146"/>
      <c r="Q623" s="386"/>
      <c r="R623" s="1"/>
    </row>
    <row r="624" spans="1:18" ht="16.2" thickBot="1" x14ac:dyDescent="0.35">
      <c r="A624" s="390"/>
      <c r="B624" s="390"/>
      <c r="C624" s="47">
        <v>7527</v>
      </c>
      <c r="D624" s="390"/>
      <c r="E624" s="390"/>
      <c r="F624" s="390"/>
      <c r="G624" s="390"/>
      <c r="H624" s="390"/>
      <c r="I624" s="390"/>
      <c r="J624" s="387"/>
      <c r="K624" s="390"/>
      <c r="L624" s="390"/>
      <c r="M624" s="357"/>
      <c r="N624" s="439"/>
      <c r="O624" s="390"/>
      <c r="P624" s="147"/>
      <c r="Q624" s="387"/>
      <c r="R624" s="1"/>
    </row>
    <row r="625" spans="1:18" ht="15.6" x14ac:dyDescent="0.3">
      <c r="A625" s="388">
        <v>287</v>
      </c>
      <c r="B625" s="388" t="s">
        <v>191</v>
      </c>
      <c r="C625" s="45">
        <v>-10675</v>
      </c>
      <c r="D625" s="388">
        <v>1</v>
      </c>
      <c r="E625" s="388" t="s">
        <v>168</v>
      </c>
      <c r="F625" s="388">
        <v>1450</v>
      </c>
      <c r="G625" s="388">
        <v>1200</v>
      </c>
      <c r="H625" s="388" t="s">
        <v>50</v>
      </c>
      <c r="I625" s="388">
        <v>350</v>
      </c>
      <c r="J625" s="385" t="s">
        <v>45</v>
      </c>
      <c r="K625" s="388">
        <v>40</v>
      </c>
      <c r="L625" s="388">
        <v>2</v>
      </c>
      <c r="M625" s="355" t="s">
        <v>14</v>
      </c>
      <c r="N625" s="437" t="s">
        <v>297</v>
      </c>
      <c r="O625" s="388" t="s">
        <v>27</v>
      </c>
      <c r="P625" s="145"/>
      <c r="Q625" s="385" t="s">
        <v>169</v>
      </c>
      <c r="R625" s="1"/>
    </row>
    <row r="626" spans="1:18" ht="15.6" x14ac:dyDescent="0.3">
      <c r="A626" s="389"/>
      <c r="B626" s="389"/>
      <c r="C626" s="45">
        <v>-8210</v>
      </c>
      <c r="D626" s="389"/>
      <c r="E626" s="389"/>
      <c r="F626" s="389"/>
      <c r="G626" s="389"/>
      <c r="H626" s="389"/>
      <c r="I626" s="389"/>
      <c r="J626" s="386"/>
      <c r="K626" s="389"/>
      <c r="L626" s="389"/>
      <c r="M626" s="356"/>
      <c r="N626" s="438"/>
      <c r="O626" s="389"/>
      <c r="P626" s="146"/>
      <c r="Q626" s="386"/>
      <c r="R626" s="1"/>
    </row>
    <row r="627" spans="1:18" ht="16.2" thickBot="1" x14ac:dyDescent="0.35">
      <c r="A627" s="390"/>
      <c r="B627" s="390"/>
      <c r="C627" s="47">
        <v>7527</v>
      </c>
      <c r="D627" s="390"/>
      <c r="E627" s="390"/>
      <c r="F627" s="390"/>
      <c r="G627" s="390"/>
      <c r="H627" s="390"/>
      <c r="I627" s="390"/>
      <c r="J627" s="387"/>
      <c r="K627" s="390"/>
      <c r="L627" s="390"/>
      <c r="M627" s="357"/>
      <c r="N627" s="439"/>
      <c r="O627" s="390"/>
      <c r="P627" s="147"/>
      <c r="Q627" s="387"/>
      <c r="R627" s="1"/>
    </row>
    <row r="628" spans="1:18" ht="15.6" x14ac:dyDescent="0.3">
      <c r="A628" s="385">
        <v>288</v>
      </c>
      <c r="B628" s="385" t="s">
        <v>191</v>
      </c>
      <c r="C628" s="43">
        <v>-10505</v>
      </c>
      <c r="D628" s="385">
        <v>2</v>
      </c>
      <c r="E628" s="385" t="s">
        <v>168</v>
      </c>
      <c r="F628" s="388">
        <v>1450</v>
      </c>
      <c r="G628" s="388">
        <v>1200</v>
      </c>
      <c r="H628" s="385" t="s">
        <v>50</v>
      </c>
      <c r="I628" s="385">
        <v>350</v>
      </c>
      <c r="J628" s="385" t="s">
        <v>45</v>
      </c>
      <c r="K628" s="385" t="s">
        <v>275</v>
      </c>
      <c r="L628" s="388" t="s">
        <v>13</v>
      </c>
      <c r="M628" s="355" t="s">
        <v>14</v>
      </c>
      <c r="N628" s="455" t="s">
        <v>297</v>
      </c>
      <c r="O628" s="388" t="s">
        <v>27</v>
      </c>
      <c r="P628" s="145"/>
      <c r="Q628" s="385" t="s">
        <v>243</v>
      </c>
      <c r="R628" s="1"/>
    </row>
    <row r="629" spans="1:18" ht="16.2" thickBot="1" x14ac:dyDescent="0.35">
      <c r="A629" s="386"/>
      <c r="B629" s="387"/>
      <c r="C629" s="43">
        <v>-8310</v>
      </c>
      <c r="D629" s="386"/>
      <c r="E629" s="387"/>
      <c r="F629" s="389"/>
      <c r="G629" s="389"/>
      <c r="H629" s="386"/>
      <c r="I629" s="387"/>
      <c r="J629" s="387"/>
      <c r="K629" s="386"/>
      <c r="L629" s="389"/>
      <c r="M629" s="356"/>
      <c r="N629" s="456"/>
      <c r="O629" s="389"/>
      <c r="P629" s="146"/>
      <c r="Q629" s="386"/>
      <c r="R629" s="1"/>
    </row>
    <row r="630" spans="1:18" ht="31.8" thickBot="1" x14ac:dyDescent="0.35">
      <c r="A630" s="387"/>
      <c r="B630" s="44" t="s">
        <v>191</v>
      </c>
      <c r="C630" s="44">
        <v>7527</v>
      </c>
      <c r="D630" s="387"/>
      <c r="E630" s="44" t="s">
        <v>168</v>
      </c>
      <c r="F630" s="390"/>
      <c r="G630" s="390"/>
      <c r="H630" s="387"/>
      <c r="I630" s="44">
        <v>350</v>
      </c>
      <c r="J630" s="44" t="s">
        <v>45</v>
      </c>
      <c r="K630" s="387"/>
      <c r="L630" s="390"/>
      <c r="M630" s="357"/>
      <c r="N630" s="457"/>
      <c r="O630" s="390"/>
      <c r="P630" s="147"/>
      <c r="Q630" s="387"/>
      <c r="R630" s="1"/>
    </row>
    <row r="631" spans="1:18" ht="15.6" x14ac:dyDescent="0.3">
      <c r="A631" s="388">
        <v>289</v>
      </c>
      <c r="B631" s="388" t="s">
        <v>191</v>
      </c>
      <c r="C631" s="45">
        <v>-10330</v>
      </c>
      <c r="D631" s="388">
        <v>1</v>
      </c>
      <c r="E631" s="388" t="s">
        <v>168</v>
      </c>
      <c r="F631" s="388">
        <v>1450</v>
      </c>
      <c r="G631" s="388">
        <v>1200</v>
      </c>
      <c r="H631" s="388" t="s">
        <v>50</v>
      </c>
      <c r="I631" s="388">
        <v>350</v>
      </c>
      <c r="J631" s="385" t="s">
        <v>45</v>
      </c>
      <c r="K631" s="388">
        <v>40</v>
      </c>
      <c r="L631" s="388">
        <v>2</v>
      </c>
      <c r="M631" s="355" t="s">
        <v>14</v>
      </c>
      <c r="N631" s="388" t="s">
        <v>297</v>
      </c>
      <c r="O631" s="388" t="s">
        <v>27</v>
      </c>
      <c r="P631" s="145"/>
      <c r="Q631" s="385" t="s">
        <v>169</v>
      </c>
      <c r="R631" s="1"/>
    </row>
    <row r="632" spans="1:18" ht="15.6" x14ac:dyDescent="0.3">
      <c r="A632" s="389"/>
      <c r="B632" s="389"/>
      <c r="C632" s="46">
        <v>-8415</v>
      </c>
      <c r="D632" s="389"/>
      <c r="E632" s="389"/>
      <c r="F632" s="389"/>
      <c r="G632" s="389"/>
      <c r="H632" s="389"/>
      <c r="I632" s="389"/>
      <c r="J632" s="386"/>
      <c r="K632" s="389"/>
      <c r="L632" s="389"/>
      <c r="M632" s="356"/>
      <c r="N632" s="389"/>
      <c r="O632" s="389"/>
      <c r="P632" s="146"/>
      <c r="Q632" s="386"/>
      <c r="R632" s="1"/>
    </row>
    <row r="633" spans="1:18" ht="16.2" thickBot="1" x14ac:dyDescent="0.35">
      <c r="A633" s="390"/>
      <c r="B633" s="390"/>
      <c r="C633" s="47">
        <v>7527</v>
      </c>
      <c r="D633" s="390"/>
      <c r="E633" s="390"/>
      <c r="F633" s="390"/>
      <c r="G633" s="390"/>
      <c r="H633" s="390"/>
      <c r="I633" s="390"/>
      <c r="J633" s="387"/>
      <c r="K633" s="390"/>
      <c r="L633" s="390"/>
      <c r="M633" s="357"/>
      <c r="N633" s="390"/>
      <c r="O633" s="390"/>
      <c r="P633" s="147"/>
      <c r="Q633" s="387"/>
      <c r="R633" s="1"/>
    </row>
    <row r="634" spans="1:18" ht="15.6" x14ac:dyDescent="0.3">
      <c r="A634" s="388">
        <v>290</v>
      </c>
      <c r="B634" s="388" t="s">
        <v>191</v>
      </c>
      <c r="C634" s="45">
        <v>-10160</v>
      </c>
      <c r="D634" s="388">
        <v>1</v>
      </c>
      <c r="E634" s="388" t="s">
        <v>168</v>
      </c>
      <c r="F634" s="388">
        <v>1450</v>
      </c>
      <c r="G634" s="388">
        <v>1200</v>
      </c>
      <c r="H634" s="388" t="s">
        <v>50</v>
      </c>
      <c r="I634" s="388">
        <v>350</v>
      </c>
      <c r="J634" s="385" t="s">
        <v>45</v>
      </c>
      <c r="K634" s="388">
        <v>40</v>
      </c>
      <c r="L634" s="388">
        <v>2</v>
      </c>
      <c r="M634" s="355" t="s">
        <v>14</v>
      </c>
      <c r="N634" s="388" t="s">
        <v>297</v>
      </c>
      <c r="O634" s="388" t="s">
        <v>27</v>
      </c>
      <c r="P634" s="145"/>
      <c r="Q634" s="385" t="s">
        <v>169</v>
      </c>
      <c r="R634" s="1"/>
    </row>
    <row r="635" spans="1:18" ht="15.6" x14ac:dyDescent="0.3">
      <c r="A635" s="389"/>
      <c r="B635" s="389"/>
      <c r="C635" s="46">
        <v>-8515</v>
      </c>
      <c r="D635" s="389"/>
      <c r="E635" s="389"/>
      <c r="F635" s="389"/>
      <c r="G635" s="389"/>
      <c r="H635" s="389"/>
      <c r="I635" s="389"/>
      <c r="J635" s="386"/>
      <c r="K635" s="389"/>
      <c r="L635" s="389"/>
      <c r="M635" s="356"/>
      <c r="N635" s="389"/>
      <c r="O635" s="389"/>
      <c r="P635" s="146"/>
      <c r="Q635" s="386"/>
      <c r="R635" s="1"/>
    </row>
    <row r="636" spans="1:18" ht="16.2" thickBot="1" x14ac:dyDescent="0.35">
      <c r="A636" s="390"/>
      <c r="B636" s="390"/>
      <c r="C636" s="47">
        <v>7527</v>
      </c>
      <c r="D636" s="390"/>
      <c r="E636" s="390"/>
      <c r="F636" s="390"/>
      <c r="G636" s="390"/>
      <c r="H636" s="390"/>
      <c r="I636" s="390"/>
      <c r="J636" s="387"/>
      <c r="K636" s="390"/>
      <c r="L636" s="390"/>
      <c r="M636" s="357"/>
      <c r="N636" s="390"/>
      <c r="O636" s="390"/>
      <c r="P636" s="147"/>
      <c r="Q636" s="387"/>
      <c r="R636" s="1"/>
    </row>
    <row r="637" spans="1:18" ht="15.6" x14ac:dyDescent="0.3">
      <c r="A637" s="388">
        <v>291</v>
      </c>
      <c r="B637" s="388" t="s">
        <v>191</v>
      </c>
      <c r="C637" s="45">
        <v>-13215</v>
      </c>
      <c r="D637" s="388">
        <v>1</v>
      </c>
      <c r="E637" s="388" t="s">
        <v>168</v>
      </c>
      <c r="F637" s="388">
        <v>1450</v>
      </c>
      <c r="G637" s="388">
        <v>1200</v>
      </c>
      <c r="H637" s="388" t="s">
        <v>50</v>
      </c>
      <c r="I637" s="388">
        <v>350</v>
      </c>
      <c r="J637" s="385" t="s">
        <v>45</v>
      </c>
      <c r="K637" s="388">
        <v>40</v>
      </c>
      <c r="L637" s="388">
        <v>2</v>
      </c>
      <c r="M637" s="355" t="s">
        <v>14</v>
      </c>
      <c r="N637" s="388" t="s">
        <v>297</v>
      </c>
      <c r="O637" s="388" t="s">
        <v>27</v>
      </c>
      <c r="P637" s="145"/>
      <c r="Q637" s="385" t="s">
        <v>169</v>
      </c>
      <c r="R637" s="1"/>
    </row>
    <row r="638" spans="1:18" ht="15.6" x14ac:dyDescent="0.3">
      <c r="A638" s="389"/>
      <c r="B638" s="389"/>
      <c r="C638" s="46">
        <v>-6720</v>
      </c>
      <c r="D638" s="389"/>
      <c r="E638" s="389"/>
      <c r="F638" s="389"/>
      <c r="G638" s="389"/>
      <c r="H638" s="389"/>
      <c r="I638" s="389"/>
      <c r="J638" s="386"/>
      <c r="K638" s="389"/>
      <c r="L638" s="389"/>
      <c r="M638" s="356"/>
      <c r="N638" s="389"/>
      <c r="O638" s="389"/>
      <c r="P638" s="146"/>
      <c r="Q638" s="386"/>
      <c r="R638" s="1"/>
    </row>
    <row r="639" spans="1:18" ht="16.2" thickBot="1" x14ac:dyDescent="0.35">
      <c r="A639" s="390"/>
      <c r="B639" s="390"/>
      <c r="C639" s="47">
        <v>7527</v>
      </c>
      <c r="D639" s="390"/>
      <c r="E639" s="390"/>
      <c r="F639" s="390"/>
      <c r="G639" s="390"/>
      <c r="H639" s="390"/>
      <c r="I639" s="390"/>
      <c r="J639" s="387"/>
      <c r="K639" s="390"/>
      <c r="L639" s="390"/>
      <c r="M639" s="357"/>
      <c r="N639" s="390"/>
      <c r="O639" s="390"/>
      <c r="P639" s="147"/>
      <c r="Q639" s="387"/>
      <c r="R639" s="1"/>
    </row>
    <row r="640" spans="1:18" ht="15.6" x14ac:dyDescent="0.3">
      <c r="A640" s="388">
        <v>292</v>
      </c>
      <c r="B640" s="388" t="s">
        <v>191</v>
      </c>
      <c r="C640" s="45">
        <v>-13050</v>
      </c>
      <c r="D640" s="388">
        <v>1</v>
      </c>
      <c r="E640" s="388" t="s">
        <v>168</v>
      </c>
      <c r="F640" s="388">
        <v>1450</v>
      </c>
      <c r="G640" s="388">
        <v>1200</v>
      </c>
      <c r="H640" s="388" t="s">
        <v>50</v>
      </c>
      <c r="I640" s="388">
        <v>350</v>
      </c>
      <c r="J640" s="385" t="s">
        <v>45</v>
      </c>
      <c r="K640" s="388">
        <v>40</v>
      </c>
      <c r="L640" s="388">
        <v>2</v>
      </c>
      <c r="M640" s="355" t="s">
        <v>14</v>
      </c>
      <c r="N640" s="388" t="s">
        <v>297</v>
      </c>
      <c r="O640" s="388" t="s">
        <v>27</v>
      </c>
      <c r="P640" s="145"/>
      <c r="Q640" s="385" t="s">
        <v>169</v>
      </c>
      <c r="R640" s="1"/>
    </row>
    <row r="641" spans="1:18" ht="15.6" x14ac:dyDescent="0.3">
      <c r="A641" s="389"/>
      <c r="B641" s="389"/>
      <c r="C641" s="46">
        <v>-5900</v>
      </c>
      <c r="D641" s="389"/>
      <c r="E641" s="389"/>
      <c r="F641" s="389"/>
      <c r="G641" s="389"/>
      <c r="H641" s="389"/>
      <c r="I641" s="389"/>
      <c r="J641" s="386"/>
      <c r="K641" s="389"/>
      <c r="L641" s="389"/>
      <c r="M641" s="356"/>
      <c r="N641" s="389"/>
      <c r="O641" s="389"/>
      <c r="P641" s="146"/>
      <c r="Q641" s="386"/>
      <c r="R641" s="1"/>
    </row>
    <row r="642" spans="1:18" ht="16.2" thickBot="1" x14ac:dyDescent="0.35">
      <c r="A642" s="390"/>
      <c r="B642" s="390"/>
      <c r="C642" s="47">
        <v>7527</v>
      </c>
      <c r="D642" s="390"/>
      <c r="E642" s="390"/>
      <c r="F642" s="390"/>
      <c r="G642" s="390"/>
      <c r="H642" s="390"/>
      <c r="I642" s="390"/>
      <c r="J642" s="387"/>
      <c r="K642" s="390"/>
      <c r="L642" s="390"/>
      <c r="M642" s="357"/>
      <c r="N642" s="390"/>
      <c r="O642" s="390"/>
      <c r="P642" s="147"/>
      <c r="Q642" s="387"/>
      <c r="R642" s="1"/>
    </row>
    <row r="643" spans="1:18" ht="15.6" x14ac:dyDescent="0.3">
      <c r="A643" s="388">
        <v>293</v>
      </c>
      <c r="B643" s="388" t="s">
        <v>191</v>
      </c>
      <c r="C643" s="45">
        <v>-12800</v>
      </c>
      <c r="D643" s="388">
        <v>1</v>
      </c>
      <c r="E643" s="388" t="s">
        <v>168</v>
      </c>
      <c r="F643" s="388">
        <v>1450</v>
      </c>
      <c r="G643" s="388">
        <v>1200</v>
      </c>
      <c r="H643" s="388" t="s">
        <v>50</v>
      </c>
      <c r="I643" s="388">
        <v>350</v>
      </c>
      <c r="J643" s="385" t="s">
        <v>45</v>
      </c>
      <c r="K643" s="388">
        <v>40</v>
      </c>
      <c r="L643" s="388">
        <v>2</v>
      </c>
      <c r="M643" s="355" t="s">
        <v>14</v>
      </c>
      <c r="N643" s="388" t="s">
        <v>297</v>
      </c>
      <c r="O643" s="388" t="s">
        <v>27</v>
      </c>
      <c r="P643" s="145"/>
      <c r="Q643" s="385" t="s">
        <v>169</v>
      </c>
      <c r="R643" s="1"/>
    </row>
    <row r="644" spans="1:18" ht="15.6" x14ac:dyDescent="0.3">
      <c r="A644" s="389"/>
      <c r="B644" s="389"/>
      <c r="C644" s="46">
        <v>-5900</v>
      </c>
      <c r="D644" s="389"/>
      <c r="E644" s="389"/>
      <c r="F644" s="389"/>
      <c r="G644" s="389"/>
      <c r="H644" s="389"/>
      <c r="I644" s="389"/>
      <c r="J644" s="386"/>
      <c r="K644" s="389"/>
      <c r="L644" s="389"/>
      <c r="M644" s="356"/>
      <c r="N644" s="389"/>
      <c r="O644" s="389"/>
      <c r="P644" s="146"/>
      <c r="Q644" s="386"/>
      <c r="R644" s="1"/>
    </row>
    <row r="645" spans="1:18" ht="16.2" thickBot="1" x14ac:dyDescent="0.35">
      <c r="A645" s="390"/>
      <c r="B645" s="390"/>
      <c r="C645" s="47">
        <v>7527</v>
      </c>
      <c r="D645" s="390"/>
      <c r="E645" s="390"/>
      <c r="F645" s="390"/>
      <c r="G645" s="390"/>
      <c r="H645" s="390"/>
      <c r="I645" s="390"/>
      <c r="J645" s="387"/>
      <c r="K645" s="390"/>
      <c r="L645" s="390"/>
      <c r="M645" s="357"/>
      <c r="N645" s="390"/>
      <c r="O645" s="390"/>
      <c r="P645" s="147"/>
      <c r="Q645" s="387"/>
      <c r="R645" s="1"/>
    </row>
    <row r="646" spans="1:18" ht="15.6" x14ac:dyDescent="0.3">
      <c r="A646" s="388">
        <v>294</v>
      </c>
      <c r="B646" s="388" t="s">
        <v>191</v>
      </c>
      <c r="C646" s="45">
        <v>-12550</v>
      </c>
      <c r="D646" s="388">
        <v>1</v>
      </c>
      <c r="E646" s="388" t="s">
        <v>168</v>
      </c>
      <c r="F646" s="388">
        <v>1450</v>
      </c>
      <c r="G646" s="388">
        <v>1200</v>
      </c>
      <c r="H646" s="388" t="s">
        <v>50</v>
      </c>
      <c r="I646" s="388">
        <v>350</v>
      </c>
      <c r="J646" s="385" t="s">
        <v>45</v>
      </c>
      <c r="K646" s="388">
        <v>40</v>
      </c>
      <c r="L646" s="388">
        <v>0</v>
      </c>
      <c r="M646" s="355" t="s">
        <v>14</v>
      </c>
      <c r="N646" s="388" t="s">
        <v>297</v>
      </c>
      <c r="O646" s="388" t="s">
        <v>27</v>
      </c>
      <c r="P646" s="145"/>
      <c r="Q646" s="385" t="s">
        <v>169</v>
      </c>
      <c r="R646" s="1"/>
    </row>
    <row r="647" spans="1:18" ht="15.6" x14ac:dyDescent="0.3">
      <c r="A647" s="389"/>
      <c r="B647" s="389"/>
      <c r="C647" s="46">
        <v>-5900</v>
      </c>
      <c r="D647" s="389"/>
      <c r="E647" s="389"/>
      <c r="F647" s="389"/>
      <c r="G647" s="389"/>
      <c r="H647" s="389"/>
      <c r="I647" s="389"/>
      <c r="J647" s="386"/>
      <c r="K647" s="389"/>
      <c r="L647" s="389"/>
      <c r="M647" s="356"/>
      <c r="N647" s="389"/>
      <c r="O647" s="389"/>
      <c r="P647" s="146"/>
      <c r="Q647" s="386"/>
      <c r="R647" s="1"/>
    </row>
    <row r="648" spans="1:18" ht="16.2" thickBot="1" x14ac:dyDescent="0.35">
      <c r="A648" s="390"/>
      <c r="B648" s="390"/>
      <c r="C648" s="47">
        <v>7527</v>
      </c>
      <c r="D648" s="390"/>
      <c r="E648" s="390"/>
      <c r="F648" s="390"/>
      <c r="G648" s="390"/>
      <c r="H648" s="390"/>
      <c r="I648" s="390"/>
      <c r="J648" s="387"/>
      <c r="K648" s="390"/>
      <c r="L648" s="390"/>
      <c r="M648" s="357"/>
      <c r="N648" s="390"/>
      <c r="O648" s="390"/>
      <c r="P648" s="147"/>
      <c r="Q648" s="387"/>
      <c r="R648" s="1"/>
    </row>
    <row r="649" spans="1:18" ht="15.6" x14ac:dyDescent="0.3">
      <c r="A649" s="373">
        <v>295</v>
      </c>
      <c r="B649" s="373" t="s">
        <v>257</v>
      </c>
      <c r="C649" s="49">
        <v>-13505</v>
      </c>
      <c r="D649" s="373">
        <v>1</v>
      </c>
      <c r="E649" s="373" t="s">
        <v>245</v>
      </c>
      <c r="F649" s="373">
        <v>1450</v>
      </c>
      <c r="G649" s="373">
        <v>1200</v>
      </c>
      <c r="H649" s="373" t="s">
        <v>19</v>
      </c>
      <c r="I649" s="373">
        <v>350</v>
      </c>
      <c r="J649" s="376" t="s">
        <v>45</v>
      </c>
      <c r="K649" s="373">
        <v>90</v>
      </c>
      <c r="L649" s="373">
        <v>-32</v>
      </c>
      <c r="M649" s="379" t="s">
        <v>14</v>
      </c>
      <c r="N649" s="373" t="s">
        <v>297</v>
      </c>
      <c r="O649" s="373" t="s">
        <v>27</v>
      </c>
      <c r="P649" s="156"/>
      <c r="Q649" s="373" t="s">
        <v>243</v>
      </c>
      <c r="R649" s="1"/>
    </row>
    <row r="650" spans="1:18" ht="15.6" x14ac:dyDescent="0.3">
      <c r="A650" s="374"/>
      <c r="B650" s="374"/>
      <c r="C650" s="51">
        <v>-6470</v>
      </c>
      <c r="D650" s="374"/>
      <c r="E650" s="374"/>
      <c r="F650" s="374"/>
      <c r="G650" s="374"/>
      <c r="H650" s="374"/>
      <c r="I650" s="374"/>
      <c r="J650" s="377"/>
      <c r="K650" s="374"/>
      <c r="L650" s="374"/>
      <c r="M650" s="380"/>
      <c r="N650" s="374"/>
      <c r="O650" s="374"/>
      <c r="P650" s="157"/>
      <c r="Q650" s="374"/>
      <c r="R650" s="1"/>
    </row>
    <row r="651" spans="1:18" ht="16.2" thickBot="1" x14ac:dyDescent="0.35">
      <c r="A651" s="375"/>
      <c r="B651" s="375"/>
      <c r="C651" s="50">
        <v>7527</v>
      </c>
      <c r="D651" s="375"/>
      <c r="E651" s="375"/>
      <c r="F651" s="375"/>
      <c r="G651" s="375"/>
      <c r="H651" s="375"/>
      <c r="I651" s="375"/>
      <c r="J651" s="378"/>
      <c r="K651" s="375"/>
      <c r="L651" s="375"/>
      <c r="M651" s="381"/>
      <c r="N651" s="375"/>
      <c r="O651" s="375"/>
      <c r="P651" s="158"/>
      <c r="Q651" s="375"/>
      <c r="R651" s="1"/>
    </row>
    <row r="652" spans="1:18" ht="15.6" x14ac:dyDescent="0.3">
      <c r="A652" s="373">
        <v>296</v>
      </c>
      <c r="B652" s="373" t="s">
        <v>257</v>
      </c>
      <c r="C652" s="49">
        <v>-12525</v>
      </c>
      <c r="D652" s="373">
        <v>1</v>
      </c>
      <c r="E652" s="373" t="s">
        <v>245</v>
      </c>
      <c r="F652" s="373">
        <v>1450</v>
      </c>
      <c r="G652" s="373">
        <v>1200</v>
      </c>
      <c r="H652" s="373" t="s">
        <v>19</v>
      </c>
      <c r="I652" s="373">
        <v>350</v>
      </c>
      <c r="J652" s="376" t="s">
        <v>45</v>
      </c>
      <c r="K652" s="373">
        <v>90</v>
      </c>
      <c r="L652" s="373">
        <v>-32</v>
      </c>
      <c r="M652" s="379" t="s">
        <v>14</v>
      </c>
      <c r="N652" s="373" t="s">
        <v>297</v>
      </c>
      <c r="O652" s="373" t="s">
        <v>27</v>
      </c>
      <c r="P652" s="156"/>
      <c r="Q652" s="373" t="s">
        <v>243</v>
      </c>
      <c r="R652" s="1"/>
    </row>
    <row r="653" spans="1:18" ht="15.6" x14ac:dyDescent="0.3">
      <c r="A653" s="374"/>
      <c r="B653" s="374"/>
      <c r="C653" s="51">
        <v>-6470</v>
      </c>
      <c r="D653" s="374"/>
      <c r="E653" s="374"/>
      <c r="F653" s="374"/>
      <c r="G653" s="374"/>
      <c r="H653" s="374"/>
      <c r="I653" s="374"/>
      <c r="J653" s="377"/>
      <c r="K653" s="374"/>
      <c r="L653" s="374"/>
      <c r="M653" s="380"/>
      <c r="N653" s="374"/>
      <c r="O653" s="374"/>
      <c r="P653" s="157"/>
      <c r="Q653" s="374"/>
      <c r="R653" s="1"/>
    </row>
    <row r="654" spans="1:18" ht="16.2" thickBot="1" x14ac:dyDescent="0.35">
      <c r="A654" s="375"/>
      <c r="B654" s="375"/>
      <c r="C654" s="50">
        <v>7527</v>
      </c>
      <c r="D654" s="375"/>
      <c r="E654" s="375"/>
      <c r="F654" s="375"/>
      <c r="G654" s="375"/>
      <c r="H654" s="375"/>
      <c r="I654" s="375"/>
      <c r="J654" s="378"/>
      <c r="K654" s="375"/>
      <c r="L654" s="375"/>
      <c r="M654" s="381"/>
      <c r="N654" s="375"/>
      <c r="O654" s="375"/>
      <c r="P654" s="158"/>
      <c r="Q654" s="375"/>
      <c r="R654" s="1"/>
    </row>
    <row r="655" spans="1:18" ht="15.6" x14ac:dyDescent="0.3">
      <c r="A655" s="373">
        <v>297</v>
      </c>
      <c r="B655" s="373" t="s">
        <v>257</v>
      </c>
      <c r="C655" s="49">
        <v>-11500</v>
      </c>
      <c r="D655" s="373">
        <v>1</v>
      </c>
      <c r="E655" s="373" t="s">
        <v>245</v>
      </c>
      <c r="F655" s="373">
        <v>1450</v>
      </c>
      <c r="G655" s="373">
        <v>1200</v>
      </c>
      <c r="H655" s="373" t="s">
        <v>19</v>
      </c>
      <c r="I655" s="373">
        <v>350</v>
      </c>
      <c r="J655" s="376" t="s">
        <v>45</v>
      </c>
      <c r="K655" s="373">
        <v>90</v>
      </c>
      <c r="L655" s="373">
        <v>-32</v>
      </c>
      <c r="M655" s="379" t="s">
        <v>14</v>
      </c>
      <c r="N655" s="373" t="s">
        <v>297</v>
      </c>
      <c r="O655" s="373" t="s">
        <v>27</v>
      </c>
      <c r="P655" s="156"/>
      <c r="Q655" s="373" t="s">
        <v>243</v>
      </c>
      <c r="R655" s="1"/>
    </row>
    <row r="656" spans="1:18" ht="15.6" x14ac:dyDescent="0.3">
      <c r="A656" s="374"/>
      <c r="B656" s="374"/>
      <c r="C656" s="51">
        <v>-6470</v>
      </c>
      <c r="D656" s="374"/>
      <c r="E656" s="374"/>
      <c r="F656" s="374"/>
      <c r="G656" s="374"/>
      <c r="H656" s="374"/>
      <c r="I656" s="374"/>
      <c r="J656" s="377"/>
      <c r="K656" s="374"/>
      <c r="L656" s="374"/>
      <c r="M656" s="380"/>
      <c r="N656" s="374"/>
      <c r="O656" s="374"/>
      <c r="P656" s="157"/>
      <c r="Q656" s="374"/>
      <c r="R656" s="1"/>
    </row>
    <row r="657" spans="1:18" ht="16.2" thickBot="1" x14ac:dyDescent="0.35">
      <c r="A657" s="375"/>
      <c r="B657" s="375"/>
      <c r="C657" s="50">
        <v>7527</v>
      </c>
      <c r="D657" s="375"/>
      <c r="E657" s="375"/>
      <c r="F657" s="375"/>
      <c r="G657" s="375"/>
      <c r="H657" s="375"/>
      <c r="I657" s="375"/>
      <c r="J657" s="378"/>
      <c r="K657" s="375"/>
      <c r="L657" s="375"/>
      <c r="M657" s="381"/>
      <c r="N657" s="375"/>
      <c r="O657" s="375"/>
      <c r="P657" s="158"/>
      <c r="Q657" s="375"/>
      <c r="R657" s="1"/>
    </row>
    <row r="658" spans="1:18" ht="15.6" x14ac:dyDescent="0.3">
      <c r="A658" s="373">
        <v>298</v>
      </c>
      <c r="B658" s="373" t="s">
        <v>257</v>
      </c>
      <c r="C658" s="49">
        <v>-10900</v>
      </c>
      <c r="D658" s="373">
        <v>1</v>
      </c>
      <c r="E658" s="373" t="s">
        <v>245</v>
      </c>
      <c r="F658" s="373">
        <v>1450</v>
      </c>
      <c r="G658" s="373">
        <v>1200</v>
      </c>
      <c r="H658" s="373" t="s">
        <v>19</v>
      </c>
      <c r="I658" s="373">
        <v>350</v>
      </c>
      <c r="J658" s="376" t="s">
        <v>45</v>
      </c>
      <c r="K658" s="373">
        <v>90</v>
      </c>
      <c r="L658" s="373">
        <v>-32</v>
      </c>
      <c r="M658" s="379" t="s">
        <v>14</v>
      </c>
      <c r="N658" s="408" t="s">
        <v>297</v>
      </c>
      <c r="O658" s="373" t="s">
        <v>27</v>
      </c>
      <c r="P658" s="156"/>
      <c r="Q658" s="373" t="s">
        <v>243</v>
      </c>
      <c r="R658" s="1"/>
    </row>
    <row r="659" spans="1:18" ht="15.6" x14ac:dyDescent="0.3">
      <c r="A659" s="374"/>
      <c r="B659" s="374"/>
      <c r="C659" s="51">
        <v>-6470</v>
      </c>
      <c r="D659" s="374"/>
      <c r="E659" s="374"/>
      <c r="F659" s="374"/>
      <c r="G659" s="374"/>
      <c r="H659" s="374"/>
      <c r="I659" s="374"/>
      <c r="J659" s="377"/>
      <c r="K659" s="374"/>
      <c r="L659" s="374"/>
      <c r="M659" s="380"/>
      <c r="N659" s="409"/>
      <c r="O659" s="374"/>
      <c r="P659" s="157"/>
      <c r="Q659" s="374"/>
      <c r="R659" s="1"/>
    </row>
    <row r="660" spans="1:18" ht="16.2" thickBot="1" x14ac:dyDescent="0.35">
      <c r="A660" s="375"/>
      <c r="B660" s="375"/>
      <c r="C660" s="50">
        <v>7527</v>
      </c>
      <c r="D660" s="375"/>
      <c r="E660" s="375"/>
      <c r="F660" s="375"/>
      <c r="G660" s="375"/>
      <c r="H660" s="375"/>
      <c r="I660" s="375"/>
      <c r="J660" s="378"/>
      <c r="K660" s="375"/>
      <c r="L660" s="375"/>
      <c r="M660" s="381"/>
      <c r="N660" s="410"/>
      <c r="O660" s="375"/>
      <c r="P660" s="158"/>
      <c r="Q660" s="375"/>
      <c r="R660" s="1"/>
    </row>
    <row r="661" spans="1:18" ht="15.6" x14ac:dyDescent="0.3">
      <c r="A661" s="376">
        <v>299</v>
      </c>
      <c r="B661" s="376" t="s">
        <v>191</v>
      </c>
      <c r="C661" s="58">
        <v>-7440</v>
      </c>
      <c r="D661" s="376">
        <v>1</v>
      </c>
      <c r="E661" s="376" t="s">
        <v>66</v>
      </c>
      <c r="F661" s="373">
        <v>1450</v>
      </c>
      <c r="G661" s="373">
        <v>1200</v>
      </c>
      <c r="H661" s="376" t="s">
        <v>50</v>
      </c>
      <c r="I661" s="376">
        <v>150</v>
      </c>
      <c r="J661" s="376" t="s">
        <v>45</v>
      </c>
      <c r="K661" s="376">
        <v>30</v>
      </c>
      <c r="L661" s="373">
        <v>10</v>
      </c>
      <c r="M661" s="379" t="s">
        <v>14</v>
      </c>
      <c r="N661" s="402" t="s">
        <v>297</v>
      </c>
      <c r="O661" s="373" t="s">
        <v>27</v>
      </c>
      <c r="P661" s="156"/>
      <c r="Q661" s="373" t="s">
        <v>238</v>
      </c>
      <c r="R661" s="1"/>
    </row>
    <row r="662" spans="1:18" ht="15.6" x14ac:dyDescent="0.3">
      <c r="A662" s="377"/>
      <c r="B662" s="377"/>
      <c r="C662" s="59">
        <v>-6615</v>
      </c>
      <c r="D662" s="377"/>
      <c r="E662" s="377"/>
      <c r="F662" s="374"/>
      <c r="G662" s="374"/>
      <c r="H662" s="377"/>
      <c r="I662" s="377"/>
      <c r="J662" s="377"/>
      <c r="K662" s="377"/>
      <c r="L662" s="374"/>
      <c r="M662" s="380"/>
      <c r="N662" s="403"/>
      <c r="O662" s="374"/>
      <c r="P662" s="157"/>
      <c r="Q662" s="374"/>
      <c r="R662" s="1"/>
    </row>
    <row r="663" spans="1:18" ht="16.2" thickBot="1" x14ac:dyDescent="0.35">
      <c r="A663" s="378"/>
      <c r="B663" s="378"/>
      <c r="C663" s="57">
        <v>7527</v>
      </c>
      <c r="D663" s="378"/>
      <c r="E663" s="378"/>
      <c r="F663" s="375"/>
      <c r="G663" s="375"/>
      <c r="H663" s="378"/>
      <c r="I663" s="378"/>
      <c r="J663" s="378"/>
      <c r="K663" s="378"/>
      <c r="L663" s="375"/>
      <c r="M663" s="381"/>
      <c r="N663" s="404"/>
      <c r="O663" s="375"/>
      <c r="P663" s="158"/>
      <c r="Q663" s="375"/>
      <c r="R663" s="1"/>
    </row>
    <row r="664" spans="1:18" ht="15.6" x14ac:dyDescent="0.3">
      <c r="A664" s="376">
        <v>300</v>
      </c>
      <c r="B664" s="376" t="s">
        <v>191</v>
      </c>
      <c r="C664" s="58">
        <v>-7235</v>
      </c>
      <c r="D664" s="376">
        <v>1</v>
      </c>
      <c r="E664" s="376" t="s">
        <v>255</v>
      </c>
      <c r="F664" s="373">
        <v>1450</v>
      </c>
      <c r="G664" s="373">
        <v>1200</v>
      </c>
      <c r="H664" s="376" t="s">
        <v>50</v>
      </c>
      <c r="I664" s="376">
        <v>150</v>
      </c>
      <c r="J664" s="376" t="s">
        <v>45</v>
      </c>
      <c r="K664" s="376">
        <v>30</v>
      </c>
      <c r="L664" s="373">
        <v>6.5</v>
      </c>
      <c r="M664" s="379" t="s">
        <v>14</v>
      </c>
      <c r="N664" s="402" t="s">
        <v>297</v>
      </c>
      <c r="O664" s="373" t="s">
        <v>27</v>
      </c>
      <c r="P664" s="156"/>
      <c r="Q664" s="373" t="s">
        <v>256</v>
      </c>
      <c r="R664" s="1"/>
    </row>
    <row r="665" spans="1:18" ht="15.6" x14ac:dyDescent="0.3">
      <c r="A665" s="377"/>
      <c r="B665" s="377"/>
      <c r="C665" s="58">
        <v>-6470</v>
      </c>
      <c r="D665" s="377"/>
      <c r="E665" s="377"/>
      <c r="F665" s="374"/>
      <c r="G665" s="374"/>
      <c r="H665" s="377"/>
      <c r="I665" s="377"/>
      <c r="J665" s="377"/>
      <c r="K665" s="377"/>
      <c r="L665" s="374"/>
      <c r="M665" s="380"/>
      <c r="N665" s="403"/>
      <c r="O665" s="374"/>
      <c r="P665" s="157"/>
      <c r="Q665" s="374"/>
      <c r="R665" s="1"/>
    </row>
    <row r="666" spans="1:18" ht="16.2" thickBot="1" x14ac:dyDescent="0.35">
      <c r="A666" s="378"/>
      <c r="B666" s="378"/>
      <c r="C666" s="57">
        <v>7527</v>
      </c>
      <c r="D666" s="378"/>
      <c r="E666" s="378"/>
      <c r="F666" s="375"/>
      <c r="G666" s="375"/>
      <c r="H666" s="378"/>
      <c r="I666" s="378"/>
      <c r="J666" s="378"/>
      <c r="K666" s="378"/>
      <c r="L666" s="375"/>
      <c r="M666" s="381"/>
      <c r="N666" s="404"/>
      <c r="O666" s="375"/>
      <c r="P666" s="158"/>
      <c r="Q666" s="375"/>
      <c r="R666" s="1"/>
    </row>
    <row r="667" spans="1:18" ht="15.6" x14ac:dyDescent="0.3">
      <c r="A667" s="388">
        <v>303</v>
      </c>
      <c r="B667" s="388" t="s">
        <v>191</v>
      </c>
      <c r="C667" s="45">
        <v>-10200</v>
      </c>
      <c r="D667" s="388">
        <v>1</v>
      </c>
      <c r="E667" s="388" t="s">
        <v>168</v>
      </c>
      <c r="F667" s="388">
        <v>1450</v>
      </c>
      <c r="G667" s="388">
        <v>1200</v>
      </c>
      <c r="H667" s="388" t="s">
        <v>50</v>
      </c>
      <c r="I667" s="388">
        <v>150</v>
      </c>
      <c r="J667" s="385" t="s">
        <v>45</v>
      </c>
      <c r="K667" s="388">
        <v>30</v>
      </c>
      <c r="L667" s="388">
        <v>12</v>
      </c>
      <c r="M667" s="355" t="s">
        <v>14</v>
      </c>
      <c r="N667" s="437" t="s">
        <v>297</v>
      </c>
      <c r="O667" s="388" t="s">
        <v>27</v>
      </c>
      <c r="P667" s="145"/>
      <c r="Q667" s="385" t="s">
        <v>169</v>
      </c>
      <c r="R667" s="1"/>
    </row>
    <row r="668" spans="1:18" ht="15.6" x14ac:dyDescent="0.3">
      <c r="A668" s="389"/>
      <c r="B668" s="389"/>
      <c r="C668" s="46">
        <v>-4030</v>
      </c>
      <c r="D668" s="389"/>
      <c r="E668" s="389"/>
      <c r="F668" s="389"/>
      <c r="G668" s="389"/>
      <c r="H668" s="389"/>
      <c r="I668" s="389"/>
      <c r="J668" s="386"/>
      <c r="K668" s="389"/>
      <c r="L668" s="389"/>
      <c r="M668" s="356"/>
      <c r="N668" s="438"/>
      <c r="O668" s="389"/>
      <c r="P668" s="146"/>
      <c r="Q668" s="386"/>
      <c r="R668" s="1"/>
    </row>
    <row r="669" spans="1:18" ht="16.2" thickBot="1" x14ac:dyDescent="0.35">
      <c r="A669" s="390"/>
      <c r="B669" s="390"/>
      <c r="C669" s="47">
        <v>7527</v>
      </c>
      <c r="D669" s="390"/>
      <c r="E669" s="390"/>
      <c r="F669" s="390"/>
      <c r="G669" s="390"/>
      <c r="H669" s="390"/>
      <c r="I669" s="390"/>
      <c r="J669" s="387"/>
      <c r="K669" s="390"/>
      <c r="L669" s="390"/>
      <c r="M669" s="357"/>
      <c r="N669" s="439"/>
      <c r="O669" s="390"/>
      <c r="P669" s="147"/>
      <c r="Q669" s="387"/>
      <c r="R669" s="1"/>
    </row>
    <row r="670" spans="1:18" ht="15.6" x14ac:dyDescent="0.3">
      <c r="A670" s="388">
        <v>307</v>
      </c>
      <c r="B670" s="388" t="s">
        <v>268</v>
      </c>
      <c r="C670" s="45">
        <v>-9085</v>
      </c>
      <c r="D670" s="388">
        <v>1</v>
      </c>
      <c r="E670" s="388" t="s">
        <v>269</v>
      </c>
      <c r="F670" s="388">
        <v>1450</v>
      </c>
      <c r="G670" s="388">
        <v>1200</v>
      </c>
      <c r="H670" s="388" t="s">
        <v>44</v>
      </c>
      <c r="I670" s="388">
        <v>300</v>
      </c>
      <c r="J670" s="385" t="s">
        <v>45</v>
      </c>
      <c r="K670" s="388">
        <v>100</v>
      </c>
      <c r="L670" s="388">
        <v>0.5</v>
      </c>
      <c r="M670" s="355" t="s">
        <v>14</v>
      </c>
      <c r="N670" s="437" t="s">
        <v>297</v>
      </c>
      <c r="O670" s="388" t="s">
        <v>27</v>
      </c>
      <c r="P670" s="145"/>
      <c r="Q670" s="388" t="s">
        <v>267</v>
      </c>
      <c r="R670" s="1"/>
    </row>
    <row r="671" spans="1:18" ht="15.6" x14ac:dyDescent="0.3">
      <c r="A671" s="389"/>
      <c r="B671" s="389"/>
      <c r="C671" s="46">
        <v>-5200</v>
      </c>
      <c r="D671" s="389"/>
      <c r="E671" s="389"/>
      <c r="F671" s="389"/>
      <c r="G671" s="389"/>
      <c r="H671" s="389"/>
      <c r="I671" s="389"/>
      <c r="J671" s="386"/>
      <c r="K671" s="389"/>
      <c r="L671" s="389"/>
      <c r="M671" s="356"/>
      <c r="N671" s="438"/>
      <c r="O671" s="389"/>
      <c r="P671" s="146"/>
      <c r="Q671" s="389"/>
      <c r="R671" s="1"/>
    </row>
    <row r="672" spans="1:18" ht="16.2" thickBot="1" x14ac:dyDescent="0.35">
      <c r="A672" s="390"/>
      <c r="B672" s="390"/>
      <c r="C672" s="47">
        <v>7527</v>
      </c>
      <c r="D672" s="390"/>
      <c r="E672" s="390"/>
      <c r="F672" s="390"/>
      <c r="G672" s="390"/>
      <c r="H672" s="390"/>
      <c r="I672" s="390"/>
      <c r="J672" s="387"/>
      <c r="K672" s="390"/>
      <c r="L672" s="390"/>
      <c r="M672" s="357"/>
      <c r="N672" s="439"/>
      <c r="O672" s="390"/>
      <c r="P672" s="147"/>
      <c r="Q672" s="390"/>
      <c r="R672" s="1"/>
    </row>
    <row r="673" spans="1:18" ht="15.6" x14ac:dyDescent="0.3">
      <c r="A673" s="388">
        <v>308</v>
      </c>
      <c r="B673" s="388" t="s">
        <v>64</v>
      </c>
      <c r="C673" s="45">
        <v>-13402</v>
      </c>
      <c r="D673" s="388">
        <v>1</v>
      </c>
      <c r="E673" s="388" t="s">
        <v>201</v>
      </c>
      <c r="F673" s="388">
        <v>1450</v>
      </c>
      <c r="G673" s="388">
        <v>1200</v>
      </c>
      <c r="H673" s="388" t="s">
        <v>19</v>
      </c>
      <c r="I673" s="388">
        <v>300</v>
      </c>
      <c r="J673" s="385" t="s">
        <v>45</v>
      </c>
      <c r="K673" s="388">
        <v>90</v>
      </c>
      <c r="L673" s="388">
        <v>-54</v>
      </c>
      <c r="M673" s="355" t="s">
        <v>14</v>
      </c>
      <c r="N673" s="437" t="s">
        <v>314</v>
      </c>
      <c r="O673" s="388" t="s">
        <v>27</v>
      </c>
      <c r="P673" s="145"/>
      <c r="Q673" s="388" t="s">
        <v>243</v>
      </c>
      <c r="R673" s="1"/>
    </row>
    <row r="674" spans="1:18" ht="15.6" x14ac:dyDescent="0.3">
      <c r="A674" s="389"/>
      <c r="B674" s="389"/>
      <c r="C674" s="46">
        <v>-9714</v>
      </c>
      <c r="D674" s="389"/>
      <c r="E674" s="389"/>
      <c r="F674" s="389"/>
      <c r="G674" s="389"/>
      <c r="H674" s="389"/>
      <c r="I674" s="389"/>
      <c r="J674" s="386"/>
      <c r="K674" s="389"/>
      <c r="L674" s="389"/>
      <c r="M674" s="356"/>
      <c r="N674" s="438"/>
      <c r="O674" s="389"/>
      <c r="P674" s="146"/>
      <c r="Q674" s="389"/>
      <c r="R674" s="1"/>
    </row>
    <row r="675" spans="1:18" ht="16.2" thickBot="1" x14ac:dyDescent="0.35">
      <c r="A675" s="390"/>
      <c r="B675" s="390"/>
      <c r="C675" s="47">
        <v>7525</v>
      </c>
      <c r="D675" s="390"/>
      <c r="E675" s="390"/>
      <c r="F675" s="390"/>
      <c r="G675" s="390"/>
      <c r="H675" s="390"/>
      <c r="I675" s="390"/>
      <c r="J675" s="387"/>
      <c r="K675" s="390"/>
      <c r="L675" s="390"/>
      <c r="M675" s="357"/>
      <c r="N675" s="439"/>
      <c r="O675" s="390"/>
      <c r="P675" s="147"/>
      <c r="Q675" s="390"/>
      <c r="R675" s="1"/>
    </row>
    <row r="676" spans="1:18" ht="15.6" x14ac:dyDescent="0.3">
      <c r="A676" s="388">
        <v>309</v>
      </c>
      <c r="B676" s="388" t="s">
        <v>64</v>
      </c>
      <c r="C676" s="45">
        <v>-10834</v>
      </c>
      <c r="D676" s="388">
        <v>1</v>
      </c>
      <c r="E676" s="388" t="s">
        <v>201</v>
      </c>
      <c r="F676" s="388">
        <v>1450</v>
      </c>
      <c r="G676" s="388">
        <v>1200</v>
      </c>
      <c r="H676" s="388" t="s">
        <v>12</v>
      </c>
      <c r="I676" s="388">
        <v>300</v>
      </c>
      <c r="J676" s="385" t="s">
        <v>45</v>
      </c>
      <c r="K676" s="388">
        <v>90</v>
      </c>
      <c r="L676" s="388">
        <v>24</v>
      </c>
      <c r="M676" s="355" t="s">
        <v>14</v>
      </c>
      <c r="N676" s="437" t="s">
        <v>315</v>
      </c>
      <c r="O676" s="388" t="s">
        <v>27</v>
      </c>
      <c r="P676" s="145"/>
      <c r="Q676" s="388" t="s">
        <v>298</v>
      </c>
      <c r="R676" s="1"/>
    </row>
    <row r="677" spans="1:18" ht="15.6" x14ac:dyDescent="0.3">
      <c r="A677" s="389"/>
      <c r="B677" s="389"/>
      <c r="C677" s="46">
        <v>-11500</v>
      </c>
      <c r="D677" s="389"/>
      <c r="E677" s="389"/>
      <c r="F677" s="389"/>
      <c r="G677" s="389"/>
      <c r="H677" s="389"/>
      <c r="I677" s="389"/>
      <c r="J677" s="386"/>
      <c r="K677" s="389"/>
      <c r="L677" s="389"/>
      <c r="M677" s="356"/>
      <c r="N677" s="438"/>
      <c r="O677" s="389"/>
      <c r="P677" s="146"/>
      <c r="Q677" s="389"/>
      <c r="R677" s="1"/>
    </row>
    <row r="678" spans="1:18" ht="16.2" thickBot="1" x14ac:dyDescent="0.35">
      <c r="A678" s="390"/>
      <c r="B678" s="390"/>
      <c r="C678" s="47">
        <v>7525</v>
      </c>
      <c r="D678" s="390"/>
      <c r="E678" s="390"/>
      <c r="F678" s="390"/>
      <c r="G678" s="390"/>
      <c r="H678" s="390"/>
      <c r="I678" s="390"/>
      <c r="J678" s="387"/>
      <c r="K678" s="390"/>
      <c r="L678" s="390"/>
      <c r="M678" s="357"/>
      <c r="N678" s="439"/>
      <c r="O678" s="390"/>
      <c r="P678" s="147"/>
      <c r="Q678" s="390"/>
      <c r="R678" s="1"/>
    </row>
    <row r="679" spans="1:18" ht="16.2" thickBot="1" x14ac:dyDescent="0.35">
      <c r="A679" s="352" t="s">
        <v>78</v>
      </c>
      <c r="B679" s="353"/>
      <c r="C679" s="353"/>
      <c r="D679" s="353"/>
      <c r="E679" s="353"/>
      <c r="F679" s="353"/>
      <c r="G679" s="353"/>
      <c r="H679" s="353"/>
      <c r="I679" s="353"/>
      <c r="J679" s="353"/>
      <c r="K679" s="353"/>
      <c r="L679" s="353"/>
      <c r="M679" s="353"/>
      <c r="N679" s="353"/>
      <c r="O679" s="353"/>
      <c r="P679" s="353"/>
      <c r="Q679" s="354"/>
      <c r="R679" s="1"/>
    </row>
    <row r="680" spans="1:18" ht="15.6" x14ac:dyDescent="0.3">
      <c r="A680" s="373">
        <v>334</v>
      </c>
      <c r="B680" s="373" t="s">
        <v>324</v>
      </c>
      <c r="C680" s="49">
        <v>3057</v>
      </c>
      <c r="D680" s="373">
        <v>1</v>
      </c>
      <c r="E680" s="373" t="s">
        <v>245</v>
      </c>
      <c r="F680" s="373">
        <v>1000</v>
      </c>
      <c r="G680" s="373">
        <v>1000</v>
      </c>
      <c r="H680" s="373" t="s">
        <v>44</v>
      </c>
      <c r="I680" s="373">
        <v>300</v>
      </c>
      <c r="J680" s="376" t="s">
        <v>45</v>
      </c>
      <c r="K680" s="373">
        <v>90</v>
      </c>
      <c r="L680" s="373">
        <v>20</v>
      </c>
      <c r="M680" s="379" t="s">
        <v>14</v>
      </c>
      <c r="N680" s="408" t="s">
        <v>234</v>
      </c>
      <c r="O680" s="373" t="s">
        <v>27</v>
      </c>
      <c r="P680" s="156"/>
      <c r="Q680" s="373" t="s">
        <v>325</v>
      </c>
      <c r="R680" s="1"/>
    </row>
    <row r="681" spans="1:18" ht="15.6" x14ac:dyDescent="0.3">
      <c r="A681" s="374"/>
      <c r="B681" s="374"/>
      <c r="C681" s="51">
        <v>17950</v>
      </c>
      <c r="D681" s="374"/>
      <c r="E681" s="374"/>
      <c r="F681" s="374"/>
      <c r="G681" s="374"/>
      <c r="H681" s="374"/>
      <c r="I681" s="374"/>
      <c r="J681" s="377"/>
      <c r="K681" s="374"/>
      <c r="L681" s="374"/>
      <c r="M681" s="380"/>
      <c r="N681" s="409"/>
      <c r="O681" s="374"/>
      <c r="P681" s="157"/>
      <c r="Q681" s="374"/>
      <c r="R681" s="1"/>
    </row>
    <row r="682" spans="1:18" ht="16.2" thickBot="1" x14ac:dyDescent="0.35">
      <c r="A682" s="375"/>
      <c r="B682" s="375"/>
      <c r="C682" s="50">
        <v>10225</v>
      </c>
      <c r="D682" s="375"/>
      <c r="E682" s="375"/>
      <c r="F682" s="375"/>
      <c r="G682" s="375"/>
      <c r="H682" s="375"/>
      <c r="I682" s="375"/>
      <c r="J682" s="378"/>
      <c r="K682" s="375"/>
      <c r="L682" s="375"/>
      <c r="M682" s="381"/>
      <c r="N682" s="410"/>
      <c r="O682" s="375"/>
      <c r="P682" s="158"/>
      <c r="Q682" s="375"/>
      <c r="R682" s="1"/>
    </row>
    <row r="683" spans="1:18" ht="15.6" x14ac:dyDescent="0.3">
      <c r="A683" s="373">
        <v>335</v>
      </c>
      <c r="B683" s="373" t="s">
        <v>324</v>
      </c>
      <c r="C683" s="49">
        <v>3057</v>
      </c>
      <c r="D683" s="373">
        <v>1</v>
      </c>
      <c r="E683" s="373" t="s">
        <v>245</v>
      </c>
      <c r="F683" s="373">
        <v>1000</v>
      </c>
      <c r="G683" s="373">
        <v>1000</v>
      </c>
      <c r="H683" s="373" t="s">
        <v>44</v>
      </c>
      <c r="I683" s="373">
        <v>300</v>
      </c>
      <c r="J683" s="376" t="s">
        <v>45</v>
      </c>
      <c r="K683" s="373">
        <v>90</v>
      </c>
      <c r="L683" s="373">
        <v>20</v>
      </c>
      <c r="M683" s="379" t="s">
        <v>14</v>
      </c>
      <c r="N683" s="408" t="s">
        <v>234</v>
      </c>
      <c r="O683" s="373" t="s">
        <v>27</v>
      </c>
      <c r="P683" s="156"/>
      <c r="Q683" s="373" t="s">
        <v>325</v>
      </c>
      <c r="R683" s="1"/>
    </row>
    <row r="684" spans="1:18" ht="15.6" x14ac:dyDescent="0.3">
      <c r="A684" s="374"/>
      <c r="B684" s="374"/>
      <c r="C684" s="51">
        <v>17950</v>
      </c>
      <c r="D684" s="374"/>
      <c r="E684" s="374"/>
      <c r="F684" s="374"/>
      <c r="G684" s="374"/>
      <c r="H684" s="374"/>
      <c r="I684" s="374"/>
      <c r="J684" s="377"/>
      <c r="K684" s="374"/>
      <c r="L684" s="374"/>
      <c r="M684" s="380"/>
      <c r="N684" s="409"/>
      <c r="O684" s="374"/>
      <c r="P684" s="157"/>
      <c r="Q684" s="374"/>
      <c r="R684" s="1"/>
    </row>
    <row r="685" spans="1:18" ht="16.2" thickBot="1" x14ac:dyDescent="0.35">
      <c r="A685" s="375"/>
      <c r="B685" s="375"/>
      <c r="C685" s="50">
        <v>10975</v>
      </c>
      <c r="D685" s="375"/>
      <c r="E685" s="375"/>
      <c r="F685" s="375"/>
      <c r="G685" s="375"/>
      <c r="H685" s="375"/>
      <c r="I685" s="375"/>
      <c r="J685" s="378"/>
      <c r="K685" s="375"/>
      <c r="L685" s="375"/>
      <c r="M685" s="381"/>
      <c r="N685" s="410"/>
      <c r="O685" s="375"/>
      <c r="P685" s="158"/>
      <c r="Q685" s="375"/>
      <c r="R685" s="1"/>
    </row>
    <row r="686" spans="1:18" ht="15.6" x14ac:dyDescent="0.3">
      <c r="A686" s="373">
        <v>336</v>
      </c>
      <c r="B686" s="373" t="s">
        <v>324</v>
      </c>
      <c r="C686" s="49">
        <v>3057</v>
      </c>
      <c r="D686" s="373">
        <v>1</v>
      </c>
      <c r="E686" s="373" t="s">
        <v>245</v>
      </c>
      <c r="F686" s="373">
        <v>1000</v>
      </c>
      <c r="G686" s="373">
        <v>1000</v>
      </c>
      <c r="H686" s="373" t="s">
        <v>44</v>
      </c>
      <c r="I686" s="373">
        <v>300</v>
      </c>
      <c r="J686" s="376" t="s">
        <v>45</v>
      </c>
      <c r="K686" s="373">
        <v>90</v>
      </c>
      <c r="L686" s="373">
        <v>20</v>
      </c>
      <c r="M686" s="379" t="s">
        <v>14</v>
      </c>
      <c r="N686" s="408" t="s">
        <v>234</v>
      </c>
      <c r="O686" s="373" t="s">
        <v>27</v>
      </c>
      <c r="P686" s="156"/>
      <c r="Q686" s="373" t="s">
        <v>325</v>
      </c>
      <c r="R686" s="1"/>
    </row>
    <row r="687" spans="1:18" ht="15.6" x14ac:dyDescent="0.3">
      <c r="A687" s="374"/>
      <c r="B687" s="374"/>
      <c r="C687" s="51">
        <v>17950</v>
      </c>
      <c r="D687" s="374"/>
      <c r="E687" s="374"/>
      <c r="F687" s="374"/>
      <c r="G687" s="374"/>
      <c r="H687" s="374"/>
      <c r="I687" s="374"/>
      <c r="J687" s="377"/>
      <c r="K687" s="374"/>
      <c r="L687" s="374"/>
      <c r="M687" s="380"/>
      <c r="N687" s="409"/>
      <c r="O687" s="374"/>
      <c r="P687" s="157"/>
      <c r="Q687" s="374"/>
      <c r="R687" s="1"/>
    </row>
    <row r="688" spans="1:18" ht="16.2" thickBot="1" x14ac:dyDescent="0.35">
      <c r="A688" s="375"/>
      <c r="B688" s="375"/>
      <c r="C688" s="50">
        <v>12075</v>
      </c>
      <c r="D688" s="375"/>
      <c r="E688" s="375"/>
      <c r="F688" s="375"/>
      <c r="G688" s="375"/>
      <c r="H688" s="375"/>
      <c r="I688" s="375"/>
      <c r="J688" s="378"/>
      <c r="K688" s="375"/>
      <c r="L688" s="375"/>
      <c r="M688" s="381"/>
      <c r="N688" s="410"/>
      <c r="O688" s="375"/>
      <c r="P688" s="158"/>
      <c r="Q688" s="375"/>
      <c r="R688" s="1"/>
    </row>
    <row r="689" spans="1:18" ht="15.6" x14ac:dyDescent="0.3">
      <c r="A689" s="385">
        <v>337</v>
      </c>
      <c r="B689" s="385" t="s">
        <v>174</v>
      </c>
      <c r="C689" s="43">
        <v>2512</v>
      </c>
      <c r="D689" s="385">
        <v>0</v>
      </c>
      <c r="E689" s="385" t="s">
        <v>13</v>
      </c>
      <c r="F689" s="388">
        <v>1000</v>
      </c>
      <c r="G689" s="388">
        <v>1000</v>
      </c>
      <c r="H689" s="385" t="s">
        <v>187</v>
      </c>
      <c r="I689" s="385" t="s">
        <v>13</v>
      </c>
      <c r="J689" s="385" t="s">
        <v>13</v>
      </c>
      <c r="K689" s="385" t="s">
        <v>13</v>
      </c>
      <c r="L689" s="385" t="s">
        <v>13</v>
      </c>
      <c r="M689" s="355" t="s">
        <v>14</v>
      </c>
      <c r="N689" s="455" t="s">
        <v>234</v>
      </c>
      <c r="O689" s="388" t="s">
        <v>27</v>
      </c>
      <c r="P689" s="145"/>
      <c r="Q689" s="388" t="s">
        <v>188</v>
      </c>
      <c r="R689" s="1"/>
    </row>
    <row r="690" spans="1:18" ht="15.6" x14ac:dyDescent="0.3">
      <c r="A690" s="386"/>
      <c r="B690" s="386"/>
      <c r="C690" s="48">
        <v>18728</v>
      </c>
      <c r="D690" s="386"/>
      <c r="E690" s="386"/>
      <c r="F690" s="389"/>
      <c r="G690" s="389"/>
      <c r="H690" s="386"/>
      <c r="I690" s="386"/>
      <c r="J690" s="386"/>
      <c r="K690" s="386"/>
      <c r="L690" s="386"/>
      <c r="M690" s="356"/>
      <c r="N690" s="456"/>
      <c r="O690" s="389"/>
      <c r="P690" s="146"/>
      <c r="Q690" s="389"/>
      <c r="R690" s="1"/>
    </row>
    <row r="691" spans="1:18" ht="16.2" thickBot="1" x14ac:dyDescent="0.35">
      <c r="A691" s="387"/>
      <c r="B691" s="387"/>
      <c r="C691" s="44">
        <v>12450</v>
      </c>
      <c r="D691" s="387"/>
      <c r="E691" s="387"/>
      <c r="F691" s="390"/>
      <c r="G691" s="390"/>
      <c r="H691" s="387"/>
      <c r="I691" s="387"/>
      <c r="J691" s="387"/>
      <c r="K691" s="387"/>
      <c r="L691" s="387"/>
      <c r="M691" s="357"/>
      <c r="N691" s="457"/>
      <c r="O691" s="390"/>
      <c r="P691" s="147"/>
      <c r="Q691" s="390"/>
      <c r="R691" s="1"/>
    </row>
    <row r="692" spans="1:18" ht="15.6" x14ac:dyDescent="0.3">
      <c r="A692" s="388">
        <v>338</v>
      </c>
      <c r="B692" s="388" t="s">
        <v>324</v>
      </c>
      <c r="C692" s="45">
        <v>1282</v>
      </c>
      <c r="D692" s="388">
        <v>1</v>
      </c>
      <c r="E692" s="388" t="s">
        <v>245</v>
      </c>
      <c r="F692" s="388">
        <v>1000</v>
      </c>
      <c r="G692" s="388">
        <v>1000</v>
      </c>
      <c r="H692" s="388" t="s">
        <v>44</v>
      </c>
      <c r="I692" s="388">
        <v>300</v>
      </c>
      <c r="J692" s="385" t="s">
        <v>45</v>
      </c>
      <c r="K692" s="388">
        <v>90</v>
      </c>
      <c r="L692" s="388">
        <v>20</v>
      </c>
      <c r="M692" s="355" t="s">
        <v>14</v>
      </c>
      <c r="N692" s="437" t="s">
        <v>234</v>
      </c>
      <c r="O692" s="388" t="s">
        <v>27</v>
      </c>
      <c r="P692" s="145"/>
      <c r="Q692" s="388" t="s">
        <v>325</v>
      </c>
      <c r="R692" s="1"/>
    </row>
    <row r="693" spans="1:18" ht="15.6" x14ac:dyDescent="0.3">
      <c r="A693" s="389"/>
      <c r="B693" s="389"/>
      <c r="C693" s="46">
        <v>20485</v>
      </c>
      <c r="D693" s="389"/>
      <c r="E693" s="389"/>
      <c r="F693" s="389"/>
      <c r="G693" s="389"/>
      <c r="H693" s="389"/>
      <c r="I693" s="389"/>
      <c r="J693" s="386"/>
      <c r="K693" s="389"/>
      <c r="L693" s="389"/>
      <c r="M693" s="356"/>
      <c r="N693" s="438"/>
      <c r="O693" s="389"/>
      <c r="P693" s="146"/>
      <c r="Q693" s="389"/>
      <c r="R693" s="1"/>
    </row>
    <row r="694" spans="1:18" ht="16.2" thickBot="1" x14ac:dyDescent="0.35">
      <c r="A694" s="390"/>
      <c r="B694" s="390"/>
      <c r="C694" s="47">
        <v>10225</v>
      </c>
      <c r="D694" s="390"/>
      <c r="E694" s="390"/>
      <c r="F694" s="390"/>
      <c r="G694" s="390"/>
      <c r="H694" s="390"/>
      <c r="I694" s="390"/>
      <c r="J694" s="387"/>
      <c r="K694" s="390"/>
      <c r="L694" s="390"/>
      <c r="M694" s="357"/>
      <c r="N694" s="439"/>
      <c r="O694" s="390"/>
      <c r="P694" s="147"/>
      <c r="Q694" s="390"/>
      <c r="R694" s="1"/>
    </row>
    <row r="695" spans="1:18" ht="15.6" x14ac:dyDescent="0.3">
      <c r="A695" s="388">
        <v>339</v>
      </c>
      <c r="B695" s="388" t="s">
        <v>324</v>
      </c>
      <c r="C695" s="45">
        <v>1282</v>
      </c>
      <c r="D695" s="388">
        <v>1</v>
      </c>
      <c r="E695" s="388" t="s">
        <v>245</v>
      </c>
      <c r="F695" s="388">
        <v>1000</v>
      </c>
      <c r="G695" s="388">
        <v>1000</v>
      </c>
      <c r="H695" s="388" t="s">
        <v>44</v>
      </c>
      <c r="I695" s="388">
        <v>300</v>
      </c>
      <c r="J695" s="385" t="s">
        <v>45</v>
      </c>
      <c r="K695" s="388">
        <v>90</v>
      </c>
      <c r="L695" s="388">
        <v>20</v>
      </c>
      <c r="M695" s="355" t="s">
        <v>14</v>
      </c>
      <c r="N695" s="437" t="s">
        <v>234</v>
      </c>
      <c r="O695" s="388" t="s">
        <v>27</v>
      </c>
      <c r="P695" s="145"/>
      <c r="Q695" s="388" t="s">
        <v>325</v>
      </c>
      <c r="R695" s="1"/>
    </row>
    <row r="696" spans="1:18" ht="15.6" x14ac:dyDescent="0.3">
      <c r="A696" s="389"/>
      <c r="B696" s="389"/>
      <c r="C696" s="46">
        <v>20485</v>
      </c>
      <c r="D696" s="389"/>
      <c r="E696" s="389"/>
      <c r="F696" s="389"/>
      <c r="G696" s="389"/>
      <c r="H696" s="389"/>
      <c r="I696" s="389"/>
      <c r="J696" s="386"/>
      <c r="K696" s="389"/>
      <c r="L696" s="389"/>
      <c r="M696" s="356"/>
      <c r="N696" s="438"/>
      <c r="O696" s="389"/>
      <c r="P696" s="146"/>
      <c r="Q696" s="389"/>
      <c r="R696" s="1"/>
    </row>
    <row r="697" spans="1:18" ht="16.2" thickBot="1" x14ac:dyDescent="0.35">
      <c r="A697" s="390"/>
      <c r="B697" s="390"/>
      <c r="C697" s="47">
        <v>10975</v>
      </c>
      <c r="D697" s="390"/>
      <c r="E697" s="390"/>
      <c r="F697" s="390"/>
      <c r="G697" s="390"/>
      <c r="H697" s="390"/>
      <c r="I697" s="390"/>
      <c r="J697" s="387"/>
      <c r="K697" s="390"/>
      <c r="L697" s="390"/>
      <c r="M697" s="357"/>
      <c r="N697" s="439"/>
      <c r="O697" s="390"/>
      <c r="P697" s="147"/>
      <c r="Q697" s="390"/>
      <c r="R697" s="1"/>
    </row>
    <row r="698" spans="1:18" ht="15.6" x14ac:dyDescent="0.3">
      <c r="A698" s="388">
        <v>340</v>
      </c>
      <c r="B698" s="388" t="s">
        <v>324</v>
      </c>
      <c r="C698" s="45">
        <v>1282</v>
      </c>
      <c r="D698" s="388">
        <v>1</v>
      </c>
      <c r="E698" s="388" t="s">
        <v>245</v>
      </c>
      <c r="F698" s="388">
        <v>1000</v>
      </c>
      <c r="G698" s="388">
        <v>1000</v>
      </c>
      <c r="H698" s="388" t="s">
        <v>44</v>
      </c>
      <c r="I698" s="388">
        <v>300</v>
      </c>
      <c r="J698" s="385" t="s">
        <v>45</v>
      </c>
      <c r="K698" s="388">
        <v>90</v>
      </c>
      <c r="L698" s="388">
        <v>20</v>
      </c>
      <c r="M698" s="355" t="s">
        <v>14</v>
      </c>
      <c r="N698" s="437" t="s">
        <v>234</v>
      </c>
      <c r="O698" s="388" t="s">
        <v>27</v>
      </c>
      <c r="P698" s="145"/>
      <c r="Q698" s="388" t="s">
        <v>325</v>
      </c>
      <c r="R698" s="1"/>
    </row>
    <row r="699" spans="1:18" ht="15.6" x14ac:dyDescent="0.3">
      <c r="A699" s="389"/>
      <c r="B699" s="389"/>
      <c r="C699" s="46">
        <v>20485</v>
      </c>
      <c r="D699" s="389"/>
      <c r="E699" s="389"/>
      <c r="F699" s="389"/>
      <c r="G699" s="389"/>
      <c r="H699" s="389"/>
      <c r="I699" s="389"/>
      <c r="J699" s="386"/>
      <c r="K699" s="389"/>
      <c r="L699" s="389"/>
      <c r="M699" s="356"/>
      <c r="N699" s="438"/>
      <c r="O699" s="389"/>
      <c r="P699" s="146"/>
      <c r="Q699" s="389"/>
      <c r="R699" s="1"/>
    </row>
    <row r="700" spans="1:18" ht="16.2" thickBot="1" x14ac:dyDescent="0.35">
      <c r="A700" s="390"/>
      <c r="B700" s="390"/>
      <c r="C700" s="47">
        <v>12475</v>
      </c>
      <c r="D700" s="390"/>
      <c r="E700" s="390"/>
      <c r="F700" s="390"/>
      <c r="G700" s="390"/>
      <c r="H700" s="390"/>
      <c r="I700" s="390"/>
      <c r="J700" s="387"/>
      <c r="K700" s="390"/>
      <c r="L700" s="390"/>
      <c r="M700" s="357"/>
      <c r="N700" s="439"/>
      <c r="O700" s="390"/>
      <c r="P700" s="147"/>
      <c r="Q700" s="390"/>
      <c r="R700" s="1"/>
    </row>
    <row r="701" spans="1:18" ht="31.8" thickBot="1" x14ac:dyDescent="0.35">
      <c r="A701" s="376">
        <v>341</v>
      </c>
      <c r="B701" s="57" t="s">
        <v>274</v>
      </c>
      <c r="C701" s="58">
        <v>2484</v>
      </c>
      <c r="D701" s="376">
        <v>8</v>
      </c>
      <c r="E701" s="57" t="s">
        <v>168</v>
      </c>
      <c r="F701" s="373">
        <v>1000</v>
      </c>
      <c r="G701" s="373">
        <v>1000</v>
      </c>
      <c r="H701" s="376" t="s">
        <v>25</v>
      </c>
      <c r="I701" s="57">
        <v>150</v>
      </c>
      <c r="J701" s="57" t="s">
        <v>45</v>
      </c>
      <c r="K701" s="376" t="s">
        <v>193</v>
      </c>
      <c r="L701" s="373" t="s">
        <v>13</v>
      </c>
      <c r="M701" s="379" t="s">
        <v>14</v>
      </c>
      <c r="N701" s="402" t="s">
        <v>234</v>
      </c>
      <c r="O701" s="373" t="s">
        <v>27</v>
      </c>
      <c r="P701" s="156"/>
      <c r="Q701" s="373" t="s">
        <v>326</v>
      </c>
      <c r="R701" s="1"/>
    </row>
    <row r="702" spans="1:18" ht="31.8" thickBot="1" x14ac:dyDescent="0.35">
      <c r="A702" s="377"/>
      <c r="B702" s="57" t="s">
        <v>274</v>
      </c>
      <c r="C702" s="58">
        <v>18769</v>
      </c>
      <c r="D702" s="377"/>
      <c r="E702" s="57" t="s">
        <v>168</v>
      </c>
      <c r="F702" s="374"/>
      <c r="G702" s="374"/>
      <c r="H702" s="377"/>
      <c r="I702" s="57">
        <v>150</v>
      </c>
      <c r="J702" s="57" t="s">
        <v>45</v>
      </c>
      <c r="K702" s="377"/>
      <c r="L702" s="374"/>
      <c r="M702" s="380"/>
      <c r="N702" s="403"/>
      <c r="O702" s="374"/>
      <c r="P702" s="157"/>
      <c r="Q702" s="374"/>
      <c r="R702" s="1"/>
    </row>
    <row r="703" spans="1:18" ht="31.8" thickBot="1" x14ac:dyDescent="0.35">
      <c r="A703" s="377"/>
      <c r="B703" s="57" t="s">
        <v>274</v>
      </c>
      <c r="C703" s="58">
        <v>13100</v>
      </c>
      <c r="D703" s="377"/>
      <c r="E703" s="57" t="s">
        <v>168</v>
      </c>
      <c r="F703" s="374"/>
      <c r="G703" s="374"/>
      <c r="H703" s="377"/>
      <c r="I703" s="57">
        <v>150</v>
      </c>
      <c r="J703" s="57" t="s">
        <v>45</v>
      </c>
      <c r="K703" s="377"/>
      <c r="L703" s="374"/>
      <c r="M703" s="380"/>
      <c r="N703" s="403"/>
      <c r="O703" s="374"/>
      <c r="P703" s="157"/>
      <c r="Q703" s="374"/>
      <c r="R703" s="1"/>
    </row>
    <row r="704" spans="1:18" ht="16.2" thickBot="1" x14ac:dyDescent="0.35">
      <c r="A704" s="377"/>
      <c r="B704" s="57" t="s">
        <v>274</v>
      </c>
      <c r="C704" s="435"/>
      <c r="D704" s="377"/>
      <c r="E704" s="57" t="s">
        <v>168</v>
      </c>
      <c r="F704" s="374"/>
      <c r="G704" s="374"/>
      <c r="H704" s="377"/>
      <c r="I704" s="57">
        <v>40</v>
      </c>
      <c r="J704" s="57">
        <f>-0.12/0.68</f>
        <v>-0.1764705882352941</v>
      </c>
      <c r="K704" s="377"/>
      <c r="L704" s="374"/>
      <c r="M704" s="380"/>
      <c r="N704" s="403"/>
      <c r="O704" s="374"/>
      <c r="P704" s="157"/>
      <c r="Q704" s="374"/>
      <c r="R704" s="1"/>
    </row>
    <row r="705" spans="1:18" ht="16.2" thickBot="1" x14ac:dyDescent="0.35">
      <c r="A705" s="377"/>
      <c r="B705" s="57" t="s">
        <v>274</v>
      </c>
      <c r="C705" s="435"/>
      <c r="D705" s="377"/>
      <c r="E705" s="57" t="s">
        <v>168</v>
      </c>
      <c r="F705" s="374"/>
      <c r="G705" s="374"/>
      <c r="H705" s="377"/>
      <c r="I705" s="57">
        <v>40</v>
      </c>
      <c r="J705" s="57">
        <f>-0.14/0.4</f>
        <v>-0.35000000000000003</v>
      </c>
      <c r="K705" s="377"/>
      <c r="L705" s="374"/>
      <c r="M705" s="380"/>
      <c r="N705" s="403"/>
      <c r="O705" s="374"/>
      <c r="P705" s="157"/>
      <c r="Q705" s="374"/>
      <c r="R705" s="1"/>
    </row>
    <row r="706" spans="1:18" ht="15.6" x14ac:dyDescent="0.3">
      <c r="A706" s="377"/>
      <c r="B706" s="376" t="s">
        <v>327</v>
      </c>
      <c r="C706" s="435"/>
      <c r="D706" s="377"/>
      <c r="E706" s="376" t="s">
        <v>168</v>
      </c>
      <c r="F706" s="374"/>
      <c r="G706" s="374"/>
      <c r="H706" s="377"/>
      <c r="I706" s="376">
        <v>50</v>
      </c>
      <c r="J706" s="58" t="s">
        <v>328</v>
      </c>
      <c r="K706" s="377"/>
      <c r="L706" s="374"/>
      <c r="M706" s="380"/>
      <c r="N706" s="403"/>
      <c r="O706" s="374"/>
      <c r="P706" s="157"/>
      <c r="Q706" s="374"/>
      <c r="R706" s="1"/>
    </row>
    <row r="707" spans="1:18" ht="16.2" thickBot="1" x14ac:dyDescent="0.35">
      <c r="A707" s="377"/>
      <c r="B707" s="378"/>
      <c r="C707" s="435"/>
      <c r="D707" s="377"/>
      <c r="E707" s="378"/>
      <c r="F707" s="374"/>
      <c r="G707" s="374"/>
      <c r="H707" s="377"/>
      <c r="I707" s="378"/>
      <c r="J707" s="57">
        <v>-0.21</v>
      </c>
      <c r="K707" s="377"/>
      <c r="L707" s="374"/>
      <c r="M707" s="380"/>
      <c r="N707" s="403"/>
      <c r="O707" s="374"/>
      <c r="P707" s="157"/>
      <c r="Q707" s="374"/>
      <c r="R707" s="1"/>
    </row>
    <row r="708" spans="1:18" ht="15.6" x14ac:dyDescent="0.3">
      <c r="A708" s="377"/>
      <c r="B708" s="376" t="s">
        <v>327</v>
      </c>
      <c r="C708" s="435"/>
      <c r="D708" s="377"/>
      <c r="E708" s="376" t="s">
        <v>168</v>
      </c>
      <c r="F708" s="374"/>
      <c r="G708" s="374"/>
      <c r="H708" s="377"/>
      <c r="I708" s="376">
        <v>50</v>
      </c>
      <c r="J708" s="58" t="s">
        <v>328</v>
      </c>
      <c r="K708" s="377"/>
      <c r="L708" s="374"/>
      <c r="M708" s="380"/>
      <c r="N708" s="403"/>
      <c r="O708" s="374"/>
      <c r="P708" s="157"/>
      <c r="Q708" s="374"/>
      <c r="R708" s="1"/>
    </row>
    <row r="709" spans="1:18" ht="16.2" thickBot="1" x14ac:dyDescent="0.35">
      <c r="A709" s="377"/>
      <c r="B709" s="378"/>
      <c r="C709" s="435"/>
      <c r="D709" s="377"/>
      <c r="E709" s="378"/>
      <c r="F709" s="374"/>
      <c r="G709" s="374"/>
      <c r="H709" s="377"/>
      <c r="I709" s="378"/>
      <c r="J709" s="57">
        <v>-0.21</v>
      </c>
      <c r="K709" s="377"/>
      <c r="L709" s="374"/>
      <c r="M709" s="380"/>
      <c r="N709" s="403"/>
      <c r="O709" s="374"/>
      <c r="P709" s="157"/>
      <c r="Q709" s="374"/>
      <c r="R709" s="1"/>
    </row>
    <row r="710" spans="1:18" ht="15.6" x14ac:dyDescent="0.3">
      <c r="A710" s="377"/>
      <c r="B710" s="376" t="s">
        <v>327</v>
      </c>
      <c r="C710" s="435"/>
      <c r="D710" s="377"/>
      <c r="E710" s="376" t="s">
        <v>168</v>
      </c>
      <c r="F710" s="374"/>
      <c r="G710" s="374"/>
      <c r="H710" s="377"/>
      <c r="I710" s="376">
        <v>50</v>
      </c>
      <c r="J710" s="58" t="s">
        <v>328</v>
      </c>
      <c r="K710" s="377"/>
      <c r="L710" s="374"/>
      <c r="M710" s="380"/>
      <c r="N710" s="403"/>
      <c r="O710" s="374"/>
      <c r="P710" s="157"/>
      <c r="Q710" s="374"/>
      <c r="R710" s="1"/>
    </row>
    <row r="711" spans="1:18" ht="16.2" thickBot="1" x14ac:dyDescent="0.35">
      <c r="A711" s="378"/>
      <c r="B711" s="378"/>
      <c r="C711" s="436"/>
      <c r="D711" s="378"/>
      <c r="E711" s="378"/>
      <c r="F711" s="375"/>
      <c r="G711" s="375"/>
      <c r="H711" s="378"/>
      <c r="I711" s="378"/>
      <c r="J711" s="57">
        <v>-0.21</v>
      </c>
      <c r="K711" s="378"/>
      <c r="L711" s="375"/>
      <c r="M711" s="381"/>
      <c r="N711" s="404"/>
      <c r="O711" s="375"/>
      <c r="P711" s="158"/>
      <c r="Q711" s="375"/>
      <c r="R711" s="1"/>
    </row>
    <row r="712" spans="1:18" ht="15.6" x14ac:dyDescent="0.3">
      <c r="A712" s="373">
        <v>355</v>
      </c>
      <c r="B712" s="373" t="s">
        <v>324</v>
      </c>
      <c r="C712" s="49">
        <v>7657</v>
      </c>
      <c r="D712" s="373">
        <v>1</v>
      </c>
      <c r="E712" s="373" t="s">
        <v>245</v>
      </c>
      <c r="F712" s="373">
        <v>1000</v>
      </c>
      <c r="G712" s="373">
        <v>1000</v>
      </c>
      <c r="H712" s="373" t="s">
        <v>44</v>
      </c>
      <c r="I712" s="373">
        <v>300</v>
      </c>
      <c r="J712" s="376" t="s">
        <v>45</v>
      </c>
      <c r="K712" s="373">
        <v>90</v>
      </c>
      <c r="L712" s="373">
        <v>20</v>
      </c>
      <c r="M712" s="379" t="s">
        <v>14</v>
      </c>
      <c r="N712" s="408" t="s">
        <v>234</v>
      </c>
      <c r="O712" s="373" t="s">
        <v>27</v>
      </c>
      <c r="P712" s="156"/>
      <c r="Q712" s="373" t="s">
        <v>325</v>
      </c>
      <c r="R712" s="1"/>
    </row>
    <row r="713" spans="1:18" ht="15.6" x14ac:dyDescent="0.3">
      <c r="A713" s="374"/>
      <c r="B713" s="374"/>
      <c r="C713" s="51">
        <v>18546</v>
      </c>
      <c r="D713" s="374"/>
      <c r="E713" s="374"/>
      <c r="F713" s="374"/>
      <c r="G713" s="374"/>
      <c r="H713" s="374"/>
      <c r="I713" s="374"/>
      <c r="J713" s="377"/>
      <c r="K713" s="374"/>
      <c r="L713" s="374"/>
      <c r="M713" s="380"/>
      <c r="N713" s="409"/>
      <c r="O713" s="374"/>
      <c r="P713" s="157"/>
      <c r="Q713" s="374"/>
      <c r="R713" s="1"/>
    </row>
    <row r="714" spans="1:18" ht="16.2" thickBot="1" x14ac:dyDescent="0.35">
      <c r="A714" s="375"/>
      <c r="B714" s="375"/>
      <c r="C714" s="50">
        <v>12075</v>
      </c>
      <c r="D714" s="375"/>
      <c r="E714" s="375"/>
      <c r="F714" s="375"/>
      <c r="G714" s="375"/>
      <c r="H714" s="375"/>
      <c r="I714" s="375"/>
      <c r="J714" s="378"/>
      <c r="K714" s="375"/>
      <c r="L714" s="375"/>
      <c r="M714" s="381"/>
      <c r="N714" s="410"/>
      <c r="O714" s="375"/>
      <c r="P714" s="158"/>
      <c r="Q714" s="375"/>
      <c r="R714" s="1"/>
    </row>
    <row r="715" spans="1:18" ht="15.6" x14ac:dyDescent="0.3">
      <c r="A715" s="385">
        <v>375</v>
      </c>
      <c r="B715" s="385" t="s">
        <v>62</v>
      </c>
      <c r="C715" s="43">
        <v>16000</v>
      </c>
      <c r="D715" s="385">
        <v>1</v>
      </c>
      <c r="E715" s="385" t="s">
        <v>24</v>
      </c>
      <c r="F715" s="388">
        <v>1000</v>
      </c>
      <c r="G715" s="388">
        <v>1000</v>
      </c>
      <c r="H715" s="385" t="s">
        <v>25</v>
      </c>
      <c r="I715" s="385">
        <v>150</v>
      </c>
      <c r="J715" s="385" t="s">
        <v>45</v>
      </c>
      <c r="K715" s="385">
        <v>40</v>
      </c>
      <c r="L715" s="388">
        <v>-11</v>
      </c>
      <c r="M715" s="355" t="s">
        <v>14</v>
      </c>
      <c r="N715" s="455" t="s">
        <v>332</v>
      </c>
      <c r="O715" s="388" t="s">
        <v>27</v>
      </c>
      <c r="P715" s="145"/>
      <c r="Q715" s="388" t="s">
        <v>333</v>
      </c>
      <c r="R715" s="1"/>
    </row>
    <row r="716" spans="1:18" ht="15.6" x14ac:dyDescent="0.3">
      <c r="A716" s="386"/>
      <c r="B716" s="386"/>
      <c r="C716" s="48">
        <v>-8000</v>
      </c>
      <c r="D716" s="386"/>
      <c r="E716" s="386"/>
      <c r="F716" s="389"/>
      <c r="G716" s="389"/>
      <c r="H716" s="386"/>
      <c r="I716" s="386"/>
      <c r="J716" s="386"/>
      <c r="K716" s="386"/>
      <c r="L716" s="389"/>
      <c r="M716" s="356"/>
      <c r="N716" s="456"/>
      <c r="O716" s="389"/>
      <c r="P716" s="146"/>
      <c r="Q716" s="389"/>
      <c r="R716" s="1"/>
    </row>
    <row r="717" spans="1:18" ht="16.2" thickBot="1" x14ac:dyDescent="0.35">
      <c r="A717" s="387"/>
      <c r="B717" s="387"/>
      <c r="C717" s="44">
        <v>13000</v>
      </c>
      <c r="D717" s="387"/>
      <c r="E717" s="387"/>
      <c r="F717" s="390"/>
      <c r="G717" s="390"/>
      <c r="H717" s="387"/>
      <c r="I717" s="387"/>
      <c r="J717" s="387"/>
      <c r="K717" s="387"/>
      <c r="L717" s="390"/>
      <c r="M717" s="357"/>
      <c r="N717" s="457"/>
      <c r="O717" s="390"/>
      <c r="P717" s="147"/>
      <c r="Q717" s="390"/>
      <c r="R717" s="1"/>
    </row>
    <row r="718" spans="1:18" ht="15.6" x14ac:dyDescent="0.3">
      <c r="A718" s="388">
        <v>420</v>
      </c>
      <c r="B718" s="388" t="s">
        <v>64</v>
      </c>
      <c r="C718" s="45">
        <v>-13127</v>
      </c>
      <c r="D718" s="385">
        <v>1</v>
      </c>
      <c r="E718" s="388" t="s">
        <v>66</v>
      </c>
      <c r="F718" s="388">
        <v>600</v>
      </c>
      <c r="G718" s="388">
        <v>600</v>
      </c>
      <c r="H718" s="388" t="s">
        <v>342</v>
      </c>
      <c r="I718" s="388">
        <v>300</v>
      </c>
      <c r="J718" s="385" t="s">
        <v>45</v>
      </c>
      <c r="K718" s="388">
        <v>40</v>
      </c>
      <c r="L718" s="388">
        <v>-8</v>
      </c>
      <c r="M718" s="355" t="s">
        <v>14</v>
      </c>
      <c r="N718" s="437" t="s">
        <v>338</v>
      </c>
      <c r="O718" s="388" t="s">
        <v>27</v>
      </c>
      <c r="P718" s="145"/>
      <c r="Q718" s="388" t="s">
        <v>343</v>
      </c>
      <c r="R718" s="1"/>
    </row>
    <row r="719" spans="1:18" ht="15.6" x14ac:dyDescent="0.3">
      <c r="A719" s="389"/>
      <c r="B719" s="389"/>
      <c r="C719" s="45">
        <v>-10107</v>
      </c>
      <c r="D719" s="386"/>
      <c r="E719" s="389"/>
      <c r="F719" s="389"/>
      <c r="G719" s="389"/>
      <c r="H719" s="389"/>
      <c r="I719" s="389"/>
      <c r="J719" s="386"/>
      <c r="K719" s="389"/>
      <c r="L719" s="389"/>
      <c r="M719" s="356"/>
      <c r="N719" s="438"/>
      <c r="O719" s="389"/>
      <c r="P719" s="146"/>
      <c r="Q719" s="389"/>
      <c r="R719" s="1"/>
    </row>
    <row r="720" spans="1:18" ht="16.2" thickBot="1" x14ac:dyDescent="0.35">
      <c r="A720" s="390"/>
      <c r="B720" s="390"/>
      <c r="C720" s="47">
        <v>13250</v>
      </c>
      <c r="D720" s="387"/>
      <c r="E720" s="390"/>
      <c r="F720" s="390"/>
      <c r="G720" s="390"/>
      <c r="H720" s="390"/>
      <c r="I720" s="390"/>
      <c r="J720" s="387"/>
      <c r="K720" s="390"/>
      <c r="L720" s="390"/>
      <c r="M720" s="357"/>
      <c r="N720" s="439"/>
      <c r="O720" s="390"/>
      <c r="P720" s="147"/>
      <c r="Q720" s="390"/>
      <c r="R720" s="1"/>
    </row>
    <row r="721" spans="1:18" ht="15.6" x14ac:dyDescent="0.3">
      <c r="A721" s="388">
        <v>424</v>
      </c>
      <c r="B721" s="388" t="s">
        <v>230</v>
      </c>
      <c r="C721" s="45">
        <v>-8495</v>
      </c>
      <c r="D721" s="385">
        <v>1</v>
      </c>
      <c r="E721" s="388" t="s">
        <v>271</v>
      </c>
      <c r="F721" s="388">
        <v>1200</v>
      </c>
      <c r="G721" s="388">
        <v>1200</v>
      </c>
      <c r="H721" s="388" t="s">
        <v>25</v>
      </c>
      <c r="I721" s="388">
        <v>150</v>
      </c>
      <c r="J721" s="385" t="s">
        <v>45</v>
      </c>
      <c r="K721" s="388">
        <v>30</v>
      </c>
      <c r="L721" s="388">
        <v>24.5</v>
      </c>
      <c r="M721" s="355" t="s">
        <v>14</v>
      </c>
      <c r="N721" s="437" t="s">
        <v>81</v>
      </c>
      <c r="O721" s="388" t="s">
        <v>27</v>
      </c>
      <c r="P721" s="145"/>
      <c r="Q721" s="388" t="s">
        <v>344</v>
      </c>
      <c r="R721" s="1"/>
    </row>
    <row r="722" spans="1:18" ht="15.6" x14ac:dyDescent="0.3">
      <c r="A722" s="389"/>
      <c r="B722" s="389"/>
      <c r="C722" s="45">
        <v>-8266</v>
      </c>
      <c r="D722" s="386"/>
      <c r="E722" s="389"/>
      <c r="F722" s="389"/>
      <c r="G722" s="389"/>
      <c r="H722" s="389"/>
      <c r="I722" s="389"/>
      <c r="J722" s="386"/>
      <c r="K722" s="389"/>
      <c r="L722" s="389"/>
      <c r="M722" s="356"/>
      <c r="N722" s="438"/>
      <c r="O722" s="389"/>
      <c r="P722" s="146"/>
      <c r="Q722" s="389"/>
      <c r="R722" s="1"/>
    </row>
    <row r="723" spans="1:18" ht="16.2" thickBot="1" x14ac:dyDescent="0.35">
      <c r="A723" s="390"/>
      <c r="B723" s="390"/>
      <c r="C723" s="47">
        <v>11800</v>
      </c>
      <c r="D723" s="387"/>
      <c r="E723" s="390"/>
      <c r="F723" s="390"/>
      <c r="G723" s="390"/>
      <c r="H723" s="390"/>
      <c r="I723" s="390"/>
      <c r="J723" s="387"/>
      <c r="K723" s="390"/>
      <c r="L723" s="390"/>
      <c r="M723" s="357"/>
      <c r="N723" s="439"/>
      <c r="O723" s="390"/>
      <c r="P723" s="147"/>
      <c r="Q723" s="390"/>
      <c r="R723" s="1"/>
    </row>
    <row r="724" spans="1:18" ht="15.6" x14ac:dyDescent="0.3">
      <c r="A724" s="373">
        <v>452</v>
      </c>
      <c r="B724" s="373" t="s">
        <v>324</v>
      </c>
      <c r="C724" s="49">
        <v>7657</v>
      </c>
      <c r="D724" s="373">
        <v>1</v>
      </c>
      <c r="E724" s="373" t="s">
        <v>245</v>
      </c>
      <c r="F724" s="373">
        <v>1000</v>
      </c>
      <c r="G724" s="373">
        <v>1000</v>
      </c>
      <c r="H724" s="373" t="s">
        <v>44</v>
      </c>
      <c r="I724" s="373">
        <v>300</v>
      </c>
      <c r="J724" s="376" t="s">
        <v>45</v>
      </c>
      <c r="K724" s="373">
        <v>90</v>
      </c>
      <c r="L724" s="373">
        <v>20</v>
      </c>
      <c r="M724" s="379" t="s">
        <v>14</v>
      </c>
      <c r="N724" s="408" t="s">
        <v>234</v>
      </c>
      <c r="O724" s="373" t="s">
        <v>27</v>
      </c>
      <c r="P724" s="156"/>
      <c r="Q724" s="373" t="s">
        <v>325</v>
      </c>
      <c r="R724" s="1"/>
    </row>
    <row r="725" spans="1:18" ht="15.6" x14ac:dyDescent="0.3">
      <c r="A725" s="374"/>
      <c r="B725" s="374"/>
      <c r="C725" s="51">
        <v>18546</v>
      </c>
      <c r="D725" s="374"/>
      <c r="E725" s="374"/>
      <c r="F725" s="374"/>
      <c r="G725" s="374"/>
      <c r="H725" s="374"/>
      <c r="I725" s="374"/>
      <c r="J725" s="377"/>
      <c r="K725" s="374"/>
      <c r="L725" s="374"/>
      <c r="M725" s="380"/>
      <c r="N725" s="409"/>
      <c r="O725" s="374"/>
      <c r="P725" s="157"/>
      <c r="Q725" s="374"/>
      <c r="R725" s="1"/>
    </row>
    <row r="726" spans="1:18" ht="16.2" thickBot="1" x14ac:dyDescent="0.35">
      <c r="A726" s="375"/>
      <c r="B726" s="375"/>
      <c r="C726" s="50">
        <v>12825</v>
      </c>
      <c r="D726" s="375"/>
      <c r="E726" s="375"/>
      <c r="F726" s="375"/>
      <c r="G726" s="375"/>
      <c r="H726" s="375"/>
      <c r="I726" s="375"/>
      <c r="J726" s="378"/>
      <c r="K726" s="375"/>
      <c r="L726" s="375"/>
      <c r="M726" s="381"/>
      <c r="N726" s="410"/>
      <c r="O726" s="375"/>
      <c r="P726" s="158"/>
      <c r="Q726" s="375"/>
      <c r="R726" s="1"/>
    </row>
    <row r="727" spans="1:18" ht="15.6" x14ac:dyDescent="0.3">
      <c r="A727" s="373">
        <v>460</v>
      </c>
      <c r="B727" s="373" t="s">
        <v>65</v>
      </c>
      <c r="C727" s="49">
        <v>10600</v>
      </c>
      <c r="D727" s="373">
        <v>1</v>
      </c>
      <c r="E727" s="373" t="s">
        <v>24</v>
      </c>
      <c r="F727" s="373">
        <v>1350</v>
      </c>
      <c r="G727" s="373">
        <v>1000</v>
      </c>
      <c r="H727" s="373" t="s">
        <v>19</v>
      </c>
      <c r="I727" s="373">
        <v>150</v>
      </c>
      <c r="J727" s="376" t="s">
        <v>45</v>
      </c>
      <c r="K727" s="373">
        <v>40</v>
      </c>
      <c r="L727" s="373">
        <v>18</v>
      </c>
      <c r="M727" s="379" t="s">
        <v>14</v>
      </c>
      <c r="N727" s="408" t="s">
        <v>352</v>
      </c>
      <c r="O727" s="373" t="s">
        <v>27</v>
      </c>
      <c r="P727" s="156"/>
      <c r="Q727" s="373" t="s">
        <v>353</v>
      </c>
      <c r="R727" s="1"/>
    </row>
    <row r="728" spans="1:18" ht="15.6" x14ac:dyDescent="0.3">
      <c r="A728" s="374"/>
      <c r="B728" s="374"/>
      <c r="C728" s="51">
        <v>2731</v>
      </c>
      <c r="D728" s="374"/>
      <c r="E728" s="374"/>
      <c r="F728" s="374"/>
      <c r="G728" s="374"/>
      <c r="H728" s="374"/>
      <c r="I728" s="374"/>
      <c r="J728" s="377"/>
      <c r="K728" s="374"/>
      <c r="L728" s="374"/>
      <c r="M728" s="380"/>
      <c r="N728" s="409"/>
      <c r="O728" s="374"/>
      <c r="P728" s="157"/>
      <c r="Q728" s="374"/>
      <c r="R728" s="1"/>
    </row>
    <row r="729" spans="1:18" ht="16.2" thickBot="1" x14ac:dyDescent="0.35">
      <c r="A729" s="375"/>
      <c r="B729" s="375"/>
      <c r="C729" s="50">
        <v>12495</v>
      </c>
      <c r="D729" s="375"/>
      <c r="E729" s="375"/>
      <c r="F729" s="375"/>
      <c r="G729" s="375"/>
      <c r="H729" s="375"/>
      <c r="I729" s="375"/>
      <c r="J729" s="378"/>
      <c r="K729" s="375"/>
      <c r="L729" s="375"/>
      <c r="M729" s="381"/>
      <c r="N729" s="410"/>
      <c r="O729" s="375"/>
      <c r="P729" s="158"/>
      <c r="Q729" s="375"/>
      <c r="R729" s="1"/>
    </row>
    <row r="730" spans="1:18" ht="15.6" x14ac:dyDescent="0.3">
      <c r="A730" s="385">
        <v>468</v>
      </c>
      <c r="B730" s="385" t="s">
        <v>337</v>
      </c>
      <c r="C730" s="43">
        <v>-12065</v>
      </c>
      <c r="D730" s="385">
        <v>1</v>
      </c>
      <c r="E730" s="385" t="s">
        <v>66</v>
      </c>
      <c r="F730" s="385">
        <v>600</v>
      </c>
      <c r="G730" s="385">
        <v>600</v>
      </c>
      <c r="H730" s="385" t="s">
        <v>44</v>
      </c>
      <c r="I730" s="385">
        <v>300</v>
      </c>
      <c r="J730" s="385" t="s">
        <v>45</v>
      </c>
      <c r="K730" s="385">
        <v>40</v>
      </c>
      <c r="L730" s="388">
        <v>105.5</v>
      </c>
      <c r="M730" s="355" t="s">
        <v>14</v>
      </c>
      <c r="N730" s="455" t="s">
        <v>354</v>
      </c>
      <c r="O730" s="388" t="s">
        <v>27</v>
      </c>
      <c r="P730" s="145"/>
      <c r="Q730" s="385" t="s">
        <v>355</v>
      </c>
      <c r="R730" s="1"/>
    </row>
    <row r="731" spans="1:18" ht="15.6" x14ac:dyDescent="0.3">
      <c r="A731" s="386"/>
      <c r="B731" s="386"/>
      <c r="C731" s="48">
        <v>-9364</v>
      </c>
      <c r="D731" s="386"/>
      <c r="E731" s="386"/>
      <c r="F731" s="386"/>
      <c r="G731" s="386"/>
      <c r="H731" s="386"/>
      <c r="I731" s="386"/>
      <c r="J731" s="386"/>
      <c r="K731" s="386"/>
      <c r="L731" s="389"/>
      <c r="M731" s="356"/>
      <c r="N731" s="456"/>
      <c r="O731" s="389"/>
      <c r="P731" s="146"/>
      <c r="Q731" s="386"/>
      <c r="R731" s="1"/>
    </row>
    <row r="732" spans="1:18" ht="16.2" thickBot="1" x14ac:dyDescent="0.35">
      <c r="A732" s="387"/>
      <c r="B732" s="387"/>
      <c r="C732" s="44">
        <v>13075</v>
      </c>
      <c r="D732" s="387"/>
      <c r="E732" s="387"/>
      <c r="F732" s="387"/>
      <c r="G732" s="387"/>
      <c r="H732" s="387"/>
      <c r="I732" s="387"/>
      <c r="J732" s="387"/>
      <c r="K732" s="387"/>
      <c r="L732" s="390"/>
      <c r="M732" s="357"/>
      <c r="N732" s="457"/>
      <c r="O732" s="390"/>
      <c r="P732" s="147"/>
      <c r="Q732" s="387"/>
      <c r="R732" s="1"/>
    </row>
    <row r="733" spans="1:18" ht="15.6" x14ac:dyDescent="0.3">
      <c r="A733" s="385">
        <v>469</v>
      </c>
      <c r="B733" s="385" t="s">
        <v>340</v>
      </c>
      <c r="C733" s="43">
        <v>-12287</v>
      </c>
      <c r="D733" s="385">
        <v>1</v>
      </c>
      <c r="E733" s="385" t="s">
        <v>66</v>
      </c>
      <c r="F733" s="385">
        <v>600</v>
      </c>
      <c r="G733" s="385">
        <v>600</v>
      </c>
      <c r="H733" s="385" t="s">
        <v>50</v>
      </c>
      <c r="I733" s="385">
        <v>300</v>
      </c>
      <c r="J733" s="385" t="s">
        <v>45</v>
      </c>
      <c r="K733" s="385">
        <v>40</v>
      </c>
      <c r="L733" s="388">
        <v>0</v>
      </c>
      <c r="M733" s="355" t="s">
        <v>14</v>
      </c>
      <c r="N733" s="455" t="s">
        <v>354</v>
      </c>
      <c r="O733" s="388" t="s">
        <v>27</v>
      </c>
      <c r="P733" s="145"/>
      <c r="Q733" s="385" t="s">
        <v>356</v>
      </c>
      <c r="R733" s="1"/>
    </row>
    <row r="734" spans="1:18" ht="15.6" x14ac:dyDescent="0.3">
      <c r="A734" s="386"/>
      <c r="B734" s="386"/>
      <c r="C734" s="48">
        <v>-9519</v>
      </c>
      <c r="D734" s="386"/>
      <c r="E734" s="386"/>
      <c r="F734" s="386"/>
      <c r="G734" s="386"/>
      <c r="H734" s="386"/>
      <c r="I734" s="386"/>
      <c r="J734" s="386"/>
      <c r="K734" s="386"/>
      <c r="L734" s="389"/>
      <c r="M734" s="356"/>
      <c r="N734" s="456"/>
      <c r="O734" s="389"/>
      <c r="P734" s="146"/>
      <c r="Q734" s="386"/>
      <c r="R734" s="1"/>
    </row>
    <row r="735" spans="1:18" ht="16.2" thickBot="1" x14ac:dyDescent="0.35">
      <c r="A735" s="387"/>
      <c r="B735" s="387"/>
      <c r="C735" s="44">
        <v>13008</v>
      </c>
      <c r="D735" s="387"/>
      <c r="E735" s="387"/>
      <c r="F735" s="387"/>
      <c r="G735" s="387"/>
      <c r="H735" s="387"/>
      <c r="I735" s="387"/>
      <c r="J735" s="387"/>
      <c r="K735" s="387"/>
      <c r="L735" s="390"/>
      <c r="M735" s="357"/>
      <c r="N735" s="457"/>
      <c r="O735" s="390"/>
      <c r="P735" s="147"/>
      <c r="Q735" s="387"/>
      <c r="R735" s="1"/>
    </row>
    <row r="736" spans="1:18" ht="15.6" x14ac:dyDescent="0.3">
      <c r="A736" s="385">
        <v>471</v>
      </c>
      <c r="B736" s="385" t="s">
        <v>340</v>
      </c>
      <c r="C736" s="43">
        <v>-12287</v>
      </c>
      <c r="D736" s="385">
        <v>1</v>
      </c>
      <c r="E736" s="385" t="s">
        <v>66</v>
      </c>
      <c r="F736" s="385">
        <v>600</v>
      </c>
      <c r="G736" s="385">
        <v>600</v>
      </c>
      <c r="H736" s="385" t="s">
        <v>50</v>
      </c>
      <c r="I736" s="385">
        <v>350</v>
      </c>
      <c r="J736" s="385" t="s">
        <v>45</v>
      </c>
      <c r="K736" s="385">
        <v>40</v>
      </c>
      <c r="L736" s="388">
        <v>0</v>
      </c>
      <c r="M736" s="355" t="s">
        <v>14</v>
      </c>
      <c r="N736" s="455" t="s">
        <v>354</v>
      </c>
      <c r="O736" s="388" t="s">
        <v>27</v>
      </c>
      <c r="P736" s="145"/>
      <c r="Q736" s="385" t="s">
        <v>356</v>
      </c>
      <c r="R736" s="1"/>
    </row>
    <row r="737" spans="1:18" ht="15.6" x14ac:dyDescent="0.3">
      <c r="A737" s="386"/>
      <c r="B737" s="386"/>
      <c r="C737" s="48">
        <v>-9519</v>
      </c>
      <c r="D737" s="386"/>
      <c r="E737" s="386"/>
      <c r="F737" s="386"/>
      <c r="G737" s="386"/>
      <c r="H737" s="386"/>
      <c r="I737" s="386"/>
      <c r="J737" s="386"/>
      <c r="K737" s="386"/>
      <c r="L737" s="389"/>
      <c r="M737" s="356"/>
      <c r="N737" s="456"/>
      <c r="O737" s="389"/>
      <c r="P737" s="146"/>
      <c r="Q737" s="386"/>
      <c r="R737" s="1"/>
    </row>
    <row r="738" spans="1:18" ht="16.2" thickBot="1" x14ac:dyDescent="0.35">
      <c r="A738" s="387"/>
      <c r="B738" s="387"/>
      <c r="C738" s="44">
        <v>13126</v>
      </c>
      <c r="D738" s="387"/>
      <c r="E738" s="387"/>
      <c r="F738" s="387"/>
      <c r="G738" s="387"/>
      <c r="H738" s="387"/>
      <c r="I738" s="387"/>
      <c r="J738" s="387"/>
      <c r="K738" s="387"/>
      <c r="L738" s="390"/>
      <c r="M738" s="357"/>
      <c r="N738" s="457"/>
      <c r="O738" s="390"/>
      <c r="P738" s="147"/>
      <c r="Q738" s="387"/>
      <c r="R738" s="1"/>
    </row>
    <row r="739" spans="1:18" ht="15.6" x14ac:dyDescent="0.3">
      <c r="A739" s="385">
        <v>473</v>
      </c>
      <c r="B739" s="385" t="s">
        <v>64</v>
      </c>
      <c r="C739" s="43">
        <v>-12545</v>
      </c>
      <c r="D739" s="385">
        <v>1</v>
      </c>
      <c r="E739" s="385" t="s">
        <v>66</v>
      </c>
      <c r="F739" s="385">
        <v>600</v>
      </c>
      <c r="G739" s="385">
        <v>600</v>
      </c>
      <c r="H739" s="385" t="s">
        <v>44</v>
      </c>
      <c r="I739" s="385">
        <v>300</v>
      </c>
      <c r="J739" s="385" t="s">
        <v>45</v>
      </c>
      <c r="K739" s="385">
        <v>40</v>
      </c>
      <c r="L739" s="388">
        <v>48</v>
      </c>
      <c r="M739" s="355" t="s">
        <v>14</v>
      </c>
      <c r="N739" s="455" t="s">
        <v>338</v>
      </c>
      <c r="O739" s="388" t="s">
        <v>27</v>
      </c>
      <c r="P739" s="145"/>
      <c r="Q739" s="388" t="s">
        <v>359</v>
      </c>
      <c r="R739" s="1"/>
    </row>
    <row r="740" spans="1:18" ht="15.6" x14ac:dyDescent="0.3">
      <c r="A740" s="386"/>
      <c r="B740" s="386"/>
      <c r="C740" s="48">
        <v>-9699</v>
      </c>
      <c r="D740" s="386"/>
      <c r="E740" s="386"/>
      <c r="F740" s="386"/>
      <c r="G740" s="386"/>
      <c r="H740" s="386"/>
      <c r="I740" s="386"/>
      <c r="J740" s="386"/>
      <c r="K740" s="386"/>
      <c r="L740" s="389"/>
      <c r="M740" s="356"/>
      <c r="N740" s="456"/>
      <c r="O740" s="389"/>
      <c r="P740" s="146"/>
      <c r="Q740" s="389"/>
      <c r="R740" s="1"/>
    </row>
    <row r="741" spans="1:18" ht="16.2" thickBot="1" x14ac:dyDescent="0.35">
      <c r="A741" s="387"/>
      <c r="B741" s="387"/>
      <c r="C741" s="44">
        <v>12815</v>
      </c>
      <c r="D741" s="387"/>
      <c r="E741" s="387"/>
      <c r="F741" s="387"/>
      <c r="G741" s="387"/>
      <c r="H741" s="387"/>
      <c r="I741" s="387"/>
      <c r="J741" s="387"/>
      <c r="K741" s="387"/>
      <c r="L741" s="390"/>
      <c r="M741" s="357"/>
      <c r="N741" s="457"/>
      <c r="O741" s="390"/>
      <c r="P741" s="147"/>
      <c r="Q741" s="390"/>
      <c r="R741" s="1"/>
    </row>
    <row r="742" spans="1:18" ht="16.2" thickBot="1" x14ac:dyDescent="0.35">
      <c r="A742" s="352" t="s">
        <v>82</v>
      </c>
      <c r="B742" s="353"/>
      <c r="C742" s="353"/>
      <c r="D742" s="353"/>
      <c r="E742" s="353"/>
      <c r="F742" s="353"/>
      <c r="G742" s="353"/>
      <c r="H742" s="353"/>
      <c r="I742" s="353"/>
      <c r="J742" s="353"/>
      <c r="K742" s="353"/>
      <c r="L742" s="353"/>
      <c r="M742" s="353"/>
      <c r="N742" s="353"/>
      <c r="O742" s="353"/>
      <c r="P742" s="353"/>
      <c r="Q742" s="354"/>
      <c r="R742" s="1"/>
    </row>
    <row r="743" spans="1:18" ht="15.6" x14ac:dyDescent="0.3">
      <c r="A743" s="373">
        <v>479</v>
      </c>
      <c r="B743" s="373" t="s">
        <v>230</v>
      </c>
      <c r="C743" s="49">
        <v>-4790</v>
      </c>
      <c r="D743" s="373">
        <v>1</v>
      </c>
      <c r="E743" s="373" t="s">
        <v>161</v>
      </c>
      <c r="F743" s="373">
        <v>1450</v>
      </c>
      <c r="G743" s="373">
        <v>1020</v>
      </c>
      <c r="H743" s="373" t="s">
        <v>25</v>
      </c>
      <c r="I743" s="373">
        <v>150</v>
      </c>
      <c r="J743" s="376" t="s">
        <v>45</v>
      </c>
      <c r="K743" s="373">
        <v>40</v>
      </c>
      <c r="L743" s="373">
        <v>17.5</v>
      </c>
      <c r="M743" s="379" t="s">
        <v>14</v>
      </c>
      <c r="N743" s="408" t="s">
        <v>360</v>
      </c>
      <c r="O743" s="373" t="s">
        <v>27</v>
      </c>
      <c r="P743" s="156"/>
      <c r="Q743" s="373" t="s">
        <v>364</v>
      </c>
      <c r="R743" s="1"/>
    </row>
    <row r="744" spans="1:18" ht="15.6" x14ac:dyDescent="0.3">
      <c r="A744" s="374"/>
      <c r="B744" s="374"/>
      <c r="C744" s="49">
        <v>13500</v>
      </c>
      <c r="D744" s="374"/>
      <c r="E744" s="374"/>
      <c r="F744" s="374"/>
      <c r="G744" s="374"/>
      <c r="H744" s="374"/>
      <c r="I744" s="374"/>
      <c r="J744" s="377"/>
      <c r="K744" s="374"/>
      <c r="L744" s="374"/>
      <c r="M744" s="380"/>
      <c r="N744" s="409"/>
      <c r="O744" s="374"/>
      <c r="P744" s="157"/>
      <c r="Q744" s="374"/>
      <c r="R744" s="1"/>
    </row>
    <row r="745" spans="1:18" ht="16.2" thickBot="1" x14ac:dyDescent="0.35">
      <c r="A745" s="375"/>
      <c r="B745" s="375"/>
      <c r="C745" s="50">
        <v>14082</v>
      </c>
      <c r="D745" s="375"/>
      <c r="E745" s="375"/>
      <c r="F745" s="375"/>
      <c r="G745" s="375"/>
      <c r="H745" s="375"/>
      <c r="I745" s="375"/>
      <c r="J745" s="378"/>
      <c r="K745" s="375"/>
      <c r="L745" s="375"/>
      <c r="M745" s="381"/>
      <c r="N745" s="410"/>
      <c r="O745" s="375"/>
      <c r="P745" s="158"/>
      <c r="Q745" s="375"/>
      <c r="R745" s="1"/>
    </row>
    <row r="746" spans="1:18" ht="15.6" x14ac:dyDescent="0.3">
      <c r="A746" s="373">
        <v>487</v>
      </c>
      <c r="B746" s="373" t="s">
        <v>230</v>
      </c>
      <c r="C746" s="49">
        <v>4790</v>
      </c>
      <c r="D746" s="373">
        <v>1</v>
      </c>
      <c r="E746" s="373" t="s">
        <v>161</v>
      </c>
      <c r="F746" s="373">
        <v>1450</v>
      </c>
      <c r="G746" s="373">
        <v>1020</v>
      </c>
      <c r="H746" s="373" t="s">
        <v>25</v>
      </c>
      <c r="I746" s="373">
        <v>150</v>
      </c>
      <c r="J746" s="376" t="s">
        <v>45</v>
      </c>
      <c r="K746" s="373">
        <v>40</v>
      </c>
      <c r="L746" s="373">
        <v>17.5</v>
      </c>
      <c r="M746" s="379" t="s">
        <v>14</v>
      </c>
      <c r="N746" s="408" t="s">
        <v>365</v>
      </c>
      <c r="O746" s="373" t="s">
        <v>27</v>
      </c>
      <c r="P746" s="156"/>
      <c r="Q746" s="373" t="s">
        <v>364</v>
      </c>
      <c r="R746" s="1"/>
    </row>
    <row r="747" spans="1:18" ht="15.6" x14ac:dyDescent="0.3">
      <c r="A747" s="374"/>
      <c r="B747" s="374"/>
      <c r="C747" s="51">
        <v>-13500</v>
      </c>
      <c r="D747" s="374"/>
      <c r="E747" s="374"/>
      <c r="F747" s="374"/>
      <c r="G747" s="374"/>
      <c r="H747" s="374"/>
      <c r="I747" s="374"/>
      <c r="J747" s="377"/>
      <c r="K747" s="374"/>
      <c r="L747" s="374"/>
      <c r="M747" s="380"/>
      <c r="N747" s="409"/>
      <c r="O747" s="374"/>
      <c r="P747" s="157"/>
      <c r="Q747" s="374"/>
      <c r="R747" s="1"/>
    </row>
    <row r="748" spans="1:18" ht="16.2" thickBot="1" x14ac:dyDescent="0.35">
      <c r="A748" s="375"/>
      <c r="B748" s="375"/>
      <c r="C748" s="50">
        <v>14082</v>
      </c>
      <c r="D748" s="375"/>
      <c r="E748" s="375"/>
      <c r="F748" s="375"/>
      <c r="G748" s="375"/>
      <c r="H748" s="375"/>
      <c r="I748" s="375"/>
      <c r="J748" s="378"/>
      <c r="K748" s="375"/>
      <c r="L748" s="375"/>
      <c r="M748" s="381"/>
      <c r="N748" s="410"/>
      <c r="O748" s="375"/>
      <c r="P748" s="158"/>
      <c r="Q748" s="375"/>
      <c r="R748" s="1"/>
    </row>
    <row r="749" spans="1:18" ht="15.6" x14ac:dyDescent="0.3">
      <c r="A749" s="373">
        <v>505</v>
      </c>
      <c r="B749" s="373" t="s">
        <v>191</v>
      </c>
      <c r="C749" s="49">
        <v>-8639</v>
      </c>
      <c r="D749" s="373">
        <v>1</v>
      </c>
      <c r="E749" s="373" t="s">
        <v>255</v>
      </c>
      <c r="F749" s="373">
        <v>1450</v>
      </c>
      <c r="G749" s="373">
        <v>1020</v>
      </c>
      <c r="H749" s="373" t="s">
        <v>25</v>
      </c>
      <c r="I749" s="373">
        <v>150</v>
      </c>
      <c r="J749" s="376" t="s">
        <v>45</v>
      </c>
      <c r="K749" s="373">
        <v>30</v>
      </c>
      <c r="L749" s="373">
        <v>31</v>
      </c>
      <c r="M749" s="379" t="s">
        <v>14</v>
      </c>
      <c r="N749" s="408" t="s">
        <v>373</v>
      </c>
      <c r="O749" s="373" t="s">
        <v>27</v>
      </c>
      <c r="P749" s="156"/>
      <c r="Q749" s="373" t="s">
        <v>368</v>
      </c>
      <c r="R749" s="1"/>
    </row>
    <row r="750" spans="1:18" ht="15.6" x14ac:dyDescent="0.3">
      <c r="A750" s="374"/>
      <c r="B750" s="374"/>
      <c r="C750" s="51">
        <v>-11896</v>
      </c>
      <c r="D750" s="374"/>
      <c r="E750" s="374"/>
      <c r="F750" s="374"/>
      <c r="G750" s="374"/>
      <c r="H750" s="374"/>
      <c r="I750" s="374"/>
      <c r="J750" s="377"/>
      <c r="K750" s="374"/>
      <c r="L750" s="374"/>
      <c r="M750" s="380"/>
      <c r="N750" s="409"/>
      <c r="O750" s="374"/>
      <c r="P750" s="157"/>
      <c r="Q750" s="374"/>
      <c r="R750" s="1"/>
    </row>
    <row r="751" spans="1:18" ht="16.2" thickBot="1" x14ac:dyDescent="0.35">
      <c r="A751" s="375"/>
      <c r="B751" s="375"/>
      <c r="C751" s="50">
        <v>14082</v>
      </c>
      <c r="D751" s="375"/>
      <c r="E751" s="375"/>
      <c r="F751" s="375"/>
      <c r="G751" s="375"/>
      <c r="H751" s="375"/>
      <c r="I751" s="375"/>
      <c r="J751" s="378"/>
      <c r="K751" s="375"/>
      <c r="L751" s="375"/>
      <c r="M751" s="381"/>
      <c r="N751" s="410"/>
      <c r="O751" s="375"/>
      <c r="P751" s="158"/>
      <c r="Q751" s="375"/>
      <c r="R751" s="1"/>
    </row>
    <row r="752" spans="1:18" ht="15.6" x14ac:dyDescent="0.3">
      <c r="A752" s="373">
        <v>506</v>
      </c>
      <c r="B752" s="373" t="s">
        <v>230</v>
      </c>
      <c r="C752" s="49">
        <v>-8311</v>
      </c>
      <c r="D752" s="373">
        <v>1</v>
      </c>
      <c r="E752" s="373" t="s">
        <v>161</v>
      </c>
      <c r="F752" s="373">
        <v>1450</v>
      </c>
      <c r="G752" s="373">
        <v>1020</v>
      </c>
      <c r="H752" s="373" t="s">
        <v>25</v>
      </c>
      <c r="I752" s="373">
        <v>150</v>
      </c>
      <c r="J752" s="376" t="s">
        <v>45</v>
      </c>
      <c r="K752" s="373">
        <v>40</v>
      </c>
      <c r="L752" s="373">
        <v>17.5</v>
      </c>
      <c r="M752" s="379" t="s">
        <v>14</v>
      </c>
      <c r="N752" s="408" t="s">
        <v>373</v>
      </c>
      <c r="O752" s="373" t="s">
        <v>27</v>
      </c>
      <c r="P752" s="156"/>
      <c r="Q752" s="373" t="s">
        <v>364</v>
      </c>
      <c r="R752" s="1"/>
    </row>
    <row r="753" spans="1:18" ht="15.6" x14ac:dyDescent="0.3">
      <c r="A753" s="374"/>
      <c r="B753" s="374"/>
      <c r="C753" s="51">
        <v>-11667</v>
      </c>
      <c r="D753" s="374"/>
      <c r="E753" s="374"/>
      <c r="F753" s="374"/>
      <c r="G753" s="374"/>
      <c r="H753" s="374"/>
      <c r="I753" s="374"/>
      <c r="J753" s="377"/>
      <c r="K753" s="374"/>
      <c r="L753" s="374"/>
      <c r="M753" s="380"/>
      <c r="N753" s="409"/>
      <c r="O753" s="374"/>
      <c r="P753" s="157"/>
      <c r="Q753" s="374"/>
      <c r="R753" s="1"/>
    </row>
    <row r="754" spans="1:18" ht="16.2" thickBot="1" x14ac:dyDescent="0.35">
      <c r="A754" s="375"/>
      <c r="B754" s="375"/>
      <c r="C754" s="50">
        <v>14082</v>
      </c>
      <c r="D754" s="375"/>
      <c r="E754" s="375"/>
      <c r="F754" s="375"/>
      <c r="G754" s="375"/>
      <c r="H754" s="375"/>
      <c r="I754" s="375"/>
      <c r="J754" s="378"/>
      <c r="K754" s="375"/>
      <c r="L754" s="375"/>
      <c r="M754" s="381"/>
      <c r="N754" s="410"/>
      <c r="O754" s="375"/>
      <c r="P754" s="158"/>
      <c r="Q754" s="375"/>
      <c r="R754" s="1"/>
    </row>
    <row r="755" spans="1:18" ht="15.6" x14ac:dyDescent="0.3">
      <c r="A755" s="373">
        <v>516</v>
      </c>
      <c r="B755" s="373" t="s">
        <v>160</v>
      </c>
      <c r="C755" s="49">
        <v>-12250</v>
      </c>
      <c r="D755" s="373">
        <v>1</v>
      </c>
      <c r="E755" s="373" t="s">
        <v>63</v>
      </c>
      <c r="F755" s="373">
        <v>1450</v>
      </c>
      <c r="G755" s="373">
        <v>1200</v>
      </c>
      <c r="H755" s="373" t="s">
        <v>61</v>
      </c>
      <c r="I755" s="373">
        <v>100</v>
      </c>
      <c r="J755" s="376" t="s">
        <v>45</v>
      </c>
      <c r="K755" s="373">
        <v>30</v>
      </c>
      <c r="L755" s="373">
        <v>39.5</v>
      </c>
      <c r="M755" s="379" t="s">
        <v>14</v>
      </c>
      <c r="N755" s="408" t="s">
        <v>375</v>
      </c>
      <c r="O755" s="373" t="s">
        <v>27</v>
      </c>
      <c r="P755" s="156"/>
      <c r="Q755" s="373" t="s">
        <v>254</v>
      </c>
      <c r="R755" s="1"/>
    </row>
    <row r="756" spans="1:18" ht="15.6" x14ac:dyDescent="0.3">
      <c r="A756" s="374"/>
      <c r="B756" s="374"/>
      <c r="C756" s="51">
        <v>13700</v>
      </c>
      <c r="D756" s="374"/>
      <c r="E756" s="374"/>
      <c r="F756" s="374"/>
      <c r="G756" s="374"/>
      <c r="H756" s="374"/>
      <c r="I756" s="374"/>
      <c r="J756" s="377"/>
      <c r="K756" s="374"/>
      <c r="L756" s="374"/>
      <c r="M756" s="380"/>
      <c r="N756" s="409"/>
      <c r="O756" s="374"/>
      <c r="P756" s="157"/>
      <c r="Q756" s="374"/>
      <c r="R756" s="1"/>
    </row>
    <row r="757" spans="1:18" ht="16.2" thickBot="1" x14ac:dyDescent="0.35">
      <c r="A757" s="375"/>
      <c r="B757" s="375"/>
      <c r="C757" s="50">
        <v>13952</v>
      </c>
      <c r="D757" s="375"/>
      <c r="E757" s="375"/>
      <c r="F757" s="375"/>
      <c r="G757" s="375"/>
      <c r="H757" s="375"/>
      <c r="I757" s="375"/>
      <c r="J757" s="378"/>
      <c r="K757" s="375"/>
      <c r="L757" s="375"/>
      <c r="M757" s="381"/>
      <c r="N757" s="410"/>
      <c r="O757" s="375"/>
      <c r="P757" s="158"/>
      <c r="Q757" s="375"/>
      <c r="R757" s="1"/>
    </row>
    <row r="758" spans="1:18" ht="15.6" x14ac:dyDescent="0.3">
      <c r="A758" s="373">
        <v>517</v>
      </c>
      <c r="B758" s="373" t="s">
        <v>160</v>
      </c>
      <c r="C758" s="49">
        <v>-12900</v>
      </c>
      <c r="D758" s="373">
        <v>1</v>
      </c>
      <c r="E758" s="373" t="s">
        <v>63</v>
      </c>
      <c r="F758" s="373">
        <v>1450</v>
      </c>
      <c r="G758" s="373">
        <v>1200</v>
      </c>
      <c r="H758" s="373" t="s">
        <v>61</v>
      </c>
      <c r="I758" s="373">
        <v>100</v>
      </c>
      <c r="J758" s="376" t="s">
        <v>45</v>
      </c>
      <c r="K758" s="373">
        <v>30</v>
      </c>
      <c r="L758" s="373">
        <v>39.5</v>
      </c>
      <c r="M758" s="379" t="s">
        <v>14</v>
      </c>
      <c r="N758" s="408" t="s">
        <v>375</v>
      </c>
      <c r="O758" s="373" t="s">
        <v>27</v>
      </c>
      <c r="P758" s="156"/>
      <c r="Q758" s="373" t="s">
        <v>254</v>
      </c>
      <c r="R758" s="1"/>
    </row>
    <row r="759" spans="1:18" ht="15.6" x14ac:dyDescent="0.3">
      <c r="A759" s="374"/>
      <c r="B759" s="374"/>
      <c r="C759" s="51">
        <v>13700</v>
      </c>
      <c r="D759" s="374"/>
      <c r="E759" s="374"/>
      <c r="F759" s="374"/>
      <c r="G759" s="374"/>
      <c r="H759" s="374"/>
      <c r="I759" s="374"/>
      <c r="J759" s="377"/>
      <c r="K759" s="374"/>
      <c r="L759" s="374"/>
      <c r="M759" s="380"/>
      <c r="N759" s="409"/>
      <c r="O759" s="374"/>
      <c r="P759" s="157"/>
      <c r="Q759" s="374"/>
      <c r="R759" s="1"/>
    </row>
    <row r="760" spans="1:18" ht="16.2" thickBot="1" x14ac:dyDescent="0.35">
      <c r="A760" s="375"/>
      <c r="B760" s="375"/>
      <c r="C760" s="50">
        <v>13952</v>
      </c>
      <c r="D760" s="375"/>
      <c r="E760" s="375"/>
      <c r="F760" s="375"/>
      <c r="G760" s="375"/>
      <c r="H760" s="375"/>
      <c r="I760" s="375"/>
      <c r="J760" s="378"/>
      <c r="K760" s="375"/>
      <c r="L760" s="375"/>
      <c r="M760" s="381"/>
      <c r="N760" s="410"/>
      <c r="O760" s="375"/>
      <c r="P760" s="158"/>
      <c r="Q760" s="375"/>
      <c r="R760" s="1"/>
    </row>
    <row r="761" spans="1:18" ht="15.6" x14ac:dyDescent="0.3">
      <c r="A761" s="373">
        <v>521</v>
      </c>
      <c r="B761" s="373" t="s">
        <v>174</v>
      </c>
      <c r="C761" s="49">
        <v>-19500</v>
      </c>
      <c r="D761" s="376">
        <v>0</v>
      </c>
      <c r="E761" s="373" t="s">
        <v>13</v>
      </c>
      <c r="F761" s="373">
        <v>1450</v>
      </c>
      <c r="G761" s="373">
        <v>1200</v>
      </c>
      <c r="H761" s="373" t="s">
        <v>25</v>
      </c>
      <c r="I761" s="373" t="s">
        <v>13</v>
      </c>
      <c r="J761" s="373" t="s">
        <v>13</v>
      </c>
      <c r="K761" s="373" t="s">
        <v>13</v>
      </c>
      <c r="L761" s="373" t="s">
        <v>13</v>
      </c>
      <c r="M761" s="379" t="s">
        <v>14</v>
      </c>
      <c r="N761" s="408" t="s">
        <v>375</v>
      </c>
      <c r="O761" s="373" t="s">
        <v>27</v>
      </c>
      <c r="P761" s="156"/>
      <c r="Q761" s="373" t="s">
        <v>176</v>
      </c>
      <c r="R761" s="170"/>
    </row>
    <row r="762" spans="1:18" ht="15.6" x14ac:dyDescent="0.3">
      <c r="A762" s="374"/>
      <c r="B762" s="374"/>
      <c r="C762" s="51">
        <v>405</v>
      </c>
      <c r="D762" s="377"/>
      <c r="E762" s="374"/>
      <c r="F762" s="374"/>
      <c r="G762" s="374"/>
      <c r="H762" s="374"/>
      <c r="I762" s="374"/>
      <c r="J762" s="374"/>
      <c r="K762" s="374"/>
      <c r="L762" s="374"/>
      <c r="M762" s="380"/>
      <c r="N762" s="409"/>
      <c r="O762" s="374"/>
      <c r="P762" s="157"/>
      <c r="Q762" s="374"/>
      <c r="R762" s="1"/>
    </row>
    <row r="763" spans="1:18" ht="16.2" thickBot="1" x14ac:dyDescent="0.35">
      <c r="A763" s="375"/>
      <c r="B763" s="375"/>
      <c r="C763" s="50">
        <v>13952</v>
      </c>
      <c r="D763" s="378"/>
      <c r="E763" s="375"/>
      <c r="F763" s="375"/>
      <c r="G763" s="375"/>
      <c r="H763" s="375"/>
      <c r="I763" s="375"/>
      <c r="J763" s="375"/>
      <c r="K763" s="375"/>
      <c r="L763" s="375"/>
      <c r="M763" s="381"/>
      <c r="N763" s="410"/>
      <c r="O763" s="375"/>
      <c r="P763" s="158"/>
      <c r="Q763" s="375"/>
      <c r="R763" s="1"/>
    </row>
    <row r="764" spans="1:18" ht="15.6" x14ac:dyDescent="0.3">
      <c r="A764" s="376">
        <v>540</v>
      </c>
      <c r="B764" s="376" t="s">
        <v>160</v>
      </c>
      <c r="C764" s="58">
        <v>13500</v>
      </c>
      <c r="D764" s="376">
        <v>1</v>
      </c>
      <c r="E764" s="376" t="s">
        <v>63</v>
      </c>
      <c r="F764" s="373">
        <v>1450</v>
      </c>
      <c r="G764" s="373">
        <v>1200</v>
      </c>
      <c r="H764" s="373" t="s">
        <v>61</v>
      </c>
      <c r="I764" s="376">
        <v>100</v>
      </c>
      <c r="J764" s="376" t="s">
        <v>45</v>
      </c>
      <c r="K764" s="376">
        <v>30</v>
      </c>
      <c r="L764" s="373">
        <v>39.5</v>
      </c>
      <c r="M764" s="379" t="s">
        <v>14</v>
      </c>
      <c r="N764" s="402" t="s">
        <v>386</v>
      </c>
      <c r="O764" s="373" t="s">
        <v>27</v>
      </c>
      <c r="P764" s="156"/>
      <c r="Q764" s="373" t="s">
        <v>254</v>
      </c>
      <c r="R764" s="1"/>
    </row>
    <row r="765" spans="1:18" ht="15.6" x14ac:dyDescent="0.3">
      <c r="A765" s="377"/>
      <c r="B765" s="377"/>
      <c r="C765" s="59">
        <v>-13650</v>
      </c>
      <c r="D765" s="377"/>
      <c r="E765" s="377"/>
      <c r="F765" s="374"/>
      <c r="G765" s="374"/>
      <c r="H765" s="374"/>
      <c r="I765" s="377"/>
      <c r="J765" s="377"/>
      <c r="K765" s="377"/>
      <c r="L765" s="374"/>
      <c r="M765" s="380"/>
      <c r="N765" s="403"/>
      <c r="O765" s="374"/>
      <c r="P765" s="157"/>
      <c r="Q765" s="374"/>
      <c r="R765" s="1"/>
    </row>
    <row r="766" spans="1:18" ht="16.2" thickBot="1" x14ac:dyDescent="0.35">
      <c r="A766" s="378"/>
      <c r="B766" s="378"/>
      <c r="C766" s="57">
        <v>13952</v>
      </c>
      <c r="D766" s="378"/>
      <c r="E766" s="378"/>
      <c r="F766" s="375"/>
      <c r="G766" s="375"/>
      <c r="H766" s="375"/>
      <c r="I766" s="378"/>
      <c r="J766" s="378"/>
      <c r="K766" s="378"/>
      <c r="L766" s="375"/>
      <c r="M766" s="381"/>
      <c r="N766" s="404"/>
      <c r="O766" s="375"/>
      <c r="P766" s="158"/>
      <c r="Q766" s="375"/>
      <c r="R766" s="1"/>
    </row>
    <row r="767" spans="1:18" ht="15.6" x14ac:dyDescent="0.3">
      <c r="A767" s="385">
        <v>541</v>
      </c>
      <c r="B767" s="385" t="s">
        <v>57</v>
      </c>
      <c r="C767" s="43">
        <v>14450</v>
      </c>
      <c r="D767" s="385">
        <v>1</v>
      </c>
      <c r="E767" s="385" t="s">
        <v>387</v>
      </c>
      <c r="F767" s="388">
        <v>1450</v>
      </c>
      <c r="G767" s="388">
        <v>1200</v>
      </c>
      <c r="H767" s="388" t="s">
        <v>96</v>
      </c>
      <c r="I767" s="385">
        <v>190</v>
      </c>
      <c r="J767" s="385" t="s">
        <v>45</v>
      </c>
      <c r="K767" s="385">
        <v>60</v>
      </c>
      <c r="L767" s="388">
        <v>87.5</v>
      </c>
      <c r="M767" s="355" t="s">
        <v>14</v>
      </c>
      <c r="N767" s="455" t="s">
        <v>386</v>
      </c>
      <c r="O767" s="388" t="s">
        <v>27</v>
      </c>
      <c r="P767" s="145"/>
      <c r="Q767" s="385" t="s">
        <v>293</v>
      </c>
      <c r="R767" s="1"/>
    </row>
    <row r="768" spans="1:18" ht="15.6" x14ac:dyDescent="0.3">
      <c r="A768" s="386"/>
      <c r="B768" s="386"/>
      <c r="C768" s="48">
        <v>-13650</v>
      </c>
      <c r="D768" s="386"/>
      <c r="E768" s="386"/>
      <c r="F768" s="389"/>
      <c r="G768" s="389"/>
      <c r="H768" s="389"/>
      <c r="I768" s="386"/>
      <c r="J768" s="386"/>
      <c r="K768" s="386"/>
      <c r="L768" s="389"/>
      <c r="M768" s="356"/>
      <c r="N768" s="456"/>
      <c r="O768" s="389"/>
      <c r="P768" s="146"/>
      <c r="Q768" s="386"/>
      <c r="R768" s="1"/>
    </row>
    <row r="769" spans="1:18" ht="16.2" thickBot="1" x14ac:dyDescent="0.35">
      <c r="A769" s="387"/>
      <c r="B769" s="387"/>
      <c r="C769" s="44">
        <v>13952</v>
      </c>
      <c r="D769" s="387"/>
      <c r="E769" s="387"/>
      <c r="F769" s="390"/>
      <c r="G769" s="390"/>
      <c r="H769" s="390"/>
      <c r="I769" s="387"/>
      <c r="J769" s="387"/>
      <c r="K769" s="387"/>
      <c r="L769" s="390"/>
      <c r="M769" s="357"/>
      <c r="N769" s="457"/>
      <c r="O769" s="390"/>
      <c r="P769" s="147"/>
      <c r="Q769" s="387"/>
      <c r="R769" s="169"/>
    </row>
    <row r="770" spans="1:18" ht="15.6" x14ac:dyDescent="0.3">
      <c r="A770" s="385">
        <v>548</v>
      </c>
      <c r="B770" s="385" t="s">
        <v>388</v>
      </c>
      <c r="C770" s="43">
        <v>16950</v>
      </c>
      <c r="D770" s="385">
        <v>1</v>
      </c>
      <c r="E770" s="385" t="s">
        <v>63</v>
      </c>
      <c r="F770" s="388">
        <v>1450</v>
      </c>
      <c r="G770" s="388">
        <v>1200</v>
      </c>
      <c r="H770" s="385" t="s">
        <v>61</v>
      </c>
      <c r="I770" s="385">
        <v>150</v>
      </c>
      <c r="J770" s="385" t="s">
        <v>45</v>
      </c>
      <c r="K770" s="385">
        <v>50</v>
      </c>
      <c r="L770" s="388">
        <v>19.5</v>
      </c>
      <c r="M770" s="355" t="s">
        <v>14</v>
      </c>
      <c r="N770" s="455" t="s">
        <v>386</v>
      </c>
      <c r="O770" s="388" t="s">
        <v>27</v>
      </c>
      <c r="P770" s="145"/>
      <c r="Q770" s="388" t="s">
        <v>254</v>
      </c>
      <c r="R770" s="1"/>
    </row>
    <row r="771" spans="1:18" ht="15.6" x14ac:dyDescent="0.3">
      <c r="A771" s="386"/>
      <c r="B771" s="386"/>
      <c r="C771" s="48">
        <v>-8780</v>
      </c>
      <c r="D771" s="386"/>
      <c r="E771" s="386"/>
      <c r="F771" s="389"/>
      <c r="G771" s="389"/>
      <c r="H771" s="386"/>
      <c r="I771" s="386"/>
      <c r="J771" s="386"/>
      <c r="K771" s="386"/>
      <c r="L771" s="389"/>
      <c r="M771" s="356"/>
      <c r="N771" s="456"/>
      <c r="O771" s="389"/>
      <c r="P771" s="146"/>
      <c r="Q771" s="389"/>
      <c r="R771" s="1"/>
    </row>
    <row r="772" spans="1:18" ht="16.2" thickBot="1" x14ac:dyDescent="0.35">
      <c r="A772" s="387"/>
      <c r="B772" s="387"/>
      <c r="C772" s="44">
        <v>13952</v>
      </c>
      <c r="D772" s="387"/>
      <c r="E772" s="387"/>
      <c r="F772" s="390"/>
      <c r="G772" s="390"/>
      <c r="H772" s="387"/>
      <c r="I772" s="387"/>
      <c r="J772" s="387"/>
      <c r="K772" s="387"/>
      <c r="L772" s="390"/>
      <c r="M772" s="357"/>
      <c r="N772" s="457"/>
      <c r="O772" s="390"/>
      <c r="P772" s="147"/>
      <c r="Q772" s="390"/>
      <c r="R772" s="1"/>
    </row>
    <row r="773" spans="1:18" ht="15.6" x14ac:dyDescent="0.3">
      <c r="A773" s="385">
        <v>549</v>
      </c>
      <c r="B773" s="385" t="s">
        <v>57</v>
      </c>
      <c r="C773" s="43">
        <v>18660</v>
      </c>
      <c r="D773" s="385">
        <v>1</v>
      </c>
      <c r="E773" s="385" t="s">
        <v>389</v>
      </c>
      <c r="F773" s="388">
        <v>1450</v>
      </c>
      <c r="G773" s="388">
        <v>1200</v>
      </c>
      <c r="H773" s="388" t="s">
        <v>96</v>
      </c>
      <c r="I773" s="385">
        <v>150</v>
      </c>
      <c r="J773" s="385" t="s">
        <v>45</v>
      </c>
      <c r="K773" s="385">
        <v>50</v>
      </c>
      <c r="L773" s="388">
        <v>97.5</v>
      </c>
      <c r="M773" s="355" t="s">
        <v>14</v>
      </c>
      <c r="N773" s="455" t="s">
        <v>386</v>
      </c>
      <c r="O773" s="388" t="s">
        <v>27</v>
      </c>
      <c r="P773" s="145"/>
      <c r="Q773" s="385" t="s">
        <v>293</v>
      </c>
      <c r="R773" s="1"/>
    </row>
    <row r="774" spans="1:18" ht="15.6" x14ac:dyDescent="0.3">
      <c r="A774" s="386"/>
      <c r="B774" s="386"/>
      <c r="C774" s="48">
        <v>-7985</v>
      </c>
      <c r="D774" s="386"/>
      <c r="E774" s="386"/>
      <c r="F774" s="389"/>
      <c r="G774" s="389"/>
      <c r="H774" s="389"/>
      <c r="I774" s="386"/>
      <c r="J774" s="386"/>
      <c r="K774" s="386"/>
      <c r="L774" s="389"/>
      <c r="M774" s="356"/>
      <c r="N774" s="456"/>
      <c r="O774" s="389"/>
      <c r="P774" s="146"/>
      <c r="Q774" s="386"/>
      <c r="R774" s="1"/>
    </row>
    <row r="775" spans="1:18" ht="16.2" thickBot="1" x14ac:dyDescent="0.35">
      <c r="A775" s="387"/>
      <c r="B775" s="387"/>
      <c r="C775" s="44">
        <v>13952</v>
      </c>
      <c r="D775" s="387"/>
      <c r="E775" s="387"/>
      <c r="F775" s="390"/>
      <c r="G775" s="390"/>
      <c r="H775" s="390"/>
      <c r="I775" s="387"/>
      <c r="J775" s="387"/>
      <c r="K775" s="387"/>
      <c r="L775" s="390"/>
      <c r="M775" s="357"/>
      <c r="N775" s="457"/>
      <c r="O775" s="390"/>
      <c r="P775" s="147"/>
      <c r="Q775" s="387"/>
      <c r="R775" s="1"/>
    </row>
    <row r="776" spans="1:18" ht="15.6" x14ac:dyDescent="0.3">
      <c r="A776" s="385">
        <v>550</v>
      </c>
      <c r="B776" s="385" t="s">
        <v>388</v>
      </c>
      <c r="C776" s="43">
        <v>17120</v>
      </c>
      <c r="D776" s="385">
        <v>1</v>
      </c>
      <c r="E776" s="385" t="s">
        <v>58</v>
      </c>
      <c r="F776" s="388">
        <v>1450</v>
      </c>
      <c r="G776" s="388">
        <v>1200</v>
      </c>
      <c r="H776" s="388" t="s">
        <v>12</v>
      </c>
      <c r="I776" s="385">
        <v>150</v>
      </c>
      <c r="J776" s="385" t="s">
        <v>45</v>
      </c>
      <c r="K776" s="385">
        <v>50</v>
      </c>
      <c r="L776" s="388">
        <v>21</v>
      </c>
      <c r="M776" s="355" t="s">
        <v>14</v>
      </c>
      <c r="N776" s="455" t="s">
        <v>386</v>
      </c>
      <c r="O776" s="388" t="s">
        <v>27</v>
      </c>
      <c r="P776" s="145"/>
      <c r="Q776" s="385" t="s">
        <v>390</v>
      </c>
      <c r="R776" s="1"/>
    </row>
    <row r="777" spans="1:18" ht="15.6" x14ac:dyDescent="0.3">
      <c r="A777" s="386"/>
      <c r="B777" s="386"/>
      <c r="C777" s="48">
        <v>-7390</v>
      </c>
      <c r="D777" s="386"/>
      <c r="E777" s="386"/>
      <c r="F777" s="389"/>
      <c r="G777" s="389"/>
      <c r="H777" s="389"/>
      <c r="I777" s="386"/>
      <c r="J777" s="386"/>
      <c r="K777" s="386"/>
      <c r="L777" s="389"/>
      <c r="M777" s="356"/>
      <c r="N777" s="456"/>
      <c r="O777" s="389"/>
      <c r="P777" s="146"/>
      <c r="Q777" s="386"/>
      <c r="R777" s="1"/>
    </row>
    <row r="778" spans="1:18" ht="16.2" thickBot="1" x14ac:dyDescent="0.35">
      <c r="A778" s="387"/>
      <c r="B778" s="387"/>
      <c r="C778" s="44">
        <v>13952</v>
      </c>
      <c r="D778" s="387"/>
      <c r="E778" s="387"/>
      <c r="F778" s="390"/>
      <c r="G778" s="390"/>
      <c r="H778" s="390"/>
      <c r="I778" s="387"/>
      <c r="J778" s="387"/>
      <c r="K778" s="387"/>
      <c r="L778" s="390"/>
      <c r="M778" s="357"/>
      <c r="N778" s="457"/>
      <c r="O778" s="390"/>
      <c r="P778" s="147"/>
      <c r="Q778" s="387"/>
      <c r="R778" s="1"/>
    </row>
    <row r="779" spans="1:18" ht="15.6" x14ac:dyDescent="0.3">
      <c r="A779" s="385">
        <v>562</v>
      </c>
      <c r="B779" s="385" t="s">
        <v>393</v>
      </c>
      <c r="C779" s="43">
        <v>19989</v>
      </c>
      <c r="D779" s="385">
        <v>1</v>
      </c>
      <c r="E779" s="385" t="s">
        <v>58</v>
      </c>
      <c r="F779" s="388">
        <v>1450</v>
      </c>
      <c r="G779" s="388">
        <v>1200</v>
      </c>
      <c r="H779" s="385" t="s">
        <v>12</v>
      </c>
      <c r="I779" s="385">
        <v>150</v>
      </c>
      <c r="J779" s="385" t="s">
        <v>45</v>
      </c>
      <c r="K779" s="385">
        <v>50</v>
      </c>
      <c r="L779" s="388">
        <v>21</v>
      </c>
      <c r="M779" s="355" t="s">
        <v>14</v>
      </c>
      <c r="N779" s="455" t="s">
        <v>391</v>
      </c>
      <c r="O779" s="388" t="s">
        <v>27</v>
      </c>
      <c r="P779" s="145"/>
      <c r="Q779" s="385" t="s">
        <v>390</v>
      </c>
      <c r="R779" s="1"/>
    </row>
    <row r="780" spans="1:18" ht="15.6" x14ac:dyDescent="0.3">
      <c r="A780" s="386"/>
      <c r="B780" s="386"/>
      <c r="C780" s="48">
        <v>1984</v>
      </c>
      <c r="D780" s="386"/>
      <c r="E780" s="386"/>
      <c r="F780" s="389"/>
      <c r="G780" s="389"/>
      <c r="H780" s="386"/>
      <c r="I780" s="386"/>
      <c r="J780" s="386"/>
      <c r="K780" s="386"/>
      <c r="L780" s="389"/>
      <c r="M780" s="356"/>
      <c r="N780" s="456"/>
      <c r="O780" s="389"/>
      <c r="P780" s="146"/>
      <c r="Q780" s="386"/>
      <c r="R780" s="1"/>
    </row>
    <row r="781" spans="1:18" ht="16.2" thickBot="1" x14ac:dyDescent="0.35">
      <c r="A781" s="387"/>
      <c r="B781" s="387"/>
      <c r="C781" s="44">
        <v>13952</v>
      </c>
      <c r="D781" s="387"/>
      <c r="E781" s="387"/>
      <c r="F781" s="390"/>
      <c r="G781" s="390"/>
      <c r="H781" s="387"/>
      <c r="I781" s="387"/>
      <c r="J781" s="387"/>
      <c r="K781" s="387"/>
      <c r="L781" s="390"/>
      <c r="M781" s="357"/>
      <c r="N781" s="457"/>
      <c r="O781" s="390"/>
      <c r="P781" s="147"/>
      <c r="Q781" s="387"/>
      <c r="R781" s="1"/>
    </row>
    <row r="782" spans="1:18" ht="15.6" x14ac:dyDescent="0.3">
      <c r="A782" s="385">
        <v>563</v>
      </c>
      <c r="B782" s="385" t="s">
        <v>394</v>
      </c>
      <c r="C782" s="43">
        <v>20485</v>
      </c>
      <c r="D782" s="385">
        <v>1</v>
      </c>
      <c r="E782" s="385" t="s">
        <v>63</v>
      </c>
      <c r="F782" s="388">
        <v>1450</v>
      </c>
      <c r="G782" s="388">
        <v>1200</v>
      </c>
      <c r="H782" s="385" t="s">
        <v>61</v>
      </c>
      <c r="I782" s="385">
        <v>150</v>
      </c>
      <c r="J782" s="385" t="s">
        <v>45</v>
      </c>
      <c r="K782" s="385">
        <v>50</v>
      </c>
      <c r="L782" s="388">
        <v>19.5</v>
      </c>
      <c r="M782" s="355" t="s">
        <v>14</v>
      </c>
      <c r="N782" s="455" t="s">
        <v>391</v>
      </c>
      <c r="O782" s="388" t="s">
        <v>27</v>
      </c>
      <c r="P782" s="145"/>
      <c r="Q782" s="388" t="s">
        <v>254</v>
      </c>
      <c r="R782" s="1"/>
    </row>
    <row r="783" spans="1:18" ht="15.6" x14ac:dyDescent="0.3">
      <c r="A783" s="386"/>
      <c r="B783" s="386"/>
      <c r="C783" s="48">
        <v>1923</v>
      </c>
      <c r="D783" s="386"/>
      <c r="E783" s="386"/>
      <c r="F783" s="389"/>
      <c r="G783" s="389"/>
      <c r="H783" s="386"/>
      <c r="I783" s="386"/>
      <c r="J783" s="386"/>
      <c r="K783" s="386"/>
      <c r="L783" s="389"/>
      <c r="M783" s="356"/>
      <c r="N783" s="456"/>
      <c r="O783" s="389"/>
      <c r="P783" s="146"/>
      <c r="Q783" s="389"/>
      <c r="R783" s="1"/>
    </row>
    <row r="784" spans="1:18" ht="16.2" thickBot="1" x14ac:dyDescent="0.35">
      <c r="A784" s="387"/>
      <c r="B784" s="387"/>
      <c r="C784" s="44">
        <v>13952</v>
      </c>
      <c r="D784" s="387"/>
      <c r="E784" s="387"/>
      <c r="F784" s="390"/>
      <c r="G784" s="390"/>
      <c r="H784" s="387"/>
      <c r="I784" s="387"/>
      <c r="J784" s="387"/>
      <c r="K784" s="387"/>
      <c r="L784" s="390"/>
      <c r="M784" s="357"/>
      <c r="N784" s="457"/>
      <c r="O784" s="390"/>
      <c r="P784" s="147"/>
      <c r="Q784" s="390"/>
      <c r="R784" s="1"/>
    </row>
    <row r="785" spans="1:18" ht="15.6" x14ac:dyDescent="0.3">
      <c r="A785" s="385">
        <v>564</v>
      </c>
      <c r="B785" s="385" t="s">
        <v>394</v>
      </c>
      <c r="C785" s="43">
        <v>18995</v>
      </c>
      <c r="D785" s="385">
        <v>1</v>
      </c>
      <c r="E785" s="385" t="s">
        <v>63</v>
      </c>
      <c r="F785" s="388">
        <v>1450</v>
      </c>
      <c r="G785" s="388">
        <v>1200</v>
      </c>
      <c r="H785" s="385" t="s">
        <v>61</v>
      </c>
      <c r="I785" s="385">
        <v>150</v>
      </c>
      <c r="J785" s="385" t="s">
        <v>45</v>
      </c>
      <c r="K785" s="385">
        <v>50</v>
      </c>
      <c r="L785" s="388">
        <v>19.5</v>
      </c>
      <c r="M785" s="355" t="s">
        <v>14</v>
      </c>
      <c r="N785" s="455" t="s">
        <v>391</v>
      </c>
      <c r="O785" s="388" t="s">
        <v>27</v>
      </c>
      <c r="P785" s="145"/>
      <c r="Q785" s="388" t="s">
        <v>254</v>
      </c>
      <c r="R785" s="1"/>
    </row>
    <row r="786" spans="1:18" ht="15.6" x14ac:dyDescent="0.3">
      <c r="A786" s="386"/>
      <c r="B786" s="386"/>
      <c r="C786" s="48">
        <v>3740</v>
      </c>
      <c r="D786" s="386"/>
      <c r="E786" s="386"/>
      <c r="F786" s="389"/>
      <c r="G786" s="389"/>
      <c r="H786" s="386"/>
      <c r="I786" s="386"/>
      <c r="J786" s="386"/>
      <c r="K786" s="386"/>
      <c r="L786" s="389"/>
      <c r="M786" s="356"/>
      <c r="N786" s="456"/>
      <c r="O786" s="389"/>
      <c r="P786" s="146"/>
      <c r="Q786" s="389"/>
      <c r="R786" s="1"/>
    </row>
    <row r="787" spans="1:18" ht="16.2" thickBot="1" x14ac:dyDescent="0.35">
      <c r="A787" s="387"/>
      <c r="B787" s="387"/>
      <c r="C787" s="44">
        <v>13952</v>
      </c>
      <c r="D787" s="387"/>
      <c r="E787" s="387"/>
      <c r="F787" s="390"/>
      <c r="G787" s="390"/>
      <c r="H787" s="387"/>
      <c r="I787" s="387"/>
      <c r="J787" s="387"/>
      <c r="K787" s="387"/>
      <c r="L787" s="390"/>
      <c r="M787" s="357"/>
      <c r="N787" s="457"/>
      <c r="O787" s="390"/>
      <c r="P787" s="147"/>
      <c r="Q787" s="390"/>
      <c r="R787" s="1"/>
    </row>
    <row r="788" spans="1:18" ht="15.6" x14ac:dyDescent="0.3">
      <c r="A788" s="373">
        <v>565</v>
      </c>
      <c r="B788" s="373" t="s">
        <v>395</v>
      </c>
      <c r="C788" s="49">
        <v>20650</v>
      </c>
      <c r="D788" s="373">
        <v>1</v>
      </c>
      <c r="E788" s="373" t="s">
        <v>204</v>
      </c>
      <c r="F788" s="373">
        <v>1450</v>
      </c>
      <c r="G788" s="373">
        <v>1200</v>
      </c>
      <c r="H788" s="373" t="s">
        <v>25</v>
      </c>
      <c r="I788" s="373">
        <v>90</v>
      </c>
      <c r="J788" s="376" t="s">
        <v>45</v>
      </c>
      <c r="K788" s="373">
        <v>30</v>
      </c>
      <c r="L788" s="373">
        <v>15</v>
      </c>
      <c r="M788" s="379" t="s">
        <v>14</v>
      </c>
      <c r="N788" s="408" t="s">
        <v>391</v>
      </c>
      <c r="O788" s="373" t="s">
        <v>27</v>
      </c>
      <c r="P788" s="156"/>
      <c r="Q788" s="373" t="s">
        <v>396</v>
      </c>
      <c r="R788" s="1"/>
    </row>
    <row r="789" spans="1:18" ht="15.6" x14ac:dyDescent="0.3">
      <c r="A789" s="374"/>
      <c r="B789" s="374"/>
      <c r="C789" s="51">
        <v>3450</v>
      </c>
      <c r="D789" s="374"/>
      <c r="E789" s="374"/>
      <c r="F789" s="374"/>
      <c r="G789" s="374"/>
      <c r="H789" s="374"/>
      <c r="I789" s="374"/>
      <c r="J789" s="377"/>
      <c r="K789" s="374"/>
      <c r="L789" s="374"/>
      <c r="M789" s="380"/>
      <c r="N789" s="409"/>
      <c r="O789" s="374"/>
      <c r="P789" s="157"/>
      <c r="Q789" s="374"/>
      <c r="R789" s="1"/>
    </row>
    <row r="790" spans="1:18" ht="16.2" thickBot="1" x14ac:dyDescent="0.35">
      <c r="A790" s="375"/>
      <c r="B790" s="375"/>
      <c r="C790" s="50">
        <v>13951</v>
      </c>
      <c r="D790" s="375"/>
      <c r="E790" s="375"/>
      <c r="F790" s="375"/>
      <c r="G790" s="375"/>
      <c r="H790" s="375"/>
      <c r="I790" s="375"/>
      <c r="J790" s="378"/>
      <c r="K790" s="375"/>
      <c r="L790" s="375"/>
      <c r="M790" s="381"/>
      <c r="N790" s="410"/>
      <c r="O790" s="375"/>
      <c r="P790" s="158"/>
      <c r="Q790" s="375"/>
      <c r="R790" s="1"/>
    </row>
    <row r="791" spans="1:18" ht="15.6" x14ac:dyDescent="0.3">
      <c r="A791" s="373">
        <v>566</v>
      </c>
      <c r="B791" s="373" t="s">
        <v>288</v>
      </c>
      <c r="C791" s="49">
        <v>19495</v>
      </c>
      <c r="D791" s="373">
        <v>1</v>
      </c>
      <c r="E791" s="373" t="s">
        <v>204</v>
      </c>
      <c r="F791" s="373">
        <v>1450</v>
      </c>
      <c r="G791" s="373">
        <v>1200</v>
      </c>
      <c r="H791" s="373" t="s">
        <v>19</v>
      </c>
      <c r="I791" s="373">
        <v>300</v>
      </c>
      <c r="J791" s="376" t="s">
        <v>45</v>
      </c>
      <c r="K791" s="373">
        <v>80</v>
      </c>
      <c r="L791" s="373">
        <v>-6</v>
      </c>
      <c r="M791" s="379" t="s">
        <v>14</v>
      </c>
      <c r="N791" s="408" t="s">
        <v>391</v>
      </c>
      <c r="O791" s="373" t="s">
        <v>27</v>
      </c>
      <c r="P791" s="156"/>
      <c r="Q791" s="373" t="s">
        <v>243</v>
      </c>
      <c r="R791" s="1"/>
    </row>
    <row r="792" spans="1:18" ht="15.6" x14ac:dyDescent="0.3">
      <c r="A792" s="374"/>
      <c r="B792" s="374"/>
      <c r="C792" s="51">
        <v>3740</v>
      </c>
      <c r="D792" s="374"/>
      <c r="E792" s="374"/>
      <c r="F792" s="374"/>
      <c r="G792" s="374"/>
      <c r="H792" s="374"/>
      <c r="I792" s="374"/>
      <c r="J792" s="377"/>
      <c r="K792" s="374"/>
      <c r="L792" s="374"/>
      <c r="M792" s="380"/>
      <c r="N792" s="409"/>
      <c r="O792" s="374"/>
      <c r="P792" s="157"/>
      <c r="Q792" s="374"/>
      <c r="R792" s="1"/>
    </row>
    <row r="793" spans="1:18" ht="16.2" thickBot="1" x14ac:dyDescent="0.35">
      <c r="A793" s="375"/>
      <c r="B793" s="375"/>
      <c r="C793" s="50">
        <v>13951</v>
      </c>
      <c r="D793" s="375"/>
      <c r="E793" s="375"/>
      <c r="F793" s="375"/>
      <c r="G793" s="375"/>
      <c r="H793" s="375"/>
      <c r="I793" s="375"/>
      <c r="J793" s="378"/>
      <c r="K793" s="375"/>
      <c r="L793" s="375"/>
      <c r="M793" s="381"/>
      <c r="N793" s="410"/>
      <c r="O793" s="375"/>
      <c r="P793" s="158"/>
      <c r="Q793" s="375"/>
      <c r="R793" s="1"/>
    </row>
    <row r="794" spans="1:18" ht="15.6" x14ac:dyDescent="0.3">
      <c r="A794" s="385">
        <v>567</v>
      </c>
      <c r="B794" s="385" t="s">
        <v>48</v>
      </c>
      <c r="C794" s="43">
        <v>20100</v>
      </c>
      <c r="D794" s="385">
        <v>1</v>
      </c>
      <c r="E794" s="385" t="s">
        <v>282</v>
      </c>
      <c r="F794" s="388">
        <v>1450</v>
      </c>
      <c r="G794" s="388">
        <v>1200</v>
      </c>
      <c r="H794" s="388" t="s">
        <v>44</v>
      </c>
      <c r="I794" s="385">
        <v>150</v>
      </c>
      <c r="J794" s="385" t="s">
        <v>45</v>
      </c>
      <c r="K794" s="385">
        <v>50</v>
      </c>
      <c r="L794" s="388">
        <v>-5.5</v>
      </c>
      <c r="M794" s="355" t="s">
        <v>14</v>
      </c>
      <c r="N794" s="455" t="s">
        <v>391</v>
      </c>
      <c r="O794" s="388" t="s">
        <v>27</v>
      </c>
      <c r="P794" s="145"/>
      <c r="Q794" s="388" t="s">
        <v>243</v>
      </c>
      <c r="R794" s="1"/>
    </row>
    <row r="795" spans="1:18" ht="15.6" x14ac:dyDescent="0.3">
      <c r="A795" s="386"/>
      <c r="B795" s="386"/>
      <c r="C795" s="48">
        <v>6280</v>
      </c>
      <c r="D795" s="386"/>
      <c r="E795" s="386"/>
      <c r="F795" s="389"/>
      <c r="G795" s="389"/>
      <c r="H795" s="389"/>
      <c r="I795" s="386"/>
      <c r="J795" s="386"/>
      <c r="K795" s="386"/>
      <c r="L795" s="389"/>
      <c r="M795" s="356"/>
      <c r="N795" s="456"/>
      <c r="O795" s="389"/>
      <c r="P795" s="146"/>
      <c r="Q795" s="389"/>
      <c r="R795" s="1"/>
    </row>
    <row r="796" spans="1:18" ht="16.2" thickBot="1" x14ac:dyDescent="0.35">
      <c r="A796" s="387"/>
      <c r="B796" s="387"/>
      <c r="C796" s="44">
        <v>13952</v>
      </c>
      <c r="D796" s="387"/>
      <c r="E796" s="387"/>
      <c r="F796" s="390"/>
      <c r="G796" s="390"/>
      <c r="H796" s="390"/>
      <c r="I796" s="387"/>
      <c r="J796" s="387"/>
      <c r="K796" s="387"/>
      <c r="L796" s="390"/>
      <c r="M796" s="357"/>
      <c r="N796" s="457"/>
      <c r="O796" s="390"/>
      <c r="P796" s="147"/>
      <c r="Q796" s="390"/>
      <c r="R796" s="1"/>
    </row>
    <row r="797" spans="1:18" x14ac:dyDescent="0.3">
      <c r="A797" s="388">
        <v>579</v>
      </c>
      <c r="B797" s="437" t="s">
        <v>174</v>
      </c>
      <c r="C797" s="97">
        <v>3196</v>
      </c>
      <c r="D797" s="455">
        <v>0</v>
      </c>
      <c r="E797" s="437" t="s">
        <v>13</v>
      </c>
      <c r="F797" s="437">
        <v>1450</v>
      </c>
      <c r="G797" s="437">
        <v>1200</v>
      </c>
      <c r="H797" s="437" t="s">
        <v>50</v>
      </c>
      <c r="I797" s="437" t="s">
        <v>13</v>
      </c>
      <c r="J797" s="437" t="s">
        <v>13</v>
      </c>
      <c r="K797" s="437" t="s">
        <v>13</v>
      </c>
      <c r="L797" s="437" t="s">
        <v>13</v>
      </c>
      <c r="M797" s="437" t="s">
        <v>14</v>
      </c>
      <c r="N797" s="437" t="s">
        <v>383</v>
      </c>
      <c r="O797" s="437" t="s">
        <v>27</v>
      </c>
      <c r="P797" s="152"/>
      <c r="Q797" s="437" t="s">
        <v>176</v>
      </c>
      <c r="R797" s="1"/>
    </row>
    <row r="798" spans="1:18" x14ac:dyDescent="0.3">
      <c r="A798" s="389"/>
      <c r="B798" s="438"/>
      <c r="C798" s="98">
        <v>19060</v>
      </c>
      <c r="D798" s="456"/>
      <c r="E798" s="438"/>
      <c r="F798" s="438"/>
      <c r="G798" s="438"/>
      <c r="H798" s="438"/>
      <c r="I798" s="438"/>
      <c r="J798" s="438"/>
      <c r="K798" s="438"/>
      <c r="L798" s="438"/>
      <c r="M798" s="438"/>
      <c r="N798" s="438"/>
      <c r="O798" s="438"/>
      <c r="P798" s="153"/>
      <c r="Q798" s="438"/>
      <c r="R798" s="1"/>
    </row>
    <row r="799" spans="1:18" ht="15" thickBot="1" x14ac:dyDescent="0.35">
      <c r="A799" s="390"/>
      <c r="B799" s="439"/>
      <c r="C799" s="99">
        <v>13952</v>
      </c>
      <c r="D799" s="457"/>
      <c r="E799" s="439"/>
      <c r="F799" s="439"/>
      <c r="G799" s="439"/>
      <c r="H799" s="439"/>
      <c r="I799" s="439"/>
      <c r="J799" s="439"/>
      <c r="K799" s="439"/>
      <c r="L799" s="439"/>
      <c r="M799" s="439"/>
      <c r="N799" s="439"/>
      <c r="O799" s="439"/>
      <c r="P799" s="155"/>
      <c r="Q799" s="439"/>
      <c r="R799" s="1"/>
    </row>
    <row r="800" spans="1:18" x14ac:dyDescent="0.3">
      <c r="A800" s="388">
        <v>580</v>
      </c>
      <c r="B800" s="437" t="s">
        <v>370</v>
      </c>
      <c r="C800" s="97">
        <v>4258</v>
      </c>
      <c r="D800" s="437">
        <v>1</v>
      </c>
      <c r="E800" s="437" t="s">
        <v>204</v>
      </c>
      <c r="F800" s="437">
        <v>1450</v>
      </c>
      <c r="G800" s="437">
        <v>1200</v>
      </c>
      <c r="H800" s="437" t="s">
        <v>55</v>
      </c>
      <c r="I800" s="437">
        <v>90</v>
      </c>
      <c r="J800" s="455" t="s">
        <v>45</v>
      </c>
      <c r="K800" s="437">
        <v>30</v>
      </c>
      <c r="L800" s="437">
        <v>71</v>
      </c>
      <c r="M800" s="437" t="s">
        <v>14</v>
      </c>
      <c r="N800" s="437" t="s">
        <v>383</v>
      </c>
      <c r="O800" s="437" t="s">
        <v>27</v>
      </c>
      <c r="P800" s="152"/>
      <c r="Q800" s="455" t="s">
        <v>398</v>
      </c>
      <c r="R800" s="1"/>
    </row>
    <row r="801" spans="1:18" x14ac:dyDescent="0.3">
      <c r="A801" s="389"/>
      <c r="B801" s="438"/>
      <c r="C801" s="98">
        <v>19914</v>
      </c>
      <c r="D801" s="438"/>
      <c r="E801" s="438"/>
      <c r="F801" s="438"/>
      <c r="G801" s="438"/>
      <c r="H801" s="438"/>
      <c r="I801" s="438"/>
      <c r="J801" s="456"/>
      <c r="K801" s="438"/>
      <c r="L801" s="438"/>
      <c r="M801" s="438"/>
      <c r="N801" s="438"/>
      <c r="O801" s="438"/>
      <c r="P801" s="153"/>
      <c r="Q801" s="456"/>
      <c r="R801" s="1"/>
    </row>
    <row r="802" spans="1:18" ht="15" thickBot="1" x14ac:dyDescent="0.35">
      <c r="A802" s="390"/>
      <c r="B802" s="439"/>
      <c r="C802" s="99">
        <v>13952</v>
      </c>
      <c r="D802" s="439"/>
      <c r="E802" s="439"/>
      <c r="F802" s="439"/>
      <c r="G802" s="439"/>
      <c r="H802" s="439"/>
      <c r="I802" s="439"/>
      <c r="J802" s="457"/>
      <c r="K802" s="439"/>
      <c r="L802" s="439"/>
      <c r="M802" s="439"/>
      <c r="N802" s="439"/>
      <c r="O802" s="439"/>
      <c r="P802" s="155"/>
      <c r="Q802" s="457"/>
      <c r="R802" s="1"/>
    </row>
    <row r="803" spans="1:18" ht="15.6" x14ac:dyDescent="0.3">
      <c r="A803" s="385">
        <v>581</v>
      </c>
      <c r="B803" s="385" t="s">
        <v>179</v>
      </c>
      <c r="C803" s="43">
        <v>4709</v>
      </c>
      <c r="D803" s="385">
        <v>2</v>
      </c>
      <c r="E803" s="385" t="s">
        <v>66</v>
      </c>
      <c r="F803" s="388">
        <v>1450</v>
      </c>
      <c r="G803" s="388">
        <v>1200</v>
      </c>
      <c r="H803" s="385" t="s">
        <v>55</v>
      </c>
      <c r="I803" s="385">
        <v>60</v>
      </c>
      <c r="J803" s="385" t="s">
        <v>399</v>
      </c>
      <c r="K803" s="388" t="s">
        <v>193</v>
      </c>
      <c r="L803" s="388" t="s">
        <v>13</v>
      </c>
      <c r="M803" s="355" t="s">
        <v>14</v>
      </c>
      <c r="N803" s="455" t="s">
        <v>383</v>
      </c>
      <c r="O803" s="388" t="s">
        <v>27</v>
      </c>
      <c r="P803" s="145"/>
      <c r="Q803" s="385" t="s">
        <v>400</v>
      </c>
      <c r="R803" s="1"/>
    </row>
    <row r="804" spans="1:18" ht="16.2" thickBot="1" x14ac:dyDescent="0.35">
      <c r="A804" s="386"/>
      <c r="B804" s="387"/>
      <c r="C804" s="48">
        <v>19837</v>
      </c>
      <c r="D804" s="386"/>
      <c r="E804" s="387"/>
      <c r="F804" s="389"/>
      <c r="G804" s="389"/>
      <c r="H804" s="386"/>
      <c r="I804" s="387"/>
      <c r="J804" s="387"/>
      <c r="K804" s="389"/>
      <c r="L804" s="389"/>
      <c r="M804" s="356"/>
      <c r="N804" s="456"/>
      <c r="O804" s="389"/>
      <c r="P804" s="146"/>
      <c r="Q804" s="386"/>
      <c r="R804" s="1"/>
    </row>
    <row r="805" spans="1:18" ht="16.2" thickBot="1" x14ac:dyDescent="0.35">
      <c r="A805" s="387"/>
      <c r="B805" s="44" t="s">
        <v>179</v>
      </c>
      <c r="C805" s="44">
        <v>13952</v>
      </c>
      <c r="D805" s="387"/>
      <c r="E805" s="44" t="s">
        <v>161</v>
      </c>
      <c r="F805" s="390"/>
      <c r="G805" s="390"/>
      <c r="H805" s="387"/>
      <c r="I805" s="44">
        <v>60</v>
      </c>
      <c r="J805" s="44">
        <f>-0.49/0.1</f>
        <v>-4.8999999999999995</v>
      </c>
      <c r="K805" s="390"/>
      <c r="L805" s="390"/>
      <c r="M805" s="357"/>
      <c r="N805" s="457"/>
      <c r="O805" s="390"/>
      <c r="P805" s="147"/>
      <c r="Q805" s="387"/>
      <c r="R805" s="1"/>
    </row>
    <row r="806" spans="1:18" ht="15" thickBot="1" x14ac:dyDescent="0.35">
      <c r="A806" s="402">
        <v>582</v>
      </c>
      <c r="B806" s="100" t="s">
        <v>274</v>
      </c>
      <c r="C806" s="101">
        <v>280</v>
      </c>
      <c r="D806" s="402">
        <v>5</v>
      </c>
      <c r="E806" s="100" t="s">
        <v>168</v>
      </c>
      <c r="F806" s="408">
        <v>1450</v>
      </c>
      <c r="G806" s="408">
        <v>1200</v>
      </c>
      <c r="H806" s="402" t="s">
        <v>50</v>
      </c>
      <c r="I806" s="100">
        <v>40</v>
      </c>
      <c r="J806" s="100" t="s">
        <v>401</v>
      </c>
      <c r="K806" s="402" t="s">
        <v>193</v>
      </c>
      <c r="L806" s="408" t="s">
        <v>13</v>
      </c>
      <c r="M806" s="408" t="s">
        <v>14</v>
      </c>
      <c r="N806" s="402" t="s">
        <v>402</v>
      </c>
      <c r="O806" s="408" t="s">
        <v>27</v>
      </c>
      <c r="P806" s="159"/>
      <c r="Q806" s="402" t="s">
        <v>219</v>
      </c>
      <c r="R806" s="1"/>
    </row>
    <row r="807" spans="1:18" ht="15" thickBot="1" x14ac:dyDescent="0.35">
      <c r="A807" s="403"/>
      <c r="B807" s="100" t="s">
        <v>274</v>
      </c>
      <c r="C807" s="101">
        <v>20420</v>
      </c>
      <c r="D807" s="403"/>
      <c r="E807" s="100" t="s">
        <v>168</v>
      </c>
      <c r="F807" s="409"/>
      <c r="G807" s="409"/>
      <c r="H807" s="403"/>
      <c r="I807" s="100">
        <v>40</v>
      </c>
      <c r="J807" s="100" t="s">
        <v>403</v>
      </c>
      <c r="K807" s="403"/>
      <c r="L807" s="409"/>
      <c r="M807" s="409"/>
      <c r="N807" s="403"/>
      <c r="O807" s="409"/>
      <c r="P807" s="160"/>
      <c r="Q807" s="403"/>
      <c r="R807" s="1"/>
    </row>
    <row r="808" spans="1:18" ht="28.2" thickBot="1" x14ac:dyDescent="0.35">
      <c r="A808" s="403"/>
      <c r="B808" s="100" t="s">
        <v>327</v>
      </c>
      <c r="C808" s="101">
        <v>13952</v>
      </c>
      <c r="D808" s="403"/>
      <c r="E808" s="100" t="s">
        <v>168</v>
      </c>
      <c r="F808" s="409"/>
      <c r="G808" s="409"/>
      <c r="H808" s="403"/>
      <c r="I808" s="100">
        <v>50</v>
      </c>
      <c r="J808" s="100" t="s">
        <v>404</v>
      </c>
      <c r="K808" s="403"/>
      <c r="L808" s="409"/>
      <c r="M808" s="409"/>
      <c r="N808" s="403"/>
      <c r="O808" s="409"/>
      <c r="P808" s="160"/>
      <c r="Q808" s="403"/>
      <c r="R808" s="1"/>
    </row>
    <row r="809" spans="1:18" ht="28.2" thickBot="1" x14ac:dyDescent="0.35">
      <c r="A809" s="403"/>
      <c r="B809" s="100" t="s">
        <v>327</v>
      </c>
      <c r="C809" s="102"/>
      <c r="D809" s="403"/>
      <c r="E809" s="100" t="s">
        <v>168</v>
      </c>
      <c r="F809" s="409"/>
      <c r="G809" s="409"/>
      <c r="H809" s="403"/>
      <c r="I809" s="100">
        <v>50</v>
      </c>
      <c r="J809" s="100" t="s">
        <v>404</v>
      </c>
      <c r="K809" s="403"/>
      <c r="L809" s="409"/>
      <c r="M809" s="409"/>
      <c r="N809" s="403"/>
      <c r="O809" s="409"/>
      <c r="P809" s="160"/>
      <c r="Q809" s="403"/>
      <c r="R809" s="1"/>
    </row>
    <row r="810" spans="1:18" ht="28.2" thickBot="1" x14ac:dyDescent="0.35">
      <c r="A810" s="404"/>
      <c r="B810" s="100" t="s">
        <v>327</v>
      </c>
      <c r="C810" s="103"/>
      <c r="D810" s="404"/>
      <c r="E810" s="100" t="s">
        <v>168</v>
      </c>
      <c r="F810" s="410"/>
      <c r="G810" s="410"/>
      <c r="H810" s="404"/>
      <c r="I810" s="100">
        <v>50</v>
      </c>
      <c r="J810" s="100" t="s">
        <v>404</v>
      </c>
      <c r="K810" s="404"/>
      <c r="L810" s="410"/>
      <c r="M810" s="410"/>
      <c r="N810" s="404"/>
      <c r="O810" s="410"/>
      <c r="P810" s="161"/>
      <c r="Q810" s="404"/>
      <c r="R810" s="1"/>
    </row>
    <row r="811" spans="1:18" ht="15" thickBot="1" x14ac:dyDescent="0.35">
      <c r="A811" s="402">
        <v>583</v>
      </c>
      <c r="B811" s="100" t="s">
        <v>274</v>
      </c>
      <c r="C811" s="101">
        <v>5</v>
      </c>
      <c r="D811" s="402">
        <v>3</v>
      </c>
      <c r="E811" s="100" t="s">
        <v>168</v>
      </c>
      <c r="F811" s="408">
        <v>1450</v>
      </c>
      <c r="G811" s="408">
        <v>1200</v>
      </c>
      <c r="H811" s="100" t="s">
        <v>50</v>
      </c>
      <c r="I811" s="100">
        <v>350</v>
      </c>
      <c r="J811" s="100" t="s">
        <v>45</v>
      </c>
      <c r="K811" s="402" t="s">
        <v>275</v>
      </c>
      <c r="L811" s="408" t="s">
        <v>13</v>
      </c>
      <c r="M811" s="408" t="s">
        <v>14</v>
      </c>
      <c r="N811" s="402" t="s">
        <v>402</v>
      </c>
      <c r="O811" s="408" t="s">
        <v>27</v>
      </c>
      <c r="P811" s="159"/>
      <c r="Q811" s="402" t="s">
        <v>243</v>
      </c>
      <c r="R811" s="1"/>
    </row>
    <row r="812" spans="1:18" ht="15" thickBot="1" x14ac:dyDescent="0.35">
      <c r="A812" s="403"/>
      <c r="B812" s="100" t="s">
        <v>327</v>
      </c>
      <c r="C812" s="104">
        <v>20420</v>
      </c>
      <c r="D812" s="403"/>
      <c r="E812" s="100" t="s">
        <v>168</v>
      </c>
      <c r="F812" s="409"/>
      <c r="G812" s="409"/>
      <c r="H812" s="100"/>
      <c r="I812" s="100">
        <v>50</v>
      </c>
      <c r="J812" s="100" t="s">
        <v>405</v>
      </c>
      <c r="K812" s="403"/>
      <c r="L812" s="409"/>
      <c r="M812" s="409"/>
      <c r="N812" s="403"/>
      <c r="O812" s="409"/>
      <c r="P812" s="160"/>
      <c r="Q812" s="403"/>
      <c r="R812" s="1"/>
    </row>
    <row r="813" spans="1:18" ht="15" thickBot="1" x14ac:dyDescent="0.35">
      <c r="A813" s="404"/>
      <c r="B813" s="100" t="s">
        <v>327</v>
      </c>
      <c r="C813" s="100">
        <v>13952</v>
      </c>
      <c r="D813" s="404"/>
      <c r="E813" s="100" t="s">
        <v>168</v>
      </c>
      <c r="F813" s="410"/>
      <c r="G813" s="410"/>
      <c r="H813" s="100"/>
      <c r="I813" s="100">
        <v>50</v>
      </c>
      <c r="J813" s="100" t="s">
        <v>405</v>
      </c>
      <c r="K813" s="404"/>
      <c r="L813" s="410"/>
      <c r="M813" s="410"/>
      <c r="N813" s="404"/>
      <c r="O813" s="410"/>
      <c r="P813" s="161"/>
      <c r="Q813" s="404"/>
      <c r="R813" s="1"/>
    </row>
    <row r="814" spans="1:18" ht="16.2" thickBot="1" x14ac:dyDescent="0.35">
      <c r="A814" s="352" t="s">
        <v>88</v>
      </c>
      <c r="B814" s="353"/>
      <c r="C814" s="353"/>
      <c r="D814" s="353"/>
      <c r="E814" s="353"/>
      <c r="F814" s="353"/>
      <c r="G814" s="353"/>
      <c r="H814" s="353"/>
      <c r="I814" s="353"/>
      <c r="J814" s="353"/>
      <c r="K814" s="353"/>
      <c r="L814" s="353"/>
      <c r="M814" s="353"/>
      <c r="N814" s="353"/>
      <c r="O814" s="353"/>
      <c r="P814" s="353"/>
      <c r="Q814" s="354"/>
      <c r="R814" s="1"/>
    </row>
    <row r="815" spans="1:18" ht="15.6" x14ac:dyDescent="0.3">
      <c r="A815" s="376">
        <v>584</v>
      </c>
      <c r="B815" s="376" t="s">
        <v>48</v>
      </c>
      <c r="C815" s="58">
        <v>2368</v>
      </c>
      <c r="D815" s="376">
        <v>1</v>
      </c>
      <c r="E815" s="376" t="s">
        <v>269</v>
      </c>
      <c r="F815" s="376">
        <v>1000</v>
      </c>
      <c r="G815" s="376">
        <v>1000</v>
      </c>
      <c r="H815" s="376" t="s">
        <v>96</v>
      </c>
      <c r="I815" s="376">
        <v>300</v>
      </c>
      <c r="J815" s="376" t="s">
        <v>45</v>
      </c>
      <c r="K815" s="376">
        <v>100</v>
      </c>
      <c r="L815" s="373">
        <v>103</v>
      </c>
      <c r="M815" s="379" t="s">
        <v>14</v>
      </c>
      <c r="N815" s="402" t="s">
        <v>89</v>
      </c>
      <c r="O815" s="373" t="s">
        <v>27</v>
      </c>
      <c r="P815" s="156"/>
      <c r="Q815" s="376" t="s">
        <v>406</v>
      </c>
      <c r="R815" s="1"/>
    </row>
    <row r="816" spans="1:18" ht="15.6" x14ac:dyDescent="0.3">
      <c r="A816" s="377"/>
      <c r="B816" s="377"/>
      <c r="C816" s="59">
        <v>18934</v>
      </c>
      <c r="D816" s="377"/>
      <c r="E816" s="377"/>
      <c r="F816" s="377"/>
      <c r="G816" s="377"/>
      <c r="H816" s="377"/>
      <c r="I816" s="377"/>
      <c r="J816" s="377"/>
      <c r="K816" s="377"/>
      <c r="L816" s="374"/>
      <c r="M816" s="380"/>
      <c r="N816" s="403"/>
      <c r="O816" s="374"/>
      <c r="P816" s="157"/>
      <c r="Q816" s="377"/>
      <c r="R816" s="1"/>
    </row>
    <row r="817" spans="1:18" ht="16.2" thickBot="1" x14ac:dyDescent="0.35">
      <c r="A817" s="378"/>
      <c r="B817" s="378"/>
      <c r="C817" s="57">
        <v>16300</v>
      </c>
      <c r="D817" s="378"/>
      <c r="E817" s="378"/>
      <c r="F817" s="378"/>
      <c r="G817" s="378"/>
      <c r="H817" s="378"/>
      <c r="I817" s="378"/>
      <c r="J817" s="378"/>
      <c r="K817" s="378"/>
      <c r="L817" s="375"/>
      <c r="M817" s="381"/>
      <c r="N817" s="404"/>
      <c r="O817" s="375"/>
      <c r="P817" s="158"/>
      <c r="Q817" s="378"/>
      <c r="R817" s="1"/>
    </row>
    <row r="818" spans="1:18" ht="15.6" x14ac:dyDescent="0.3">
      <c r="A818" s="388">
        <v>607</v>
      </c>
      <c r="B818" s="388" t="s">
        <v>48</v>
      </c>
      <c r="C818" s="45">
        <v>14057</v>
      </c>
      <c r="D818" s="388">
        <v>1</v>
      </c>
      <c r="E818" s="388" t="s">
        <v>269</v>
      </c>
      <c r="F818" s="385">
        <v>1000</v>
      </c>
      <c r="G818" s="388">
        <v>1000</v>
      </c>
      <c r="H818" s="388" t="s">
        <v>96</v>
      </c>
      <c r="I818" s="388">
        <v>300</v>
      </c>
      <c r="J818" s="385" t="s">
        <v>45</v>
      </c>
      <c r="K818" s="388">
        <v>100</v>
      </c>
      <c r="L818" s="388">
        <v>103</v>
      </c>
      <c r="M818" s="355" t="s">
        <v>14</v>
      </c>
      <c r="N818" s="437" t="s">
        <v>408</v>
      </c>
      <c r="O818" s="388" t="s">
        <v>27</v>
      </c>
      <c r="P818" s="145"/>
      <c r="Q818" s="385" t="s">
        <v>406</v>
      </c>
      <c r="R818" s="1"/>
    </row>
    <row r="819" spans="1:18" ht="15.6" x14ac:dyDescent="0.3">
      <c r="A819" s="389"/>
      <c r="B819" s="389"/>
      <c r="C819" s="46">
        <v>-12800</v>
      </c>
      <c r="D819" s="389"/>
      <c r="E819" s="389"/>
      <c r="F819" s="386"/>
      <c r="G819" s="389"/>
      <c r="H819" s="389"/>
      <c r="I819" s="389"/>
      <c r="J819" s="386"/>
      <c r="K819" s="389"/>
      <c r="L819" s="389"/>
      <c r="M819" s="356"/>
      <c r="N819" s="438"/>
      <c r="O819" s="389"/>
      <c r="P819" s="146"/>
      <c r="Q819" s="386"/>
      <c r="R819" s="1"/>
    </row>
    <row r="820" spans="1:18" ht="16.2" thickBot="1" x14ac:dyDescent="0.35">
      <c r="A820" s="390"/>
      <c r="B820" s="390"/>
      <c r="C820" s="47">
        <v>16300</v>
      </c>
      <c r="D820" s="390"/>
      <c r="E820" s="390"/>
      <c r="F820" s="387"/>
      <c r="G820" s="390"/>
      <c r="H820" s="390"/>
      <c r="I820" s="390"/>
      <c r="J820" s="387"/>
      <c r="K820" s="390"/>
      <c r="L820" s="390"/>
      <c r="M820" s="357"/>
      <c r="N820" s="439"/>
      <c r="O820" s="390"/>
      <c r="P820" s="147"/>
      <c r="Q820" s="387"/>
      <c r="R820" s="1"/>
    </row>
    <row r="821" spans="1:18" ht="15.6" x14ac:dyDescent="0.3">
      <c r="A821" s="373">
        <v>633</v>
      </c>
      <c r="B821" s="373" t="s">
        <v>324</v>
      </c>
      <c r="C821" s="49">
        <v>-14950</v>
      </c>
      <c r="D821" s="373">
        <v>1</v>
      </c>
      <c r="E821" s="373" t="s">
        <v>245</v>
      </c>
      <c r="F821" s="373">
        <v>500</v>
      </c>
      <c r="G821" s="373">
        <v>500</v>
      </c>
      <c r="H821" s="373" t="s">
        <v>44</v>
      </c>
      <c r="I821" s="373">
        <v>300</v>
      </c>
      <c r="J821" s="376" t="s">
        <v>45</v>
      </c>
      <c r="K821" s="373">
        <v>90</v>
      </c>
      <c r="L821" s="373">
        <v>20</v>
      </c>
      <c r="M821" s="379" t="s">
        <v>14</v>
      </c>
      <c r="N821" s="408" t="s">
        <v>415</v>
      </c>
      <c r="O821" s="373" t="s">
        <v>27</v>
      </c>
      <c r="P821" s="156"/>
      <c r="Q821" s="373" t="s">
        <v>325</v>
      </c>
      <c r="R821" s="1"/>
    </row>
    <row r="822" spans="1:18" ht="15.6" x14ac:dyDescent="0.3">
      <c r="A822" s="374"/>
      <c r="B822" s="374"/>
      <c r="C822" s="51">
        <v>-3250</v>
      </c>
      <c r="D822" s="374"/>
      <c r="E822" s="374"/>
      <c r="F822" s="374"/>
      <c r="G822" s="374"/>
      <c r="H822" s="374"/>
      <c r="I822" s="374"/>
      <c r="J822" s="377"/>
      <c r="K822" s="374"/>
      <c r="L822" s="374"/>
      <c r="M822" s="380"/>
      <c r="N822" s="409"/>
      <c r="O822" s="374"/>
      <c r="P822" s="157"/>
      <c r="Q822" s="374"/>
      <c r="R822" s="1"/>
    </row>
    <row r="823" spans="1:18" ht="16.2" thickBot="1" x14ac:dyDescent="0.35">
      <c r="A823" s="375"/>
      <c r="B823" s="375"/>
      <c r="C823" s="50">
        <v>16570</v>
      </c>
      <c r="D823" s="375"/>
      <c r="E823" s="375"/>
      <c r="F823" s="375"/>
      <c r="G823" s="375"/>
      <c r="H823" s="375"/>
      <c r="I823" s="375"/>
      <c r="J823" s="378"/>
      <c r="K823" s="375"/>
      <c r="L823" s="375"/>
      <c r="M823" s="381"/>
      <c r="N823" s="410"/>
      <c r="O823" s="375"/>
      <c r="P823" s="158"/>
      <c r="Q823" s="375"/>
      <c r="R823" s="1"/>
    </row>
    <row r="824" spans="1:18" ht="15.6" x14ac:dyDescent="0.3">
      <c r="A824" s="373">
        <v>634</v>
      </c>
      <c r="B824" s="373" t="s">
        <v>324</v>
      </c>
      <c r="C824" s="49">
        <v>-15044</v>
      </c>
      <c r="D824" s="373">
        <v>1</v>
      </c>
      <c r="E824" s="373" t="s">
        <v>245</v>
      </c>
      <c r="F824" s="373">
        <v>500</v>
      </c>
      <c r="G824" s="373">
        <v>500</v>
      </c>
      <c r="H824" s="373" t="s">
        <v>44</v>
      </c>
      <c r="I824" s="373">
        <v>300</v>
      </c>
      <c r="J824" s="376" t="s">
        <v>45</v>
      </c>
      <c r="K824" s="373">
        <v>90</v>
      </c>
      <c r="L824" s="373">
        <v>20</v>
      </c>
      <c r="M824" s="379" t="s">
        <v>14</v>
      </c>
      <c r="N824" s="408" t="s">
        <v>415</v>
      </c>
      <c r="O824" s="373" t="s">
        <v>27</v>
      </c>
      <c r="P824" s="156"/>
      <c r="Q824" s="373" t="s">
        <v>325</v>
      </c>
      <c r="R824" s="1"/>
    </row>
    <row r="825" spans="1:18" ht="15.6" x14ac:dyDescent="0.3">
      <c r="A825" s="374"/>
      <c r="B825" s="374"/>
      <c r="C825" s="51">
        <v>-3250</v>
      </c>
      <c r="D825" s="374"/>
      <c r="E825" s="374"/>
      <c r="F825" s="374"/>
      <c r="G825" s="374"/>
      <c r="H825" s="374"/>
      <c r="I825" s="374"/>
      <c r="J825" s="377"/>
      <c r="K825" s="374"/>
      <c r="L825" s="374"/>
      <c r="M825" s="380"/>
      <c r="N825" s="409"/>
      <c r="O825" s="374"/>
      <c r="P825" s="157"/>
      <c r="Q825" s="374"/>
      <c r="R825" s="1"/>
    </row>
    <row r="826" spans="1:18" ht="16.2" thickBot="1" x14ac:dyDescent="0.35">
      <c r="A826" s="375"/>
      <c r="B826" s="375"/>
      <c r="C826" s="50">
        <v>14750</v>
      </c>
      <c r="D826" s="375"/>
      <c r="E826" s="375"/>
      <c r="F826" s="375"/>
      <c r="G826" s="375"/>
      <c r="H826" s="375"/>
      <c r="I826" s="375"/>
      <c r="J826" s="378"/>
      <c r="K826" s="375"/>
      <c r="L826" s="375"/>
      <c r="M826" s="381"/>
      <c r="N826" s="410"/>
      <c r="O826" s="375"/>
      <c r="P826" s="158"/>
      <c r="Q826" s="375"/>
      <c r="R826" s="1"/>
    </row>
    <row r="827" spans="1:18" ht="15.6" x14ac:dyDescent="0.3">
      <c r="A827" s="388">
        <v>639</v>
      </c>
      <c r="B827" s="388" t="s">
        <v>324</v>
      </c>
      <c r="C827" s="45">
        <v>-14200</v>
      </c>
      <c r="D827" s="388">
        <v>1</v>
      </c>
      <c r="E827" s="388" t="s">
        <v>245</v>
      </c>
      <c r="F827" s="388">
        <v>1000</v>
      </c>
      <c r="G827" s="388">
        <v>1000</v>
      </c>
      <c r="H827" s="388" t="s">
        <v>44</v>
      </c>
      <c r="I827" s="388">
        <v>300</v>
      </c>
      <c r="J827" s="385" t="s">
        <v>45</v>
      </c>
      <c r="K827" s="388">
        <v>90</v>
      </c>
      <c r="L827" s="388">
        <v>20</v>
      </c>
      <c r="M827" s="355" t="s">
        <v>14</v>
      </c>
      <c r="N827" s="437" t="s">
        <v>417</v>
      </c>
      <c r="O827" s="388" t="s">
        <v>27</v>
      </c>
      <c r="P827" s="145"/>
      <c r="Q827" s="388" t="s">
        <v>325</v>
      </c>
      <c r="R827" s="1"/>
    </row>
    <row r="828" spans="1:18" ht="15.6" x14ac:dyDescent="0.3">
      <c r="A828" s="389"/>
      <c r="B828" s="389"/>
      <c r="C828" s="46">
        <v>-4600</v>
      </c>
      <c r="D828" s="389"/>
      <c r="E828" s="389"/>
      <c r="F828" s="389"/>
      <c r="G828" s="389"/>
      <c r="H828" s="389"/>
      <c r="I828" s="389"/>
      <c r="J828" s="386"/>
      <c r="K828" s="389"/>
      <c r="L828" s="389"/>
      <c r="M828" s="356"/>
      <c r="N828" s="438"/>
      <c r="O828" s="389"/>
      <c r="P828" s="146"/>
      <c r="Q828" s="389"/>
      <c r="R828" s="1"/>
    </row>
    <row r="829" spans="1:18" ht="16.2" thickBot="1" x14ac:dyDescent="0.35">
      <c r="A829" s="390"/>
      <c r="B829" s="390"/>
      <c r="C829" s="47">
        <v>16820</v>
      </c>
      <c r="D829" s="390"/>
      <c r="E829" s="390"/>
      <c r="F829" s="390"/>
      <c r="G829" s="390"/>
      <c r="H829" s="390"/>
      <c r="I829" s="390"/>
      <c r="J829" s="387"/>
      <c r="K829" s="390"/>
      <c r="L829" s="390"/>
      <c r="M829" s="357"/>
      <c r="N829" s="439"/>
      <c r="O829" s="390"/>
      <c r="P829" s="147"/>
      <c r="Q829" s="390"/>
      <c r="R829" s="1"/>
    </row>
    <row r="830" spans="1:18" ht="15.6" x14ac:dyDescent="0.3">
      <c r="A830" s="388">
        <v>640</v>
      </c>
      <c r="B830" s="388" t="s">
        <v>324</v>
      </c>
      <c r="C830" s="45">
        <v>-14200</v>
      </c>
      <c r="D830" s="388">
        <v>1</v>
      </c>
      <c r="E830" s="388" t="s">
        <v>245</v>
      </c>
      <c r="F830" s="388">
        <v>1000</v>
      </c>
      <c r="G830" s="388">
        <v>1000</v>
      </c>
      <c r="H830" s="388" t="s">
        <v>44</v>
      </c>
      <c r="I830" s="388">
        <v>300</v>
      </c>
      <c r="J830" s="385" t="s">
        <v>45</v>
      </c>
      <c r="K830" s="388">
        <v>90</v>
      </c>
      <c r="L830" s="388">
        <v>20</v>
      </c>
      <c r="M830" s="355" t="s">
        <v>14</v>
      </c>
      <c r="N830" s="437" t="s">
        <v>417</v>
      </c>
      <c r="O830" s="388" t="s">
        <v>27</v>
      </c>
      <c r="P830" s="145"/>
      <c r="Q830" s="388" t="s">
        <v>325</v>
      </c>
      <c r="R830" s="1"/>
    </row>
    <row r="831" spans="1:18" ht="15.6" x14ac:dyDescent="0.3">
      <c r="A831" s="389"/>
      <c r="B831" s="389"/>
      <c r="C831" s="46">
        <v>-4053</v>
      </c>
      <c r="D831" s="389"/>
      <c r="E831" s="389"/>
      <c r="F831" s="389"/>
      <c r="G831" s="389"/>
      <c r="H831" s="389"/>
      <c r="I831" s="389"/>
      <c r="J831" s="386"/>
      <c r="K831" s="389"/>
      <c r="L831" s="389"/>
      <c r="M831" s="356"/>
      <c r="N831" s="438"/>
      <c r="O831" s="389"/>
      <c r="P831" s="146"/>
      <c r="Q831" s="389"/>
      <c r="R831" s="1"/>
    </row>
    <row r="832" spans="1:18" ht="16.2" thickBot="1" x14ac:dyDescent="0.35">
      <c r="A832" s="390"/>
      <c r="B832" s="390"/>
      <c r="C832" s="47">
        <v>16570</v>
      </c>
      <c r="D832" s="390"/>
      <c r="E832" s="390"/>
      <c r="F832" s="390"/>
      <c r="G832" s="390"/>
      <c r="H832" s="390"/>
      <c r="I832" s="390"/>
      <c r="J832" s="387"/>
      <c r="K832" s="390"/>
      <c r="L832" s="390"/>
      <c r="M832" s="357"/>
      <c r="N832" s="439"/>
      <c r="O832" s="390"/>
      <c r="P832" s="147"/>
      <c r="Q832" s="390"/>
      <c r="R832" s="1"/>
    </row>
    <row r="833" spans="1:18" ht="15.6" x14ac:dyDescent="0.3">
      <c r="A833" s="388">
        <v>645</v>
      </c>
      <c r="B833" s="388" t="s">
        <v>424</v>
      </c>
      <c r="C833" s="45">
        <v>-17897</v>
      </c>
      <c r="D833" s="388">
        <v>1</v>
      </c>
      <c r="E833" s="388" t="s">
        <v>271</v>
      </c>
      <c r="F833" s="388">
        <v>500</v>
      </c>
      <c r="G833" s="388">
        <v>500</v>
      </c>
      <c r="H833" s="388" t="s">
        <v>30</v>
      </c>
      <c r="I833" s="388">
        <v>95</v>
      </c>
      <c r="J833" s="385" t="s">
        <v>45</v>
      </c>
      <c r="K833" s="388">
        <v>30</v>
      </c>
      <c r="L833" s="388">
        <v>-8</v>
      </c>
      <c r="M833" s="355" t="s">
        <v>14</v>
      </c>
      <c r="N833" s="437" t="s">
        <v>402</v>
      </c>
      <c r="O833" s="388" t="s">
        <v>27</v>
      </c>
      <c r="P833" s="145"/>
      <c r="Q833" s="388" t="s">
        <v>425</v>
      </c>
      <c r="R833" s="1"/>
    </row>
    <row r="834" spans="1:18" ht="15.6" x14ac:dyDescent="0.3">
      <c r="A834" s="389"/>
      <c r="B834" s="389"/>
      <c r="C834" s="46">
        <v>3250</v>
      </c>
      <c r="D834" s="389"/>
      <c r="E834" s="389"/>
      <c r="F834" s="389"/>
      <c r="G834" s="389"/>
      <c r="H834" s="389"/>
      <c r="I834" s="389"/>
      <c r="J834" s="386"/>
      <c r="K834" s="389"/>
      <c r="L834" s="389"/>
      <c r="M834" s="356"/>
      <c r="N834" s="438"/>
      <c r="O834" s="389"/>
      <c r="P834" s="146"/>
      <c r="Q834" s="389"/>
      <c r="R834" s="1"/>
    </row>
    <row r="835" spans="1:18" ht="16.2" thickBot="1" x14ac:dyDescent="0.35">
      <c r="A835" s="390"/>
      <c r="B835" s="390"/>
      <c r="C835" s="47">
        <v>19800</v>
      </c>
      <c r="D835" s="390"/>
      <c r="E835" s="390"/>
      <c r="F835" s="390"/>
      <c r="G835" s="390"/>
      <c r="H835" s="390"/>
      <c r="I835" s="390"/>
      <c r="J835" s="387"/>
      <c r="K835" s="390"/>
      <c r="L835" s="390"/>
      <c r="M835" s="357"/>
      <c r="N835" s="439"/>
      <c r="O835" s="390"/>
      <c r="P835" s="147"/>
      <c r="Q835" s="390"/>
      <c r="R835" s="1"/>
    </row>
    <row r="836" spans="1:18" ht="15.6" x14ac:dyDescent="0.3">
      <c r="A836" s="388">
        <v>658</v>
      </c>
      <c r="B836" s="388" t="s">
        <v>424</v>
      </c>
      <c r="C836" s="45">
        <v>-16000</v>
      </c>
      <c r="D836" s="388">
        <v>1</v>
      </c>
      <c r="E836" s="388" t="s">
        <v>271</v>
      </c>
      <c r="F836" s="388">
        <v>1000</v>
      </c>
      <c r="G836" s="388">
        <v>1000</v>
      </c>
      <c r="H836" s="388" t="s">
        <v>30</v>
      </c>
      <c r="I836" s="388">
        <v>95</v>
      </c>
      <c r="J836" s="385" t="s">
        <v>45</v>
      </c>
      <c r="K836" s="388">
        <v>30</v>
      </c>
      <c r="L836" s="388">
        <v>-8</v>
      </c>
      <c r="M836" s="355" t="s">
        <v>14</v>
      </c>
      <c r="N836" s="437" t="s">
        <v>402</v>
      </c>
      <c r="O836" s="388" t="s">
        <v>27</v>
      </c>
      <c r="P836" s="145"/>
      <c r="Q836" s="388" t="s">
        <v>425</v>
      </c>
      <c r="R836" s="1"/>
    </row>
    <row r="837" spans="1:18" ht="15.6" x14ac:dyDescent="0.3">
      <c r="A837" s="389"/>
      <c r="B837" s="389"/>
      <c r="C837" s="45">
        <v>5474</v>
      </c>
      <c r="D837" s="389"/>
      <c r="E837" s="389"/>
      <c r="F837" s="389"/>
      <c r="G837" s="389"/>
      <c r="H837" s="389"/>
      <c r="I837" s="389"/>
      <c r="J837" s="386"/>
      <c r="K837" s="389"/>
      <c r="L837" s="389"/>
      <c r="M837" s="356"/>
      <c r="N837" s="438"/>
      <c r="O837" s="389"/>
      <c r="P837" s="146"/>
      <c r="Q837" s="389"/>
      <c r="R837" s="1"/>
    </row>
    <row r="838" spans="1:18" ht="16.2" thickBot="1" x14ac:dyDescent="0.35">
      <c r="A838" s="390"/>
      <c r="B838" s="390"/>
      <c r="C838" s="47">
        <v>18000</v>
      </c>
      <c r="D838" s="390"/>
      <c r="E838" s="390"/>
      <c r="F838" s="390"/>
      <c r="G838" s="390"/>
      <c r="H838" s="390"/>
      <c r="I838" s="390"/>
      <c r="J838" s="387"/>
      <c r="K838" s="390"/>
      <c r="L838" s="390"/>
      <c r="M838" s="357"/>
      <c r="N838" s="439"/>
      <c r="O838" s="390"/>
      <c r="P838" s="147"/>
      <c r="Q838" s="390"/>
      <c r="R838" s="1"/>
    </row>
    <row r="839" spans="1:18" ht="15.6" x14ac:dyDescent="0.3">
      <c r="A839" s="373">
        <v>669</v>
      </c>
      <c r="B839" s="373" t="s">
        <v>48</v>
      </c>
      <c r="C839" s="49">
        <v>-16000</v>
      </c>
      <c r="D839" s="373">
        <v>1</v>
      </c>
      <c r="E839" s="373" t="s">
        <v>269</v>
      </c>
      <c r="F839" s="373">
        <v>1000</v>
      </c>
      <c r="G839" s="373">
        <v>1000</v>
      </c>
      <c r="H839" s="373" t="s">
        <v>96</v>
      </c>
      <c r="I839" s="373">
        <v>300</v>
      </c>
      <c r="J839" s="376" t="s">
        <v>45</v>
      </c>
      <c r="K839" s="373">
        <v>100</v>
      </c>
      <c r="L839" s="373">
        <v>103</v>
      </c>
      <c r="M839" s="379" t="s">
        <v>14</v>
      </c>
      <c r="N839" s="408" t="s">
        <v>89</v>
      </c>
      <c r="O839" s="373" t="s">
        <v>27</v>
      </c>
      <c r="P839" s="156"/>
      <c r="Q839" s="376" t="s">
        <v>406</v>
      </c>
      <c r="R839" s="1"/>
    </row>
    <row r="840" spans="1:18" ht="15.6" x14ac:dyDescent="0.3">
      <c r="A840" s="374"/>
      <c r="B840" s="374"/>
      <c r="C840" s="49">
        <v>10526</v>
      </c>
      <c r="D840" s="374"/>
      <c r="E840" s="374"/>
      <c r="F840" s="374"/>
      <c r="G840" s="374"/>
      <c r="H840" s="374"/>
      <c r="I840" s="374"/>
      <c r="J840" s="377"/>
      <c r="K840" s="374"/>
      <c r="L840" s="374"/>
      <c r="M840" s="380"/>
      <c r="N840" s="409"/>
      <c r="O840" s="374"/>
      <c r="P840" s="157"/>
      <c r="Q840" s="377"/>
      <c r="R840" s="1"/>
    </row>
    <row r="841" spans="1:18" ht="16.2" thickBot="1" x14ac:dyDescent="0.35">
      <c r="A841" s="375"/>
      <c r="B841" s="375"/>
      <c r="C841" s="50">
        <v>15200</v>
      </c>
      <c r="D841" s="375"/>
      <c r="E841" s="375"/>
      <c r="F841" s="375"/>
      <c r="G841" s="375"/>
      <c r="H841" s="375"/>
      <c r="I841" s="375"/>
      <c r="J841" s="378"/>
      <c r="K841" s="375"/>
      <c r="L841" s="375"/>
      <c r="M841" s="381"/>
      <c r="N841" s="410"/>
      <c r="O841" s="375"/>
      <c r="P841" s="158"/>
      <c r="Q841" s="378"/>
      <c r="R841" s="1"/>
    </row>
    <row r="842" spans="1:18" ht="15.6" x14ac:dyDescent="0.3">
      <c r="A842" s="385">
        <v>677</v>
      </c>
      <c r="B842" s="385" t="s">
        <v>62</v>
      </c>
      <c r="C842" s="43">
        <v>10600</v>
      </c>
      <c r="D842" s="385">
        <v>1</v>
      </c>
      <c r="E842" s="385" t="s">
        <v>58</v>
      </c>
      <c r="F842" s="385">
        <v>1008</v>
      </c>
      <c r="G842" s="388">
        <v>1000</v>
      </c>
      <c r="H842" s="388" t="s">
        <v>44</v>
      </c>
      <c r="I842" s="385">
        <v>150</v>
      </c>
      <c r="J842" s="385" t="s">
        <v>45</v>
      </c>
      <c r="K842" s="385">
        <v>50</v>
      </c>
      <c r="L842" s="388">
        <v>-5</v>
      </c>
      <c r="M842" s="355" t="s">
        <v>14</v>
      </c>
      <c r="N842" s="437" t="s">
        <v>407</v>
      </c>
      <c r="O842" s="388" t="s">
        <v>27</v>
      </c>
      <c r="P842" s="145"/>
      <c r="Q842" s="388" t="s">
        <v>428</v>
      </c>
      <c r="R842" s="1"/>
    </row>
    <row r="843" spans="1:18" ht="15.6" x14ac:dyDescent="0.3">
      <c r="A843" s="386"/>
      <c r="B843" s="386"/>
      <c r="C843" s="48">
        <v>2868</v>
      </c>
      <c r="D843" s="386"/>
      <c r="E843" s="386"/>
      <c r="F843" s="386"/>
      <c r="G843" s="389"/>
      <c r="H843" s="389"/>
      <c r="I843" s="386"/>
      <c r="J843" s="386"/>
      <c r="K843" s="386"/>
      <c r="L843" s="389"/>
      <c r="M843" s="356"/>
      <c r="N843" s="438"/>
      <c r="O843" s="389"/>
      <c r="P843" s="146"/>
      <c r="Q843" s="389"/>
      <c r="R843" s="1"/>
    </row>
    <row r="844" spans="1:18" ht="16.2" thickBot="1" x14ac:dyDescent="0.35">
      <c r="A844" s="387"/>
      <c r="B844" s="387"/>
      <c r="C844" s="44">
        <v>16788</v>
      </c>
      <c r="D844" s="387"/>
      <c r="E844" s="387"/>
      <c r="F844" s="387"/>
      <c r="G844" s="390"/>
      <c r="H844" s="390"/>
      <c r="I844" s="387"/>
      <c r="J844" s="387"/>
      <c r="K844" s="387"/>
      <c r="L844" s="390"/>
      <c r="M844" s="357"/>
      <c r="N844" s="439"/>
      <c r="O844" s="390"/>
      <c r="P844" s="147"/>
      <c r="Q844" s="390"/>
      <c r="R844" s="1"/>
    </row>
    <row r="845" spans="1:18" ht="15.6" x14ac:dyDescent="0.3">
      <c r="A845" s="385">
        <v>678</v>
      </c>
      <c r="B845" s="385" t="s">
        <v>62</v>
      </c>
      <c r="C845" s="43">
        <v>16000</v>
      </c>
      <c r="D845" s="385">
        <v>1</v>
      </c>
      <c r="E845" s="385" t="s">
        <v>58</v>
      </c>
      <c r="F845" s="385">
        <v>1008</v>
      </c>
      <c r="G845" s="388">
        <v>1000</v>
      </c>
      <c r="H845" s="385" t="s">
        <v>61</v>
      </c>
      <c r="I845" s="385">
        <v>150</v>
      </c>
      <c r="J845" s="385" t="s">
        <v>45</v>
      </c>
      <c r="K845" s="385">
        <v>50</v>
      </c>
      <c r="L845" s="388">
        <v>46.5</v>
      </c>
      <c r="M845" s="355" t="s">
        <v>14</v>
      </c>
      <c r="N845" s="455" t="s">
        <v>385</v>
      </c>
      <c r="O845" s="388" t="s">
        <v>27</v>
      </c>
      <c r="P845" s="145"/>
      <c r="Q845" s="388" t="s">
        <v>429</v>
      </c>
      <c r="R845" s="1"/>
    </row>
    <row r="846" spans="1:18" ht="15.6" x14ac:dyDescent="0.3">
      <c r="A846" s="386"/>
      <c r="B846" s="386"/>
      <c r="C846" s="48">
        <v>-7261</v>
      </c>
      <c r="D846" s="386"/>
      <c r="E846" s="386"/>
      <c r="F846" s="386"/>
      <c r="G846" s="389"/>
      <c r="H846" s="386"/>
      <c r="I846" s="386"/>
      <c r="J846" s="386"/>
      <c r="K846" s="386"/>
      <c r="L846" s="389"/>
      <c r="M846" s="356"/>
      <c r="N846" s="456"/>
      <c r="O846" s="389"/>
      <c r="P846" s="146"/>
      <c r="Q846" s="389"/>
      <c r="R846" s="1"/>
    </row>
    <row r="847" spans="1:18" ht="16.2" thickBot="1" x14ac:dyDescent="0.35">
      <c r="A847" s="387"/>
      <c r="B847" s="387"/>
      <c r="C847" s="44">
        <v>23960</v>
      </c>
      <c r="D847" s="387"/>
      <c r="E847" s="387"/>
      <c r="F847" s="387"/>
      <c r="G847" s="390"/>
      <c r="H847" s="387"/>
      <c r="I847" s="387"/>
      <c r="J847" s="387"/>
      <c r="K847" s="387"/>
      <c r="L847" s="390"/>
      <c r="M847" s="357"/>
      <c r="N847" s="457"/>
      <c r="O847" s="390"/>
      <c r="P847" s="147"/>
      <c r="Q847" s="390"/>
      <c r="R847" s="1"/>
    </row>
    <row r="848" spans="1:18" ht="15.6" x14ac:dyDescent="0.3">
      <c r="A848" s="385">
        <v>679</v>
      </c>
      <c r="B848" s="385" t="s">
        <v>62</v>
      </c>
      <c r="C848" s="43">
        <v>16000</v>
      </c>
      <c r="D848" s="385">
        <v>1</v>
      </c>
      <c r="E848" s="385" t="s">
        <v>63</v>
      </c>
      <c r="F848" s="385">
        <v>1008</v>
      </c>
      <c r="G848" s="388">
        <v>1000</v>
      </c>
      <c r="H848" s="385" t="s">
        <v>61</v>
      </c>
      <c r="I848" s="385">
        <v>150</v>
      </c>
      <c r="J848" s="385" t="s">
        <v>45</v>
      </c>
      <c r="K848" s="385">
        <v>50</v>
      </c>
      <c r="L848" s="388">
        <v>19.5</v>
      </c>
      <c r="M848" s="355" t="s">
        <v>14</v>
      </c>
      <c r="N848" s="455" t="s">
        <v>385</v>
      </c>
      <c r="O848" s="388" t="s">
        <v>27</v>
      </c>
      <c r="P848" s="145"/>
      <c r="Q848" s="388" t="s">
        <v>430</v>
      </c>
      <c r="R848" s="1"/>
    </row>
    <row r="849" spans="1:18" ht="15.6" x14ac:dyDescent="0.3">
      <c r="A849" s="386"/>
      <c r="B849" s="386"/>
      <c r="C849" s="48">
        <v>-7931</v>
      </c>
      <c r="D849" s="386"/>
      <c r="E849" s="386"/>
      <c r="F849" s="386"/>
      <c r="G849" s="389"/>
      <c r="H849" s="386"/>
      <c r="I849" s="386"/>
      <c r="J849" s="386"/>
      <c r="K849" s="386"/>
      <c r="L849" s="389"/>
      <c r="M849" s="356"/>
      <c r="N849" s="456"/>
      <c r="O849" s="389"/>
      <c r="P849" s="146"/>
      <c r="Q849" s="389"/>
      <c r="R849" s="1"/>
    </row>
    <row r="850" spans="1:18" ht="16.2" thickBot="1" x14ac:dyDescent="0.35">
      <c r="A850" s="387"/>
      <c r="B850" s="387"/>
      <c r="C850" s="44">
        <v>16800</v>
      </c>
      <c r="D850" s="387"/>
      <c r="E850" s="387"/>
      <c r="F850" s="387"/>
      <c r="G850" s="390"/>
      <c r="H850" s="387"/>
      <c r="I850" s="387"/>
      <c r="J850" s="387"/>
      <c r="K850" s="387"/>
      <c r="L850" s="390"/>
      <c r="M850" s="357"/>
      <c r="N850" s="457"/>
      <c r="O850" s="390"/>
      <c r="P850" s="147"/>
      <c r="Q850" s="390"/>
      <c r="R850" s="1"/>
    </row>
    <row r="851" spans="1:18" ht="15.6" x14ac:dyDescent="0.3">
      <c r="A851" s="388">
        <v>681</v>
      </c>
      <c r="B851" s="388" t="s">
        <v>48</v>
      </c>
      <c r="C851" s="45">
        <v>-15829</v>
      </c>
      <c r="D851" s="388">
        <v>1</v>
      </c>
      <c r="E851" s="388" t="s">
        <v>133</v>
      </c>
      <c r="F851" s="388">
        <v>1250</v>
      </c>
      <c r="G851" s="388">
        <v>1000</v>
      </c>
      <c r="H851" s="388" t="s">
        <v>416</v>
      </c>
      <c r="I851" s="388">
        <v>300</v>
      </c>
      <c r="J851" s="385" t="s">
        <v>45</v>
      </c>
      <c r="K851" s="388">
        <v>60</v>
      </c>
      <c r="L851" s="388">
        <v>170.5</v>
      </c>
      <c r="M851" s="355" t="s">
        <v>14</v>
      </c>
      <c r="N851" s="437" t="s">
        <v>89</v>
      </c>
      <c r="O851" s="388" t="s">
        <v>27</v>
      </c>
      <c r="P851" s="145"/>
      <c r="Q851" s="385" t="s">
        <v>418</v>
      </c>
      <c r="R851" s="1"/>
    </row>
    <row r="852" spans="1:18" ht="15.6" x14ac:dyDescent="0.3">
      <c r="A852" s="389"/>
      <c r="B852" s="389"/>
      <c r="C852" s="46">
        <v>11723</v>
      </c>
      <c r="D852" s="389"/>
      <c r="E852" s="389"/>
      <c r="F852" s="389"/>
      <c r="G852" s="389"/>
      <c r="H852" s="389"/>
      <c r="I852" s="389"/>
      <c r="J852" s="386"/>
      <c r="K852" s="389"/>
      <c r="L852" s="389"/>
      <c r="M852" s="356"/>
      <c r="N852" s="438"/>
      <c r="O852" s="389"/>
      <c r="P852" s="146"/>
      <c r="Q852" s="386"/>
      <c r="R852" s="1"/>
    </row>
    <row r="853" spans="1:18" ht="16.2" thickBot="1" x14ac:dyDescent="0.35">
      <c r="A853" s="390"/>
      <c r="B853" s="390"/>
      <c r="C853" s="47">
        <v>23500</v>
      </c>
      <c r="D853" s="390"/>
      <c r="E853" s="390"/>
      <c r="F853" s="390"/>
      <c r="G853" s="390"/>
      <c r="H853" s="390"/>
      <c r="I853" s="390"/>
      <c r="J853" s="387"/>
      <c r="K853" s="390"/>
      <c r="L853" s="390"/>
      <c r="M853" s="357"/>
      <c r="N853" s="439"/>
      <c r="O853" s="390"/>
      <c r="P853" s="147"/>
      <c r="Q853" s="387"/>
      <c r="R853" s="1"/>
    </row>
    <row r="854" spans="1:18" ht="15.6" x14ac:dyDescent="0.3">
      <c r="A854" s="388">
        <v>682</v>
      </c>
      <c r="B854" s="388" t="s">
        <v>327</v>
      </c>
      <c r="C854" s="45">
        <v>-2600</v>
      </c>
      <c r="D854" s="388">
        <v>1</v>
      </c>
      <c r="E854" s="388" t="s">
        <v>168</v>
      </c>
      <c r="F854" s="388">
        <v>898</v>
      </c>
      <c r="G854" s="388" t="s">
        <v>427</v>
      </c>
      <c r="H854" s="388" t="s">
        <v>30</v>
      </c>
      <c r="I854" s="388">
        <v>296</v>
      </c>
      <c r="J854" s="385" t="s">
        <v>45</v>
      </c>
      <c r="K854" s="388">
        <v>40</v>
      </c>
      <c r="L854" s="388">
        <v>-6</v>
      </c>
      <c r="M854" s="355" t="s">
        <v>14</v>
      </c>
      <c r="N854" s="437" t="s">
        <v>402</v>
      </c>
      <c r="O854" s="388" t="s">
        <v>27</v>
      </c>
      <c r="P854" s="145"/>
      <c r="Q854" s="388" t="s">
        <v>409</v>
      </c>
      <c r="R854" s="1"/>
    </row>
    <row r="855" spans="1:18" ht="15.6" x14ac:dyDescent="0.3">
      <c r="A855" s="389"/>
      <c r="B855" s="389"/>
      <c r="C855" s="46">
        <v>19749</v>
      </c>
      <c r="D855" s="389"/>
      <c r="E855" s="389"/>
      <c r="F855" s="389"/>
      <c r="G855" s="389"/>
      <c r="H855" s="389"/>
      <c r="I855" s="389"/>
      <c r="J855" s="386"/>
      <c r="K855" s="389"/>
      <c r="L855" s="389"/>
      <c r="M855" s="356"/>
      <c r="N855" s="438"/>
      <c r="O855" s="389"/>
      <c r="P855" s="146"/>
      <c r="Q855" s="389"/>
      <c r="R855" s="1"/>
    </row>
    <row r="856" spans="1:18" ht="16.2" thickBot="1" x14ac:dyDescent="0.35">
      <c r="A856" s="390"/>
      <c r="B856" s="390"/>
      <c r="C856" s="47">
        <v>19600</v>
      </c>
      <c r="D856" s="390"/>
      <c r="E856" s="390"/>
      <c r="F856" s="390"/>
      <c r="G856" s="390"/>
      <c r="H856" s="390"/>
      <c r="I856" s="390"/>
      <c r="J856" s="387"/>
      <c r="K856" s="390"/>
      <c r="L856" s="390"/>
      <c r="M856" s="357"/>
      <c r="N856" s="439"/>
      <c r="O856" s="390"/>
      <c r="P856" s="147"/>
      <c r="Q856" s="390"/>
      <c r="R856" s="1"/>
    </row>
    <row r="857" spans="1:18" ht="15.6" x14ac:dyDescent="0.3">
      <c r="A857" s="388">
        <v>683</v>
      </c>
      <c r="B857" s="388" t="s">
        <v>327</v>
      </c>
      <c r="C857" s="45">
        <v>-2200</v>
      </c>
      <c r="D857" s="388">
        <v>1</v>
      </c>
      <c r="E857" s="388" t="s">
        <v>168</v>
      </c>
      <c r="F857" s="388">
        <v>973</v>
      </c>
      <c r="G857" s="388" t="s">
        <v>427</v>
      </c>
      <c r="H857" s="388" t="s">
        <v>30</v>
      </c>
      <c r="I857" s="388">
        <v>296</v>
      </c>
      <c r="J857" s="385" t="s">
        <v>45</v>
      </c>
      <c r="K857" s="388">
        <v>40</v>
      </c>
      <c r="L857" s="388">
        <v>-6</v>
      </c>
      <c r="M857" s="355" t="s">
        <v>14</v>
      </c>
      <c r="N857" s="437" t="s">
        <v>89</v>
      </c>
      <c r="O857" s="388" t="s">
        <v>27</v>
      </c>
      <c r="P857" s="145"/>
      <c r="Q857" s="388" t="s">
        <v>409</v>
      </c>
      <c r="R857" s="1"/>
    </row>
    <row r="858" spans="1:18" ht="15.6" x14ac:dyDescent="0.3">
      <c r="A858" s="389"/>
      <c r="B858" s="389"/>
      <c r="C858" s="46">
        <v>19789</v>
      </c>
      <c r="D858" s="389"/>
      <c r="E858" s="389"/>
      <c r="F858" s="389"/>
      <c r="G858" s="389"/>
      <c r="H858" s="389"/>
      <c r="I858" s="389"/>
      <c r="J858" s="386"/>
      <c r="K858" s="389"/>
      <c r="L858" s="389"/>
      <c r="M858" s="356"/>
      <c r="N858" s="438"/>
      <c r="O858" s="389"/>
      <c r="P858" s="146"/>
      <c r="Q858" s="389"/>
      <c r="R858" s="1"/>
    </row>
    <row r="859" spans="1:18" ht="16.2" thickBot="1" x14ac:dyDescent="0.35">
      <c r="A859" s="390"/>
      <c r="B859" s="390"/>
      <c r="C859" s="47">
        <v>20000</v>
      </c>
      <c r="D859" s="390"/>
      <c r="E859" s="390"/>
      <c r="F859" s="390"/>
      <c r="G859" s="390"/>
      <c r="H859" s="390"/>
      <c r="I859" s="390"/>
      <c r="J859" s="387"/>
      <c r="K859" s="390"/>
      <c r="L859" s="390"/>
      <c r="M859" s="357"/>
      <c r="N859" s="439"/>
      <c r="O859" s="390"/>
      <c r="P859" s="147"/>
      <c r="Q859" s="390"/>
      <c r="R859" s="1"/>
    </row>
    <row r="860" spans="1:18" ht="15.6" x14ac:dyDescent="0.3">
      <c r="A860" s="388">
        <v>685</v>
      </c>
      <c r="B860" s="388" t="s">
        <v>327</v>
      </c>
      <c r="C860" s="45">
        <v>-2400</v>
      </c>
      <c r="D860" s="388">
        <v>1</v>
      </c>
      <c r="E860" s="388" t="s">
        <v>168</v>
      </c>
      <c r="F860" s="388">
        <v>938</v>
      </c>
      <c r="G860" s="388" t="s">
        <v>427</v>
      </c>
      <c r="H860" s="388" t="s">
        <v>30</v>
      </c>
      <c r="I860" s="388">
        <v>296</v>
      </c>
      <c r="J860" s="385" t="s">
        <v>45</v>
      </c>
      <c r="K860" s="388">
        <v>40</v>
      </c>
      <c r="L860" s="388">
        <v>-6</v>
      </c>
      <c r="M860" s="355" t="s">
        <v>14</v>
      </c>
      <c r="N860" s="437" t="s">
        <v>402</v>
      </c>
      <c r="O860" s="388" t="s">
        <v>27</v>
      </c>
      <c r="P860" s="145"/>
      <c r="Q860" s="388" t="s">
        <v>409</v>
      </c>
      <c r="R860" s="1"/>
    </row>
    <row r="861" spans="1:18" ht="15.6" x14ac:dyDescent="0.3">
      <c r="A861" s="389"/>
      <c r="B861" s="389"/>
      <c r="C861" s="46">
        <v>19769</v>
      </c>
      <c r="D861" s="389"/>
      <c r="E861" s="389"/>
      <c r="F861" s="389"/>
      <c r="G861" s="389"/>
      <c r="H861" s="389"/>
      <c r="I861" s="389"/>
      <c r="J861" s="386"/>
      <c r="K861" s="389"/>
      <c r="L861" s="389"/>
      <c r="M861" s="356"/>
      <c r="N861" s="438"/>
      <c r="O861" s="389"/>
      <c r="P861" s="146"/>
      <c r="Q861" s="389"/>
      <c r="R861" s="1"/>
    </row>
    <row r="862" spans="1:18" ht="16.2" thickBot="1" x14ac:dyDescent="0.35">
      <c r="A862" s="390"/>
      <c r="B862" s="390"/>
      <c r="C862" s="47">
        <v>19600</v>
      </c>
      <c r="D862" s="390"/>
      <c r="E862" s="390"/>
      <c r="F862" s="390"/>
      <c r="G862" s="390"/>
      <c r="H862" s="390"/>
      <c r="I862" s="390"/>
      <c r="J862" s="387"/>
      <c r="K862" s="390"/>
      <c r="L862" s="390"/>
      <c r="M862" s="357"/>
      <c r="N862" s="439"/>
      <c r="O862" s="390"/>
      <c r="P862" s="147"/>
      <c r="Q862" s="390"/>
      <c r="R862" s="1"/>
    </row>
    <row r="863" spans="1:18" ht="15.6" x14ac:dyDescent="0.3">
      <c r="A863" s="388">
        <v>686</v>
      </c>
      <c r="B863" s="388" t="s">
        <v>327</v>
      </c>
      <c r="C863" s="45">
        <v>-2600</v>
      </c>
      <c r="D863" s="388">
        <v>1</v>
      </c>
      <c r="E863" s="388" t="s">
        <v>168</v>
      </c>
      <c r="F863" s="388">
        <v>898</v>
      </c>
      <c r="G863" s="388" t="s">
        <v>427</v>
      </c>
      <c r="H863" s="388" t="s">
        <v>30</v>
      </c>
      <c r="I863" s="388">
        <v>296</v>
      </c>
      <c r="J863" s="385" t="s">
        <v>45</v>
      </c>
      <c r="K863" s="388">
        <v>40</v>
      </c>
      <c r="L863" s="388">
        <v>-6</v>
      </c>
      <c r="M863" s="355" t="s">
        <v>14</v>
      </c>
      <c r="N863" s="437" t="s">
        <v>89</v>
      </c>
      <c r="O863" s="388" t="s">
        <v>27</v>
      </c>
      <c r="P863" s="145"/>
      <c r="Q863" s="388" t="s">
        <v>409</v>
      </c>
      <c r="R863" s="1"/>
    </row>
    <row r="864" spans="1:18" ht="15.6" x14ac:dyDescent="0.3">
      <c r="A864" s="389"/>
      <c r="B864" s="389"/>
      <c r="C864" s="46">
        <v>19749</v>
      </c>
      <c r="D864" s="389"/>
      <c r="E864" s="389"/>
      <c r="F864" s="389"/>
      <c r="G864" s="389"/>
      <c r="H864" s="389"/>
      <c r="I864" s="389"/>
      <c r="J864" s="386"/>
      <c r="K864" s="389"/>
      <c r="L864" s="389"/>
      <c r="M864" s="356"/>
      <c r="N864" s="438"/>
      <c r="O864" s="389"/>
      <c r="P864" s="146"/>
      <c r="Q864" s="389"/>
      <c r="R864" s="1"/>
    </row>
    <row r="865" spans="1:18" ht="16.2" thickBot="1" x14ac:dyDescent="0.35">
      <c r="A865" s="390"/>
      <c r="B865" s="390"/>
      <c r="C865" s="47">
        <v>17800</v>
      </c>
      <c r="D865" s="390"/>
      <c r="E865" s="390"/>
      <c r="F865" s="390"/>
      <c r="G865" s="390"/>
      <c r="H865" s="390"/>
      <c r="I865" s="390"/>
      <c r="J865" s="387"/>
      <c r="K865" s="390"/>
      <c r="L865" s="390"/>
      <c r="M865" s="357"/>
      <c r="N865" s="439"/>
      <c r="O865" s="390"/>
      <c r="P865" s="147"/>
      <c r="Q865" s="390"/>
      <c r="R865" s="1"/>
    </row>
    <row r="866" spans="1:18" ht="15.6" x14ac:dyDescent="0.3">
      <c r="A866" s="388">
        <v>687</v>
      </c>
      <c r="B866" s="388" t="s">
        <v>327</v>
      </c>
      <c r="C866" s="45">
        <v>-2400</v>
      </c>
      <c r="D866" s="388">
        <v>1</v>
      </c>
      <c r="E866" s="388" t="s">
        <v>168</v>
      </c>
      <c r="F866" s="388">
        <v>938</v>
      </c>
      <c r="G866" s="388" t="s">
        <v>427</v>
      </c>
      <c r="H866" s="388" t="s">
        <v>30</v>
      </c>
      <c r="I866" s="388">
        <v>296</v>
      </c>
      <c r="J866" s="385" t="s">
        <v>45</v>
      </c>
      <c r="K866" s="388">
        <v>40</v>
      </c>
      <c r="L866" s="388">
        <v>-6</v>
      </c>
      <c r="M866" s="355" t="s">
        <v>14</v>
      </c>
      <c r="N866" s="437" t="s">
        <v>89</v>
      </c>
      <c r="O866" s="388" t="s">
        <v>27</v>
      </c>
      <c r="P866" s="145"/>
      <c r="Q866" s="388" t="s">
        <v>409</v>
      </c>
      <c r="R866" s="1"/>
    </row>
    <row r="867" spans="1:18" ht="15.6" x14ac:dyDescent="0.3">
      <c r="A867" s="389"/>
      <c r="B867" s="389"/>
      <c r="C867" s="46">
        <v>19769</v>
      </c>
      <c r="D867" s="389"/>
      <c r="E867" s="389"/>
      <c r="F867" s="389"/>
      <c r="G867" s="389"/>
      <c r="H867" s="389"/>
      <c r="I867" s="389"/>
      <c r="J867" s="386"/>
      <c r="K867" s="389"/>
      <c r="L867" s="389"/>
      <c r="M867" s="356"/>
      <c r="N867" s="438"/>
      <c r="O867" s="389"/>
      <c r="P867" s="146"/>
      <c r="Q867" s="389"/>
      <c r="R867" s="1"/>
    </row>
    <row r="868" spans="1:18" ht="16.2" thickBot="1" x14ac:dyDescent="0.35">
      <c r="A868" s="390"/>
      <c r="B868" s="390"/>
      <c r="C868" s="47">
        <v>17800</v>
      </c>
      <c r="D868" s="390"/>
      <c r="E868" s="390"/>
      <c r="F868" s="390"/>
      <c r="G868" s="390"/>
      <c r="H868" s="390"/>
      <c r="I868" s="390"/>
      <c r="J868" s="387"/>
      <c r="K868" s="390"/>
      <c r="L868" s="390"/>
      <c r="M868" s="357"/>
      <c r="N868" s="439"/>
      <c r="O868" s="390"/>
      <c r="P868" s="147"/>
      <c r="Q868" s="390"/>
      <c r="R868" s="1"/>
    </row>
    <row r="869" spans="1:18" ht="15.6" x14ac:dyDescent="0.3">
      <c r="A869" s="385">
        <v>689</v>
      </c>
      <c r="B869" s="385" t="s">
        <v>274</v>
      </c>
      <c r="C869" s="43">
        <v>-2200</v>
      </c>
      <c r="D869" s="385">
        <v>2</v>
      </c>
      <c r="E869" s="385" t="s">
        <v>168</v>
      </c>
      <c r="F869" s="388">
        <v>973</v>
      </c>
      <c r="G869" s="388" t="s">
        <v>427</v>
      </c>
      <c r="H869" s="388" t="s">
        <v>30</v>
      </c>
      <c r="I869" s="385">
        <v>350</v>
      </c>
      <c r="J869" s="385" t="s">
        <v>45</v>
      </c>
      <c r="K869" s="385" t="s">
        <v>275</v>
      </c>
      <c r="L869" s="388" t="s">
        <v>13</v>
      </c>
      <c r="M869" s="355" t="s">
        <v>14</v>
      </c>
      <c r="N869" s="455" t="s">
        <v>89</v>
      </c>
      <c r="O869" s="388" t="s">
        <v>27</v>
      </c>
      <c r="P869" s="145"/>
      <c r="Q869" s="385" t="s">
        <v>431</v>
      </c>
      <c r="R869" s="351"/>
    </row>
    <row r="870" spans="1:18" ht="16.2" thickBot="1" x14ac:dyDescent="0.35">
      <c r="A870" s="386"/>
      <c r="B870" s="386"/>
      <c r="C870" s="48">
        <v>19789</v>
      </c>
      <c r="D870" s="386"/>
      <c r="E870" s="387"/>
      <c r="F870" s="389"/>
      <c r="G870" s="389"/>
      <c r="H870" s="389"/>
      <c r="I870" s="387"/>
      <c r="J870" s="387"/>
      <c r="K870" s="386"/>
      <c r="L870" s="389"/>
      <c r="M870" s="356"/>
      <c r="N870" s="456"/>
      <c r="O870" s="389"/>
      <c r="P870" s="146"/>
      <c r="Q870" s="386"/>
      <c r="R870" s="351"/>
    </row>
    <row r="871" spans="1:18" ht="31.8" thickBot="1" x14ac:dyDescent="0.35">
      <c r="A871" s="387"/>
      <c r="B871" s="387"/>
      <c r="C871" s="44">
        <v>18200</v>
      </c>
      <c r="D871" s="387"/>
      <c r="E871" s="47" t="s">
        <v>168</v>
      </c>
      <c r="F871" s="390"/>
      <c r="G871" s="390"/>
      <c r="H871" s="390"/>
      <c r="I871" s="47">
        <v>350</v>
      </c>
      <c r="J871" s="44" t="s">
        <v>45</v>
      </c>
      <c r="K871" s="387"/>
      <c r="L871" s="390"/>
      <c r="M871" s="357"/>
      <c r="N871" s="457"/>
      <c r="O871" s="390"/>
      <c r="P871" s="147"/>
      <c r="Q871" s="387"/>
      <c r="R871" s="1"/>
    </row>
    <row r="872" spans="1:18" ht="15.6" x14ac:dyDescent="0.3">
      <c r="A872" s="388">
        <v>690</v>
      </c>
      <c r="B872" s="388" t="s">
        <v>48</v>
      </c>
      <c r="C872" s="45">
        <v>-2186</v>
      </c>
      <c r="D872" s="388">
        <v>1</v>
      </c>
      <c r="E872" s="388" t="s">
        <v>133</v>
      </c>
      <c r="F872" s="388">
        <v>1000</v>
      </c>
      <c r="G872" s="388">
        <v>1000</v>
      </c>
      <c r="H872" s="388" t="s">
        <v>416</v>
      </c>
      <c r="I872" s="388">
        <v>300</v>
      </c>
      <c r="J872" s="385" t="s">
        <v>45</v>
      </c>
      <c r="K872" s="388">
        <v>60</v>
      </c>
      <c r="L872" s="388">
        <v>170.5</v>
      </c>
      <c r="M872" s="355" t="s">
        <v>14</v>
      </c>
      <c r="N872" s="437" t="s">
        <v>402</v>
      </c>
      <c r="O872" s="388" t="s">
        <v>27</v>
      </c>
      <c r="P872" s="145"/>
      <c r="Q872" s="385" t="s">
        <v>418</v>
      </c>
      <c r="R872" s="1"/>
    </row>
    <row r="873" spans="1:18" ht="15.6" x14ac:dyDescent="0.3">
      <c r="A873" s="389"/>
      <c r="B873" s="389"/>
      <c r="C873" s="46">
        <v>19800</v>
      </c>
      <c r="D873" s="389"/>
      <c r="E873" s="389"/>
      <c r="F873" s="389"/>
      <c r="G873" s="389"/>
      <c r="H873" s="389"/>
      <c r="I873" s="389"/>
      <c r="J873" s="386"/>
      <c r="K873" s="389"/>
      <c r="L873" s="389"/>
      <c r="M873" s="356"/>
      <c r="N873" s="438"/>
      <c r="O873" s="389"/>
      <c r="P873" s="146"/>
      <c r="Q873" s="386"/>
      <c r="R873" s="1"/>
    </row>
    <row r="874" spans="1:18" ht="16.2" thickBot="1" x14ac:dyDescent="0.35">
      <c r="A874" s="390"/>
      <c r="B874" s="390"/>
      <c r="C874" s="47">
        <v>24500</v>
      </c>
      <c r="D874" s="390"/>
      <c r="E874" s="390"/>
      <c r="F874" s="390"/>
      <c r="G874" s="390"/>
      <c r="H874" s="390"/>
      <c r="I874" s="390"/>
      <c r="J874" s="387"/>
      <c r="K874" s="390"/>
      <c r="L874" s="390"/>
      <c r="M874" s="357"/>
      <c r="N874" s="439"/>
      <c r="O874" s="390"/>
      <c r="P874" s="147"/>
      <c r="Q874" s="387"/>
      <c r="R874" s="351"/>
    </row>
    <row r="875" spans="1:18" ht="15.6" x14ac:dyDescent="0.3">
      <c r="A875" s="385">
        <v>691</v>
      </c>
      <c r="B875" s="385" t="s">
        <v>420</v>
      </c>
      <c r="C875" s="43">
        <v>-16000</v>
      </c>
      <c r="D875" s="385">
        <v>1</v>
      </c>
      <c r="E875" s="385" t="s">
        <v>421</v>
      </c>
      <c r="F875" s="385">
        <v>1000</v>
      </c>
      <c r="G875" s="385">
        <v>1000</v>
      </c>
      <c r="H875" s="385" t="s">
        <v>422</v>
      </c>
      <c r="I875" s="385">
        <v>303</v>
      </c>
      <c r="J875" s="385" t="s">
        <v>45</v>
      </c>
      <c r="K875" s="385">
        <v>30</v>
      </c>
      <c r="L875" s="388">
        <v>155</v>
      </c>
      <c r="M875" s="355" t="s">
        <v>14</v>
      </c>
      <c r="N875" s="455" t="s">
        <v>402</v>
      </c>
      <c r="O875" s="388" t="s">
        <v>27</v>
      </c>
      <c r="P875" s="145"/>
      <c r="Q875" s="385" t="s">
        <v>423</v>
      </c>
      <c r="R875" s="351"/>
    </row>
    <row r="876" spans="1:18" ht="15.6" x14ac:dyDescent="0.3">
      <c r="A876" s="386"/>
      <c r="B876" s="386"/>
      <c r="C876" s="48">
        <v>4300</v>
      </c>
      <c r="D876" s="386"/>
      <c r="E876" s="386"/>
      <c r="F876" s="386"/>
      <c r="G876" s="386"/>
      <c r="H876" s="386"/>
      <c r="I876" s="386"/>
      <c r="J876" s="386"/>
      <c r="K876" s="386"/>
      <c r="L876" s="389"/>
      <c r="M876" s="356"/>
      <c r="N876" s="456"/>
      <c r="O876" s="389"/>
      <c r="P876" s="146"/>
      <c r="Q876" s="386"/>
      <c r="R876" s="351"/>
    </row>
    <row r="877" spans="1:18" ht="16.2" thickBot="1" x14ac:dyDescent="0.35">
      <c r="A877" s="387"/>
      <c r="B877" s="387"/>
      <c r="C877" s="44">
        <v>17500</v>
      </c>
      <c r="D877" s="387"/>
      <c r="E877" s="387"/>
      <c r="F877" s="387"/>
      <c r="G877" s="387"/>
      <c r="H877" s="387"/>
      <c r="I877" s="387"/>
      <c r="J877" s="387"/>
      <c r="K877" s="387"/>
      <c r="L877" s="390"/>
      <c r="M877" s="357"/>
      <c r="N877" s="457"/>
      <c r="O877" s="390"/>
      <c r="P877" s="147"/>
      <c r="Q877" s="387"/>
      <c r="R877" s="351"/>
    </row>
    <row r="878" spans="1:18" ht="15.6" x14ac:dyDescent="0.3">
      <c r="A878" s="385">
        <v>692</v>
      </c>
      <c r="B878" s="385" t="s">
        <v>420</v>
      </c>
      <c r="C878" s="43">
        <v>-17350</v>
      </c>
      <c r="D878" s="385">
        <v>1</v>
      </c>
      <c r="E878" s="385" t="s">
        <v>421</v>
      </c>
      <c r="F878" s="385">
        <v>1000</v>
      </c>
      <c r="G878" s="385">
        <v>1000</v>
      </c>
      <c r="H878" s="385" t="s">
        <v>422</v>
      </c>
      <c r="I878" s="385">
        <v>303</v>
      </c>
      <c r="J878" s="385" t="s">
        <v>45</v>
      </c>
      <c r="K878" s="385">
        <v>30</v>
      </c>
      <c r="L878" s="388">
        <v>155</v>
      </c>
      <c r="M878" s="355" t="s">
        <v>14</v>
      </c>
      <c r="N878" s="455" t="s">
        <v>432</v>
      </c>
      <c r="O878" s="388" t="s">
        <v>27</v>
      </c>
      <c r="P878" s="145"/>
      <c r="Q878" s="385" t="s">
        <v>423</v>
      </c>
      <c r="R878" s="351"/>
    </row>
    <row r="879" spans="1:18" ht="15.6" x14ac:dyDescent="0.3">
      <c r="A879" s="386"/>
      <c r="B879" s="386"/>
      <c r="C879" s="48">
        <v>-9437</v>
      </c>
      <c r="D879" s="386"/>
      <c r="E879" s="386"/>
      <c r="F879" s="386"/>
      <c r="G879" s="386"/>
      <c r="H879" s="386"/>
      <c r="I879" s="386"/>
      <c r="J879" s="386"/>
      <c r="K879" s="386"/>
      <c r="L879" s="389"/>
      <c r="M879" s="356"/>
      <c r="N879" s="456"/>
      <c r="O879" s="389"/>
      <c r="P879" s="146"/>
      <c r="Q879" s="386"/>
      <c r="R879" s="351"/>
    </row>
    <row r="880" spans="1:18" ht="16.2" thickBot="1" x14ac:dyDescent="0.35">
      <c r="A880" s="387"/>
      <c r="B880" s="387"/>
      <c r="C880" s="44">
        <v>17500</v>
      </c>
      <c r="D880" s="387"/>
      <c r="E880" s="387"/>
      <c r="F880" s="387"/>
      <c r="G880" s="387"/>
      <c r="H880" s="387"/>
      <c r="I880" s="387"/>
      <c r="J880" s="387"/>
      <c r="K880" s="387"/>
      <c r="L880" s="390"/>
      <c r="M880" s="357"/>
      <c r="N880" s="457"/>
      <c r="O880" s="390"/>
      <c r="P880" s="147"/>
      <c r="Q880" s="387"/>
      <c r="R880" s="1"/>
    </row>
    <row r="881" spans="1:18" ht="16.2" thickBot="1" x14ac:dyDescent="0.35">
      <c r="A881" s="352" t="s">
        <v>92</v>
      </c>
      <c r="B881" s="353"/>
      <c r="C881" s="353"/>
      <c r="D881" s="353"/>
      <c r="E881" s="353"/>
      <c r="F881" s="353"/>
      <c r="G881" s="353"/>
      <c r="H881" s="353"/>
      <c r="I881" s="353"/>
      <c r="J881" s="353"/>
      <c r="K881" s="353"/>
      <c r="L881" s="353"/>
      <c r="M881" s="353"/>
      <c r="N881" s="353"/>
      <c r="O881" s="353"/>
      <c r="P881" s="353"/>
      <c r="Q881" s="354"/>
      <c r="R881" s="1"/>
    </row>
    <row r="882" spans="1:18" ht="15.6" x14ac:dyDescent="0.3">
      <c r="A882" s="388">
        <v>702</v>
      </c>
      <c r="B882" s="388" t="s">
        <v>424</v>
      </c>
      <c r="C882" s="45">
        <v>-15095</v>
      </c>
      <c r="D882" s="388">
        <v>1</v>
      </c>
      <c r="E882" s="388" t="s">
        <v>271</v>
      </c>
      <c r="F882" s="388">
        <v>1200</v>
      </c>
      <c r="G882" s="388">
        <v>940</v>
      </c>
      <c r="H882" s="388" t="s">
        <v>50</v>
      </c>
      <c r="I882" s="388">
        <v>95</v>
      </c>
      <c r="J882" s="385" t="s">
        <v>45</v>
      </c>
      <c r="K882" s="388">
        <v>30</v>
      </c>
      <c r="L882" s="388">
        <v>0</v>
      </c>
      <c r="M882" s="355" t="s">
        <v>14</v>
      </c>
      <c r="N882" s="437" t="s">
        <v>435</v>
      </c>
      <c r="O882" s="388" t="s">
        <v>27</v>
      </c>
      <c r="P882" s="145"/>
      <c r="Q882" s="388" t="s">
        <v>436</v>
      </c>
      <c r="R882" s="1"/>
    </row>
    <row r="883" spans="1:18" ht="15.6" x14ac:dyDescent="0.3">
      <c r="A883" s="389"/>
      <c r="B883" s="389"/>
      <c r="C883" s="46">
        <v>-2220</v>
      </c>
      <c r="D883" s="389"/>
      <c r="E883" s="389"/>
      <c r="F883" s="389"/>
      <c r="G883" s="389"/>
      <c r="H883" s="389"/>
      <c r="I883" s="389"/>
      <c r="J883" s="386"/>
      <c r="K883" s="389"/>
      <c r="L883" s="389"/>
      <c r="M883" s="356"/>
      <c r="N883" s="438"/>
      <c r="O883" s="389"/>
      <c r="P883" s="146"/>
      <c r="Q883" s="389"/>
      <c r="R883" s="1"/>
    </row>
    <row r="884" spans="1:18" ht="16.2" thickBot="1" x14ac:dyDescent="0.35">
      <c r="A884" s="390"/>
      <c r="B884" s="390"/>
      <c r="C884" s="47">
        <v>20702</v>
      </c>
      <c r="D884" s="390"/>
      <c r="E884" s="390"/>
      <c r="F884" s="390"/>
      <c r="G884" s="390"/>
      <c r="H884" s="390"/>
      <c r="I884" s="390"/>
      <c r="J884" s="387"/>
      <c r="K884" s="390"/>
      <c r="L884" s="390"/>
      <c r="M884" s="357"/>
      <c r="N884" s="439"/>
      <c r="O884" s="390"/>
      <c r="P884" s="147"/>
      <c r="Q884" s="390"/>
      <c r="R884" s="1"/>
    </row>
    <row r="885" spans="1:18" ht="15.6" x14ac:dyDescent="0.3">
      <c r="A885" s="388">
        <v>703</v>
      </c>
      <c r="B885" s="388" t="s">
        <v>424</v>
      </c>
      <c r="C885" s="45">
        <v>-15910</v>
      </c>
      <c r="D885" s="388">
        <v>1</v>
      </c>
      <c r="E885" s="388" t="s">
        <v>271</v>
      </c>
      <c r="F885" s="388">
        <v>1200</v>
      </c>
      <c r="G885" s="388">
        <v>940</v>
      </c>
      <c r="H885" s="388" t="s">
        <v>50</v>
      </c>
      <c r="I885" s="388">
        <v>95</v>
      </c>
      <c r="J885" s="385" t="s">
        <v>45</v>
      </c>
      <c r="K885" s="388">
        <v>30</v>
      </c>
      <c r="L885" s="388">
        <v>0</v>
      </c>
      <c r="M885" s="355" t="s">
        <v>14</v>
      </c>
      <c r="N885" s="437" t="s">
        <v>435</v>
      </c>
      <c r="O885" s="388" t="s">
        <v>27</v>
      </c>
      <c r="P885" s="145"/>
      <c r="Q885" s="388" t="s">
        <v>436</v>
      </c>
      <c r="R885" s="1"/>
    </row>
    <row r="886" spans="1:18" ht="15.6" x14ac:dyDescent="0.3">
      <c r="A886" s="389"/>
      <c r="B886" s="389"/>
      <c r="C886" s="46">
        <v>-2220</v>
      </c>
      <c r="D886" s="389"/>
      <c r="E886" s="389"/>
      <c r="F886" s="389"/>
      <c r="G886" s="389"/>
      <c r="H886" s="389"/>
      <c r="I886" s="389"/>
      <c r="J886" s="386"/>
      <c r="K886" s="389"/>
      <c r="L886" s="389"/>
      <c r="M886" s="356"/>
      <c r="N886" s="438"/>
      <c r="O886" s="389"/>
      <c r="P886" s="146"/>
      <c r="Q886" s="389"/>
      <c r="R886" s="1"/>
    </row>
    <row r="887" spans="1:18" ht="16.2" thickBot="1" x14ac:dyDescent="0.35">
      <c r="A887" s="390"/>
      <c r="B887" s="390"/>
      <c r="C887" s="47">
        <v>20702</v>
      </c>
      <c r="D887" s="390"/>
      <c r="E887" s="390"/>
      <c r="F887" s="390"/>
      <c r="G887" s="390"/>
      <c r="H887" s="390"/>
      <c r="I887" s="390"/>
      <c r="J887" s="387"/>
      <c r="K887" s="390"/>
      <c r="L887" s="390"/>
      <c r="M887" s="357"/>
      <c r="N887" s="439"/>
      <c r="O887" s="390"/>
      <c r="P887" s="147"/>
      <c r="Q887" s="390"/>
      <c r="R887" s="1"/>
    </row>
    <row r="888" spans="1:18" ht="15.6" x14ac:dyDescent="0.3">
      <c r="A888" s="388">
        <v>704</v>
      </c>
      <c r="B888" s="388" t="s">
        <v>48</v>
      </c>
      <c r="C888" s="45">
        <v>-15475</v>
      </c>
      <c r="D888" s="388">
        <v>1</v>
      </c>
      <c r="E888" s="388" t="s">
        <v>63</v>
      </c>
      <c r="F888" s="388">
        <v>1200</v>
      </c>
      <c r="G888" s="388">
        <v>940</v>
      </c>
      <c r="H888" s="388" t="s">
        <v>44</v>
      </c>
      <c r="I888" s="388">
        <v>190</v>
      </c>
      <c r="J888" s="385" t="s">
        <v>45</v>
      </c>
      <c r="K888" s="388">
        <v>60</v>
      </c>
      <c r="L888" s="388">
        <v>-42</v>
      </c>
      <c r="M888" s="355" t="s">
        <v>14</v>
      </c>
      <c r="N888" s="437" t="s">
        <v>435</v>
      </c>
      <c r="O888" s="388" t="s">
        <v>27</v>
      </c>
      <c r="P888" s="145"/>
      <c r="Q888" s="388" t="s">
        <v>243</v>
      </c>
      <c r="R888" s="1"/>
    </row>
    <row r="889" spans="1:18" ht="15.6" x14ac:dyDescent="0.3">
      <c r="A889" s="389"/>
      <c r="B889" s="389"/>
      <c r="C889" s="46">
        <v>-1300</v>
      </c>
      <c r="D889" s="389"/>
      <c r="E889" s="389"/>
      <c r="F889" s="389"/>
      <c r="G889" s="389"/>
      <c r="H889" s="389"/>
      <c r="I889" s="389"/>
      <c r="J889" s="386"/>
      <c r="K889" s="389"/>
      <c r="L889" s="389"/>
      <c r="M889" s="356"/>
      <c r="N889" s="438"/>
      <c r="O889" s="389"/>
      <c r="P889" s="146"/>
      <c r="Q889" s="389"/>
      <c r="R889" s="1"/>
    </row>
    <row r="890" spans="1:18" ht="16.2" thickBot="1" x14ac:dyDescent="0.35">
      <c r="A890" s="390"/>
      <c r="B890" s="390"/>
      <c r="C890" s="47">
        <v>20702</v>
      </c>
      <c r="D890" s="390"/>
      <c r="E890" s="390"/>
      <c r="F890" s="390"/>
      <c r="G890" s="390"/>
      <c r="H890" s="390"/>
      <c r="I890" s="390"/>
      <c r="J890" s="387"/>
      <c r="K890" s="390"/>
      <c r="L890" s="390"/>
      <c r="M890" s="357"/>
      <c r="N890" s="439"/>
      <c r="O890" s="390"/>
      <c r="P890" s="147"/>
      <c r="Q890" s="390"/>
      <c r="R890" s="1"/>
    </row>
    <row r="891" spans="1:18" ht="16.2" thickBot="1" x14ac:dyDescent="0.35">
      <c r="A891" s="352" t="s">
        <v>93</v>
      </c>
      <c r="B891" s="353"/>
      <c r="C891" s="353"/>
      <c r="D891" s="353"/>
      <c r="E891" s="353"/>
      <c r="F891" s="353"/>
      <c r="G891" s="353"/>
      <c r="H891" s="353"/>
      <c r="I891" s="353"/>
      <c r="J891" s="353"/>
      <c r="K891" s="353"/>
      <c r="L891" s="353"/>
      <c r="M891" s="353"/>
      <c r="N891" s="353"/>
      <c r="O891" s="353"/>
      <c r="P891" s="353"/>
      <c r="Q891" s="354"/>
      <c r="R891" s="1"/>
    </row>
    <row r="892" spans="1:18" ht="15" x14ac:dyDescent="0.3">
      <c r="A892" s="361">
        <v>728</v>
      </c>
      <c r="B892" s="361" t="s">
        <v>444</v>
      </c>
      <c r="C892" s="113">
        <v>16225</v>
      </c>
      <c r="D892" s="361">
        <v>1</v>
      </c>
      <c r="E892" s="361" t="s">
        <v>161</v>
      </c>
      <c r="F892" s="361">
        <v>1450</v>
      </c>
      <c r="G892" s="355">
        <v>1100</v>
      </c>
      <c r="H892" s="361" t="s">
        <v>25</v>
      </c>
      <c r="I892" s="361">
        <v>95</v>
      </c>
      <c r="J892" s="361" t="s">
        <v>45</v>
      </c>
      <c r="K892" s="361">
        <v>30</v>
      </c>
      <c r="L892" s="355">
        <v>27.5</v>
      </c>
      <c r="M892" s="355" t="s">
        <v>14</v>
      </c>
      <c r="N892" s="355" t="s">
        <v>437</v>
      </c>
      <c r="O892" s="355" t="s">
        <v>27</v>
      </c>
      <c r="P892" s="142"/>
      <c r="Q892" s="355" t="s">
        <v>364</v>
      </c>
      <c r="R892" s="350"/>
    </row>
    <row r="893" spans="1:18" ht="15" x14ac:dyDescent="0.3">
      <c r="A893" s="362"/>
      <c r="B893" s="362"/>
      <c r="C893" s="114">
        <v>13700</v>
      </c>
      <c r="D893" s="362"/>
      <c r="E893" s="362"/>
      <c r="F893" s="362"/>
      <c r="G893" s="356"/>
      <c r="H893" s="362"/>
      <c r="I893" s="362"/>
      <c r="J893" s="362"/>
      <c r="K893" s="362"/>
      <c r="L893" s="356"/>
      <c r="M893" s="356"/>
      <c r="N893" s="356"/>
      <c r="O893" s="356"/>
      <c r="P893" s="143"/>
      <c r="Q893" s="356"/>
      <c r="R893" s="351"/>
    </row>
    <row r="894" spans="1:18" ht="15.6" thickBot="1" x14ac:dyDescent="0.35">
      <c r="A894" s="363"/>
      <c r="B894" s="363"/>
      <c r="C894" s="115">
        <v>25825</v>
      </c>
      <c r="D894" s="363"/>
      <c r="E894" s="363"/>
      <c r="F894" s="363"/>
      <c r="G894" s="357"/>
      <c r="H894" s="363"/>
      <c r="I894" s="363"/>
      <c r="J894" s="363"/>
      <c r="K894" s="363"/>
      <c r="L894" s="357"/>
      <c r="M894" s="357"/>
      <c r="N894" s="357"/>
      <c r="O894" s="357"/>
      <c r="P894" s="144"/>
      <c r="Q894" s="357"/>
      <c r="R894" s="351"/>
    </row>
    <row r="895" spans="1:18" ht="15" x14ac:dyDescent="0.3">
      <c r="A895" s="361">
        <v>729</v>
      </c>
      <c r="B895" s="361" t="s">
        <v>444</v>
      </c>
      <c r="C895" s="113">
        <v>16550</v>
      </c>
      <c r="D895" s="361">
        <v>1</v>
      </c>
      <c r="E895" s="361" t="s">
        <v>161</v>
      </c>
      <c r="F895" s="361">
        <v>1450</v>
      </c>
      <c r="G895" s="355">
        <v>1100</v>
      </c>
      <c r="H895" s="361" t="s">
        <v>25</v>
      </c>
      <c r="I895" s="361">
        <v>95</v>
      </c>
      <c r="J895" s="361" t="s">
        <v>45</v>
      </c>
      <c r="K895" s="361">
        <v>30</v>
      </c>
      <c r="L895" s="355">
        <v>27.5</v>
      </c>
      <c r="M895" s="355" t="s">
        <v>14</v>
      </c>
      <c r="N895" s="355" t="s">
        <v>437</v>
      </c>
      <c r="O895" s="355" t="s">
        <v>27</v>
      </c>
      <c r="P895" s="142"/>
      <c r="Q895" s="355" t="s">
        <v>364</v>
      </c>
      <c r="R895" s="1"/>
    </row>
    <row r="896" spans="1:18" ht="15" x14ac:dyDescent="0.3">
      <c r="A896" s="362"/>
      <c r="B896" s="362"/>
      <c r="C896" s="114">
        <v>13460</v>
      </c>
      <c r="D896" s="362"/>
      <c r="E896" s="362"/>
      <c r="F896" s="362"/>
      <c r="G896" s="356"/>
      <c r="H896" s="362"/>
      <c r="I896" s="362"/>
      <c r="J896" s="362"/>
      <c r="K896" s="362"/>
      <c r="L896" s="356"/>
      <c r="M896" s="356"/>
      <c r="N896" s="356"/>
      <c r="O896" s="356"/>
      <c r="P896" s="143"/>
      <c r="Q896" s="356"/>
      <c r="R896" s="1"/>
    </row>
    <row r="897" spans="1:18" ht="15.6" thickBot="1" x14ac:dyDescent="0.35">
      <c r="A897" s="363"/>
      <c r="B897" s="363"/>
      <c r="C897" s="115">
        <v>25825</v>
      </c>
      <c r="D897" s="363"/>
      <c r="E897" s="363"/>
      <c r="F897" s="363"/>
      <c r="G897" s="357"/>
      <c r="H897" s="363"/>
      <c r="I897" s="363"/>
      <c r="J897" s="363"/>
      <c r="K897" s="363"/>
      <c r="L897" s="357"/>
      <c r="M897" s="357"/>
      <c r="N897" s="357"/>
      <c r="O897" s="357"/>
      <c r="P897" s="144"/>
      <c r="Q897" s="357"/>
      <c r="R897" s="1"/>
    </row>
    <row r="898" spans="1:18" ht="15" x14ac:dyDescent="0.3">
      <c r="A898" s="355">
        <v>730</v>
      </c>
      <c r="B898" s="355" t="s">
        <v>174</v>
      </c>
      <c r="C898" s="116">
        <v>16365</v>
      </c>
      <c r="D898" s="361">
        <v>0</v>
      </c>
      <c r="E898" s="355" t="s">
        <v>13</v>
      </c>
      <c r="F898" s="355">
        <v>1450</v>
      </c>
      <c r="G898" s="355">
        <v>1100</v>
      </c>
      <c r="H898" s="361" t="s">
        <v>25</v>
      </c>
      <c r="I898" s="355" t="s">
        <v>13</v>
      </c>
      <c r="J898" s="355" t="s">
        <v>13</v>
      </c>
      <c r="K898" s="355" t="s">
        <v>13</v>
      </c>
      <c r="L898" s="355" t="s">
        <v>13</v>
      </c>
      <c r="M898" s="355" t="s">
        <v>14</v>
      </c>
      <c r="N898" s="355" t="s">
        <v>437</v>
      </c>
      <c r="O898" s="355" t="s">
        <v>27</v>
      </c>
      <c r="P898" s="142"/>
      <c r="Q898" s="355" t="s">
        <v>176</v>
      </c>
      <c r="R898" s="1"/>
    </row>
    <row r="899" spans="1:18" ht="15" x14ac:dyDescent="0.3">
      <c r="A899" s="356"/>
      <c r="B899" s="356"/>
      <c r="C899" s="117">
        <v>13155</v>
      </c>
      <c r="D899" s="362"/>
      <c r="E899" s="356"/>
      <c r="F899" s="356"/>
      <c r="G899" s="356"/>
      <c r="H899" s="362"/>
      <c r="I899" s="356"/>
      <c r="J899" s="356"/>
      <c r="K899" s="356"/>
      <c r="L899" s="356"/>
      <c r="M899" s="356"/>
      <c r="N899" s="356"/>
      <c r="O899" s="356"/>
      <c r="P899" s="143"/>
      <c r="Q899" s="356"/>
      <c r="R899" s="1"/>
    </row>
    <row r="900" spans="1:18" ht="15.6" thickBot="1" x14ac:dyDescent="0.35">
      <c r="A900" s="357"/>
      <c r="B900" s="357"/>
      <c r="C900" s="118">
        <v>25825</v>
      </c>
      <c r="D900" s="363"/>
      <c r="E900" s="357"/>
      <c r="F900" s="357"/>
      <c r="G900" s="357"/>
      <c r="H900" s="363"/>
      <c r="I900" s="357"/>
      <c r="J900" s="357"/>
      <c r="K900" s="357"/>
      <c r="L900" s="357"/>
      <c r="M900" s="357"/>
      <c r="N900" s="357"/>
      <c r="O900" s="357"/>
      <c r="P900" s="144"/>
      <c r="Q900" s="357"/>
      <c r="R900" s="1"/>
    </row>
    <row r="901" spans="1:18" ht="15" x14ac:dyDescent="0.3">
      <c r="A901" s="355">
        <v>731</v>
      </c>
      <c r="B901" s="355" t="s">
        <v>174</v>
      </c>
      <c r="C901" s="116">
        <v>16160</v>
      </c>
      <c r="D901" s="361">
        <v>0</v>
      </c>
      <c r="E901" s="355" t="s">
        <v>13</v>
      </c>
      <c r="F901" s="355">
        <v>1450</v>
      </c>
      <c r="G901" s="355">
        <v>1100</v>
      </c>
      <c r="H901" s="361" t="s">
        <v>25</v>
      </c>
      <c r="I901" s="355" t="s">
        <v>13</v>
      </c>
      <c r="J901" s="355" t="s">
        <v>13</v>
      </c>
      <c r="K901" s="355" t="s">
        <v>13</v>
      </c>
      <c r="L901" s="355" t="s">
        <v>13</v>
      </c>
      <c r="M901" s="355" t="s">
        <v>14</v>
      </c>
      <c r="N901" s="355" t="s">
        <v>437</v>
      </c>
      <c r="O901" s="355" t="s">
        <v>27</v>
      </c>
      <c r="P901" s="142"/>
      <c r="Q901" s="355" t="s">
        <v>176</v>
      </c>
      <c r="R901" s="1"/>
    </row>
    <row r="902" spans="1:18" ht="15" x14ac:dyDescent="0.3">
      <c r="A902" s="356"/>
      <c r="B902" s="356"/>
      <c r="C902" s="117">
        <v>13010</v>
      </c>
      <c r="D902" s="362"/>
      <c r="E902" s="356"/>
      <c r="F902" s="356"/>
      <c r="G902" s="356"/>
      <c r="H902" s="362"/>
      <c r="I902" s="356"/>
      <c r="J902" s="356"/>
      <c r="K902" s="356"/>
      <c r="L902" s="356"/>
      <c r="M902" s="356"/>
      <c r="N902" s="356"/>
      <c r="O902" s="356"/>
      <c r="P902" s="143"/>
      <c r="Q902" s="356"/>
      <c r="R902" s="1"/>
    </row>
    <row r="903" spans="1:18" ht="15.6" thickBot="1" x14ac:dyDescent="0.35">
      <c r="A903" s="357"/>
      <c r="B903" s="357"/>
      <c r="C903" s="118">
        <v>25825</v>
      </c>
      <c r="D903" s="363"/>
      <c r="E903" s="357"/>
      <c r="F903" s="357"/>
      <c r="G903" s="357"/>
      <c r="H903" s="363"/>
      <c r="I903" s="357"/>
      <c r="J903" s="357"/>
      <c r="K903" s="357"/>
      <c r="L903" s="357"/>
      <c r="M903" s="357"/>
      <c r="N903" s="357"/>
      <c r="O903" s="357"/>
      <c r="P903" s="144"/>
      <c r="Q903" s="357"/>
      <c r="R903" s="1"/>
    </row>
    <row r="904" spans="1:18" ht="15" x14ac:dyDescent="0.3">
      <c r="A904" s="361">
        <v>732</v>
      </c>
      <c r="B904" s="361" t="s">
        <v>444</v>
      </c>
      <c r="C904" s="113">
        <v>16920</v>
      </c>
      <c r="D904" s="361">
        <v>2</v>
      </c>
      <c r="E904" s="361" t="s">
        <v>161</v>
      </c>
      <c r="F904" s="361">
        <v>1450</v>
      </c>
      <c r="G904" s="355">
        <v>1100</v>
      </c>
      <c r="H904" s="361" t="s">
        <v>25</v>
      </c>
      <c r="I904" s="361">
        <v>95</v>
      </c>
      <c r="J904" s="361" t="s">
        <v>45</v>
      </c>
      <c r="K904" s="455" t="s">
        <v>193</v>
      </c>
      <c r="L904" s="355" t="s">
        <v>13</v>
      </c>
      <c r="M904" s="355" t="s">
        <v>14</v>
      </c>
      <c r="N904" s="355" t="s">
        <v>437</v>
      </c>
      <c r="O904" s="355" t="s">
        <v>27</v>
      </c>
      <c r="P904" s="142"/>
      <c r="Q904" s="355" t="s">
        <v>445</v>
      </c>
      <c r="R904" s="1"/>
    </row>
    <row r="905" spans="1:18" ht="15.6" thickBot="1" x14ac:dyDescent="0.35">
      <c r="A905" s="362"/>
      <c r="B905" s="363"/>
      <c r="C905" s="114">
        <v>13205</v>
      </c>
      <c r="D905" s="362"/>
      <c r="E905" s="363"/>
      <c r="F905" s="362"/>
      <c r="G905" s="356"/>
      <c r="H905" s="362"/>
      <c r="I905" s="363"/>
      <c r="J905" s="363"/>
      <c r="K905" s="456"/>
      <c r="L905" s="356"/>
      <c r="M905" s="356"/>
      <c r="N905" s="356"/>
      <c r="O905" s="356"/>
      <c r="P905" s="143"/>
      <c r="Q905" s="356"/>
      <c r="R905" s="1"/>
    </row>
    <row r="906" spans="1:18" ht="30.6" thickBot="1" x14ac:dyDescent="0.35">
      <c r="A906" s="363"/>
      <c r="B906" s="115" t="s">
        <v>446</v>
      </c>
      <c r="C906" s="115">
        <v>25825</v>
      </c>
      <c r="D906" s="363"/>
      <c r="E906" s="115" t="s">
        <v>168</v>
      </c>
      <c r="F906" s="363"/>
      <c r="G906" s="357"/>
      <c r="H906" s="363"/>
      <c r="I906" s="115">
        <v>95</v>
      </c>
      <c r="J906" s="115" t="s">
        <v>45</v>
      </c>
      <c r="K906" s="457"/>
      <c r="L906" s="357"/>
      <c r="M906" s="357"/>
      <c r="N906" s="357"/>
      <c r="O906" s="357"/>
      <c r="P906" s="144"/>
      <c r="Q906" s="357"/>
      <c r="R906" s="1"/>
    </row>
    <row r="907" spans="1:18" ht="15.6" x14ac:dyDescent="0.3">
      <c r="A907" s="376">
        <v>733</v>
      </c>
      <c r="B907" s="376" t="s">
        <v>444</v>
      </c>
      <c r="C907" s="58">
        <v>17210</v>
      </c>
      <c r="D907" s="376">
        <v>2</v>
      </c>
      <c r="E907" s="376" t="s">
        <v>161</v>
      </c>
      <c r="F907" s="376">
        <v>1450</v>
      </c>
      <c r="G907" s="373">
        <v>1100</v>
      </c>
      <c r="H907" s="376" t="s">
        <v>25</v>
      </c>
      <c r="I907" s="376">
        <v>95</v>
      </c>
      <c r="J907" s="376" t="s">
        <v>45</v>
      </c>
      <c r="K907" s="402" t="s">
        <v>193</v>
      </c>
      <c r="L907" s="373" t="s">
        <v>13</v>
      </c>
      <c r="M907" s="379" t="s">
        <v>14</v>
      </c>
      <c r="N907" s="408" t="s">
        <v>437</v>
      </c>
      <c r="O907" s="373" t="s">
        <v>27</v>
      </c>
      <c r="P907" s="156"/>
      <c r="Q907" s="373" t="s">
        <v>445</v>
      </c>
      <c r="R907" s="350">
        <v>44042</v>
      </c>
    </row>
    <row r="908" spans="1:18" ht="16.2" thickBot="1" x14ac:dyDescent="0.35">
      <c r="A908" s="377"/>
      <c r="B908" s="378"/>
      <c r="C908" s="59">
        <v>12945</v>
      </c>
      <c r="D908" s="377"/>
      <c r="E908" s="378"/>
      <c r="F908" s="377"/>
      <c r="G908" s="374"/>
      <c r="H908" s="377"/>
      <c r="I908" s="378"/>
      <c r="J908" s="378"/>
      <c r="K908" s="403"/>
      <c r="L908" s="374"/>
      <c r="M908" s="380"/>
      <c r="N908" s="409"/>
      <c r="O908" s="374"/>
      <c r="P908" s="157"/>
      <c r="Q908" s="374"/>
      <c r="R908" s="351"/>
    </row>
    <row r="909" spans="1:18" ht="31.8" thickBot="1" x14ac:dyDescent="0.35">
      <c r="A909" s="378"/>
      <c r="B909" s="57" t="s">
        <v>446</v>
      </c>
      <c r="C909" s="57">
        <v>25825</v>
      </c>
      <c r="D909" s="378"/>
      <c r="E909" s="57" t="s">
        <v>168</v>
      </c>
      <c r="F909" s="378"/>
      <c r="G909" s="375"/>
      <c r="H909" s="378"/>
      <c r="I909" s="57">
        <v>95</v>
      </c>
      <c r="J909" s="57" t="s">
        <v>45</v>
      </c>
      <c r="K909" s="404"/>
      <c r="L909" s="375"/>
      <c r="M909" s="381"/>
      <c r="N909" s="410"/>
      <c r="O909" s="375"/>
      <c r="P909" s="158"/>
      <c r="Q909" s="375"/>
      <c r="R909" s="351"/>
    </row>
    <row r="910" spans="1:18" ht="15.6" x14ac:dyDescent="0.3">
      <c r="A910" s="388">
        <v>747</v>
      </c>
      <c r="B910" s="388" t="s">
        <v>65</v>
      </c>
      <c r="C910" s="45">
        <v>18510</v>
      </c>
      <c r="D910" s="388">
        <v>1</v>
      </c>
      <c r="E910" s="388" t="s">
        <v>49</v>
      </c>
      <c r="F910" s="388">
        <v>1450</v>
      </c>
      <c r="G910" s="388">
        <v>1100</v>
      </c>
      <c r="H910" s="388" t="s">
        <v>50</v>
      </c>
      <c r="I910" s="388">
        <v>150</v>
      </c>
      <c r="J910" s="385" t="s">
        <v>45</v>
      </c>
      <c r="K910" s="388">
        <v>40</v>
      </c>
      <c r="L910" s="388">
        <v>-19.5</v>
      </c>
      <c r="M910" s="355" t="s">
        <v>14</v>
      </c>
      <c r="N910" s="437" t="s">
        <v>442</v>
      </c>
      <c r="O910" s="388" t="s">
        <v>27</v>
      </c>
      <c r="P910" s="145"/>
      <c r="Q910" s="388" t="s">
        <v>243</v>
      </c>
      <c r="R910" s="1"/>
    </row>
    <row r="911" spans="1:18" ht="15.6" x14ac:dyDescent="0.3">
      <c r="A911" s="389"/>
      <c r="B911" s="389"/>
      <c r="C911" s="46">
        <v>2225</v>
      </c>
      <c r="D911" s="389"/>
      <c r="E911" s="389"/>
      <c r="F911" s="389"/>
      <c r="G911" s="389"/>
      <c r="H911" s="389"/>
      <c r="I911" s="389"/>
      <c r="J911" s="386"/>
      <c r="K911" s="389"/>
      <c r="L911" s="389"/>
      <c r="M911" s="356"/>
      <c r="N911" s="438"/>
      <c r="O911" s="389"/>
      <c r="P911" s="146"/>
      <c r="Q911" s="389"/>
      <c r="R911" s="1"/>
    </row>
    <row r="912" spans="1:18" ht="16.2" thickBot="1" x14ac:dyDescent="0.35">
      <c r="A912" s="390"/>
      <c r="B912" s="390"/>
      <c r="C912" s="47">
        <v>25825</v>
      </c>
      <c r="D912" s="390"/>
      <c r="E912" s="390"/>
      <c r="F912" s="390"/>
      <c r="G912" s="390"/>
      <c r="H912" s="390"/>
      <c r="I912" s="390"/>
      <c r="J912" s="387"/>
      <c r="K912" s="390"/>
      <c r="L912" s="390"/>
      <c r="M912" s="357"/>
      <c r="N912" s="439"/>
      <c r="O912" s="390"/>
      <c r="P912" s="147"/>
      <c r="Q912" s="390"/>
      <c r="R912" s="1"/>
    </row>
    <row r="913" spans="1:18" ht="15.6" x14ac:dyDescent="0.3">
      <c r="A913" s="385">
        <v>748</v>
      </c>
      <c r="B913" s="385" t="s">
        <v>191</v>
      </c>
      <c r="C913" s="43">
        <v>18720</v>
      </c>
      <c r="D913" s="385">
        <v>1</v>
      </c>
      <c r="E913" s="385" t="s">
        <v>168</v>
      </c>
      <c r="F913" s="385">
        <v>1650</v>
      </c>
      <c r="G913" s="385">
        <v>1400</v>
      </c>
      <c r="H913" s="388" t="s">
        <v>50</v>
      </c>
      <c r="I913" s="385">
        <v>150</v>
      </c>
      <c r="J913" s="385" t="s">
        <v>45</v>
      </c>
      <c r="K913" s="385">
        <v>30</v>
      </c>
      <c r="L913" s="388">
        <v>12</v>
      </c>
      <c r="M913" s="355" t="s">
        <v>14</v>
      </c>
      <c r="N913" s="437" t="s">
        <v>442</v>
      </c>
      <c r="O913" s="388" t="s">
        <v>27</v>
      </c>
      <c r="P913" s="145"/>
      <c r="Q913" s="388" t="s">
        <v>450</v>
      </c>
      <c r="R913" s="1"/>
    </row>
    <row r="914" spans="1:18" ht="15.6" x14ac:dyDescent="0.3">
      <c r="A914" s="386"/>
      <c r="B914" s="386"/>
      <c r="C914" s="48">
        <v>8480</v>
      </c>
      <c r="D914" s="386"/>
      <c r="E914" s="386"/>
      <c r="F914" s="386"/>
      <c r="G914" s="386"/>
      <c r="H914" s="389"/>
      <c r="I914" s="386"/>
      <c r="J914" s="386"/>
      <c r="K914" s="386"/>
      <c r="L914" s="389"/>
      <c r="M914" s="356"/>
      <c r="N914" s="438"/>
      <c r="O914" s="389"/>
      <c r="P914" s="146"/>
      <c r="Q914" s="389"/>
      <c r="R914" s="1"/>
    </row>
    <row r="915" spans="1:18" ht="16.2" thickBot="1" x14ac:dyDescent="0.35">
      <c r="A915" s="387"/>
      <c r="B915" s="387"/>
      <c r="C915" s="44">
        <v>25925</v>
      </c>
      <c r="D915" s="387"/>
      <c r="E915" s="387"/>
      <c r="F915" s="387"/>
      <c r="G915" s="387"/>
      <c r="H915" s="390"/>
      <c r="I915" s="387"/>
      <c r="J915" s="387"/>
      <c r="K915" s="387"/>
      <c r="L915" s="390"/>
      <c r="M915" s="357"/>
      <c r="N915" s="439"/>
      <c r="O915" s="390"/>
      <c r="P915" s="147"/>
      <c r="Q915" s="390"/>
      <c r="R915" s="1"/>
    </row>
    <row r="916" spans="1:18" ht="15.6" x14ac:dyDescent="0.3">
      <c r="A916" s="385">
        <v>749</v>
      </c>
      <c r="B916" s="385" t="s">
        <v>191</v>
      </c>
      <c r="C916" s="45">
        <v>19150</v>
      </c>
      <c r="D916" s="385">
        <v>1</v>
      </c>
      <c r="E916" s="388" t="s">
        <v>168</v>
      </c>
      <c r="F916" s="388">
        <v>1650</v>
      </c>
      <c r="G916" s="385">
        <v>1400</v>
      </c>
      <c r="H916" s="388" t="s">
        <v>50</v>
      </c>
      <c r="I916" s="388">
        <v>150</v>
      </c>
      <c r="J916" s="385" t="s">
        <v>45</v>
      </c>
      <c r="K916" s="388">
        <v>30</v>
      </c>
      <c r="L916" s="388">
        <v>12</v>
      </c>
      <c r="M916" s="355" t="s">
        <v>14</v>
      </c>
      <c r="N916" s="437" t="s">
        <v>442</v>
      </c>
      <c r="O916" s="388" t="s">
        <v>27</v>
      </c>
      <c r="P916" s="145"/>
      <c r="Q916" s="388" t="s">
        <v>450</v>
      </c>
      <c r="R916" s="1"/>
    </row>
    <row r="917" spans="1:18" ht="15.6" x14ac:dyDescent="0.3">
      <c r="A917" s="386"/>
      <c r="B917" s="386"/>
      <c r="C917" s="46">
        <v>7775</v>
      </c>
      <c r="D917" s="386"/>
      <c r="E917" s="389"/>
      <c r="F917" s="389"/>
      <c r="G917" s="386"/>
      <c r="H917" s="389"/>
      <c r="I917" s="389"/>
      <c r="J917" s="386"/>
      <c r="K917" s="389"/>
      <c r="L917" s="389"/>
      <c r="M917" s="356"/>
      <c r="N917" s="438"/>
      <c r="O917" s="389"/>
      <c r="P917" s="146"/>
      <c r="Q917" s="389"/>
      <c r="R917" s="1"/>
    </row>
    <row r="918" spans="1:18" ht="16.2" thickBot="1" x14ac:dyDescent="0.35">
      <c r="A918" s="387"/>
      <c r="B918" s="387"/>
      <c r="C918" s="47">
        <v>25925</v>
      </c>
      <c r="D918" s="387"/>
      <c r="E918" s="390"/>
      <c r="F918" s="390"/>
      <c r="G918" s="387"/>
      <c r="H918" s="390"/>
      <c r="I918" s="390"/>
      <c r="J918" s="387"/>
      <c r="K918" s="390"/>
      <c r="L918" s="390"/>
      <c r="M918" s="357"/>
      <c r="N918" s="439"/>
      <c r="O918" s="390"/>
      <c r="P918" s="147"/>
      <c r="Q918" s="390"/>
      <c r="R918" s="1"/>
    </row>
    <row r="919" spans="1:18" ht="15.6" x14ac:dyDescent="0.3">
      <c r="A919" s="385">
        <v>754</v>
      </c>
      <c r="B919" s="385" t="s">
        <v>446</v>
      </c>
      <c r="C919" s="43">
        <v>-20915</v>
      </c>
      <c r="D919" s="385">
        <v>1</v>
      </c>
      <c r="E919" s="385" t="s">
        <v>255</v>
      </c>
      <c r="F919" s="385">
        <v>1650</v>
      </c>
      <c r="G919" s="385">
        <v>1400</v>
      </c>
      <c r="H919" s="388" t="s">
        <v>50</v>
      </c>
      <c r="I919" s="385">
        <v>90</v>
      </c>
      <c r="J919" s="385" t="s">
        <v>45</v>
      </c>
      <c r="K919" s="385">
        <v>30</v>
      </c>
      <c r="L919" s="388">
        <v>6.5</v>
      </c>
      <c r="M919" s="355" t="s">
        <v>14</v>
      </c>
      <c r="N919" s="388" t="s">
        <v>437</v>
      </c>
      <c r="O919" s="388" t="s">
        <v>27</v>
      </c>
      <c r="P919" s="145"/>
      <c r="Q919" s="388" t="s">
        <v>451</v>
      </c>
      <c r="R919" s="1"/>
    </row>
    <row r="920" spans="1:18" ht="15.6" x14ac:dyDescent="0.3">
      <c r="A920" s="386"/>
      <c r="B920" s="386"/>
      <c r="C920" s="48">
        <v>4605</v>
      </c>
      <c r="D920" s="386"/>
      <c r="E920" s="386"/>
      <c r="F920" s="386"/>
      <c r="G920" s="386"/>
      <c r="H920" s="389"/>
      <c r="I920" s="386"/>
      <c r="J920" s="386"/>
      <c r="K920" s="386"/>
      <c r="L920" s="389"/>
      <c r="M920" s="356"/>
      <c r="N920" s="389"/>
      <c r="O920" s="389"/>
      <c r="P920" s="146"/>
      <c r="Q920" s="389"/>
      <c r="R920" s="1"/>
    </row>
    <row r="921" spans="1:18" ht="16.2" thickBot="1" x14ac:dyDescent="0.35">
      <c r="A921" s="387"/>
      <c r="B921" s="387"/>
      <c r="C921" s="44">
        <v>25925</v>
      </c>
      <c r="D921" s="387"/>
      <c r="E921" s="387"/>
      <c r="F921" s="387"/>
      <c r="G921" s="387"/>
      <c r="H921" s="390"/>
      <c r="I921" s="387"/>
      <c r="J921" s="387"/>
      <c r="K921" s="387"/>
      <c r="L921" s="390"/>
      <c r="M921" s="357"/>
      <c r="N921" s="390"/>
      <c r="O921" s="390"/>
      <c r="P921" s="147"/>
      <c r="Q921" s="390"/>
      <c r="R921" s="1"/>
    </row>
    <row r="922" spans="1:18" ht="15.6" x14ac:dyDescent="0.3">
      <c r="A922" s="388">
        <v>755</v>
      </c>
      <c r="B922" s="388" t="s">
        <v>174</v>
      </c>
      <c r="C922" s="45">
        <v>17370</v>
      </c>
      <c r="D922" s="385">
        <v>0</v>
      </c>
      <c r="E922" s="388" t="s">
        <v>13</v>
      </c>
      <c r="F922" s="388">
        <v>1650</v>
      </c>
      <c r="G922" s="388">
        <v>1400</v>
      </c>
      <c r="H922" s="388" t="s">
        <v>25</v>
      </c>
      <c r="I922" s="388" t="s">
        <v>13</v>
      </c>
      <c r="J922" s="388" t="s">
        <v>13</v>
      </c>
      <c r="K922" s="388" t="s">
        <v>13</v>
      </c>
      <c r="L922" s="388" t="s">
        <v>13</v>
      </c>
      <c r="M922" s="355" t="s">
        <v>14</v>
      </c>
      <c r="N922" s="388" t="s">
        <v>442</v>
      </c>
      <c r="O922" s="388" t="s">
        <v>27</v>
      </c>
      <c r="P922" s="145"/>
      <c r="Q922" s="388" t="s">
        <v>176</v>
      </c>
      <c r="R922" s="1"/>
    </row>
    <row r="923" spans="1:18" ht="15.6" x14ac:dyDescent="0.3">
      <c r="A923" s="389"/>
      <c r="B923" s="389"/>
      <c r="C923" s="46">
        <v>11940</v>
      </c>
      <c r="D923" s="386"/>
      <c r="E923" s="389"/>
      <c r="F923" s="389"/>
      <c r="G923" s="389"/>
      <c r="H923" s="389"/>
      <c r="I923" s="389"/>
      <c r="J923" s="389"/>
      <c r="K923" s="389"/>
      <c r="L923" s="389"/>
      <c r="M923" s="356"/>
      <c r="N923" s="389"/>
      <c r="O923" s="389"/>
      <c r="P923" s="146"/>
      <c r="Q923" s="389"/>
      <c r="R923" s="1"/>
    </row>
    <row r="924" spans="1:18" ht="16.2" thickBot="1" x14ac:dyDescent="0.35">
      <c r="A924" s="390"/>
      <c r="B924" s="390"/>
      <c r="C924" s="47">
        <v>25925</v>
      </c>
      <c r="D924" s="387"/>
      <c r="E924" s="390"/>
      <c r="F924" s="390"/>
      <c r="G924" s="390"/>
      <c r="H924" s="390"/>
      <c r="I924" s="390"/>
      <c r="J924" s="390"/>
      <c r="K924" s="390"/>
      <c r="L924" s="390"/>
      <c r="M924" s="357"/>
      <c r="N924" s="390"/>
      <c r="O924" s="390"/>
      <c r="P924" s="147"/>
      <c r="Q924" s="390"/>
      <c r="R924" s="1"/>
    </row>
    <row r="925" spans="1:18" ht="15.6" x14ac:dyDescent="0.3">
      <c r="A925" s="388">
        <v>756</v>
      </c>
      <c r="B925" s="388" t="s">
        <v>174</v>
      </c>
      <c r="C925" s="43">
        <v>18030</v>
      </c>
      <c r="D925" s="385">
        <v>0</v>
      </c>
      <c r="E925" s="385" t="s">
        <v>13</v>
      </c>
      <c r="F925" s="385">
        <v>1650</v>
      </c>
      <c r="G925" s="388">
        <v>1400</v>
      </c>
      <c r="H925" s="388" t="s">
        <v>25</v>
      </c>
      <c r="I925" s="385" t="s">
        <v>13</v>
      </c>
      <c r="J925" s="385" t="s">
        <v>13</v>
      </c>
      <c r="K925" s="385" t="s">
        <v>13</v>
      </c>
      <c r="L925" s="385" t="s">
        <v>13</v>
      </c>
      <c r="M925" s="355" t="s">
        <v>14</v>
      </c>
      <c r="N925" s="388" t="s">
        <v>442</v>
      </c>
      <c r="O925" s="388" t="s">
        <v>27</v>
      </c>
      <c r="P925" s="145"/>
      <c r="Q925" s="388" t="s">
        <v>176</v>
      </c>
      <c r="R925" s="1"/>
    </row>
    <row r="926" spans="1:18" ht="15.6" x14ac:dyDescent="0.3">
      <c r="A926" s="389"/>
      <c r="B926" s="389"/>
      <c r="C926" s="48">
        <v>11490</v>
      </c>
      <c r="D926" s="386"/>
      <c r="E926" s="386"/>
      <c r="F926" s="386"/>
      <c r="G926" s="389"/>
      <c r="H926" s="389"/>
      <c r="I926" s="386"/>
      <c r="J926" s="386"/>
      <c r="K926" s="386"/>
      <c r="L926" s="386"/>
      <c r="M926" s="356"/>
      <c r="N926" s="389"/>
      <c r="O926" s="389"/>
      <c r="P926" s="146"/>
      <c r="Q926" s="389"/>
      <c r="R926" s="1"/>
    </row>
    <row r="927" spans="1:18" ht="16.2" thickBot="1" x14ac:dyDescent="0.35">
      <c r="A927" s="390"/>
      <c r="B927" s="390"/>
      <c r="C927" s="44">
        <v>25925</v>
      </c>
      <c r="D927" s="387"/>
      <c r="E927" s="387"/>
      <c r="F927" s="387"/>
      <c r="G927" s="390"/>
      <c r="H927" s="390"/>
      <c r="I927" s="387"/>
      <c r="J927" s="387"/>
      <c r="K927" s="387"/>
      <c r="L927" s="387"/>
      <c r="M927" s="357"/>
      <c r="N927" s="390"/>
      <c r="O927" s="390"/>
      <c r="P927" s="147"/>
      <c r="Q927" s="390"/>
      <c r="R927" s="1"/>
    </row>
    <row r="928" spans="1:18" ht="15.6" x14ac:dyDescent="0.3">
      <c r="A928" s="388">
        <v>757</v>
      </c>
      <c r="B928" s="388" t="s">
        <v>174</v>
      </c>
      <c r="C928" s="45">
        <v>18940</v>
      </c>
      <c r="D928" s="385">
        <v>0</v>
      </c>
      <c r="E928" s="388" t="s">
        <v>13</v>
      </c>
      <c r="F928" s="388">
        <v>1650</v>
      </c>
      <c r="G928" s="388">
        <v>1400</v>
      </c>
      <c r="H928" s="388" t="s">
        <v>107</v>
      </c>
      <c r="I928" s="388" t="s">
        <v>13</v>
      </c>
      <c r="J928" s="388" t="s">
        <v>13</v>
      </c>
      <c r="K928" s="388" t="s">
        <v>13</v>
      </c>
      <c r="L928" s="388" t="s">
        <v>13</v>
      </c>
      <c r="M928" s="355" t="s">
        <v>14</v>
      </c>
      <c r="N928" s="388" t="s">
        <v>442</v>
      </c>
      <c r="O928" s="388" t="s">
        <v>27</v>
      </c>
      <c r="P928" s="145"/>
      <c r="Q928" s="388" t="s">
        <v>176</v>
      </c>
      <c r="R928" s="1"/>
    </row>
    <row r="929" spans="1:18" ht="15.6" x14ac:dyDescent="0.3">
      <c r="A929" s="389"/>
      <c r="B929" s="389"/>
      <c r="C929" s="46">
        <v>8710</v>
      </c>
      <c r="D929" s="386"/>
      <c r="E929" s="389"/>
      <c r="F929" s="389"/>
      <c r="G929" s="389"/>
      <c r="H929" s="389"/>
      <c r="I929" s="389"/>
      <c r="J929" s="389"/>
      <c r="K929" s="389"/>
      <c r="L929" s="389"/>
      <c r="M929" s="356"/>
      <c r="N929" s="389"/>
      <c r="O929" s="389"/>
      <c r="P929" s="146"/>
      <c r="Q929" s="389"/>
      <c r="R929" s="1"/>
    </row>
    <row r="930" spans="1:18" ht="16.2" thickBot="1" x14ac:dyDescent="0.35">
      <c r="A930" s="390"/>
      <c r="B930" s="390"/>
      <c r="C930" s="47">
        <v>25925</v>
      </c>
      <c r="D930" s="387"/>
      <c r="E930" s="390"/>
      <c r="F930" s="390"/>
      <c r="G930" s="390"/>
      <c r="H930" s="390"/>
      <c r="I930" s="390"/>
      <c r="J930" s="390"/>
      <c r="K930" s="390"/>
      <c r="L930" s="390"/>
      <c r="M930" s="357"/>
      <c r="N930" s="390"/>
      <c r="O930" s="390"/>
      <c r="P930" s="147"/>
      <c r="Q930" s="390"/>
      <c r="R930" s="1"/>
    </row>
    <row r="931" spans="1:18" ht="15.6" x14ac:dyDescent="0.3">
      <c r="A931" s="388">
        <v>758</v>
      </c>
      <c r="B931" s="388" t="s">
        <v>174</v>
      </c>
      <c r="C931" s="45">
        <v>19465</v>
      </c>
      <c r="D931" s="385">
        <v>0</v>
      </c>
      <c r="E931" s="388" t="s">
        <v>13</v>
      </c>
      <c r="F931" s="388">
        <v>1650</v>
      </c>
      <c r="G931" s="388">
        <v>1400</v>
      </c>
      <c r="H931" s="388" t="s">
        <v>107</v>
      </c>
      <c r="I931" s="388" t="s">
        <v>13</v>
      </c>
      <c r="J931" s="388" t="s">
        <v>13</v>
      </c>
      <c r="K931" s="388" t="s">
        <v>13</v>
      </c>
      <c r="L931" s="388" t="s">
        <v>13</v>
      </c>
      <c r="M931" s="355" t="s">
        <v>14</v>
      </c>
      <c r="N931" s="388" t="s">
        <v>442</v>
      </c>
      <c r="O931" s="388" t="s">
        <v>27</v>
      </c>
      <c r="P931" s="145"/>
      <c r="Q931" s="388" t="s">
        <v>176</v>
      </c>
      <c r="R931" s="1"/>
    </row>
    <row r="932" spans="1:18" ht="15.6" x14ac:dyDescent="0.3">
      <c r="A932" s="389"/>
      <c r="B932" s="389"/>
      <c r="C932" s="46">
        <v>7735</v>
      </c>
      <c r="D932" s="386"/>
      <c r="E932" s="389"/>
      <c r="F932" s="389"/>
      <c r="G932" s="389"/>
      <c r="H932" s="389"/>
      <c r="I932" s="389"/>
      <c r="J932" s="389"/>
      <c r="K932" s="389"/>
      <c r="L932" s="389"/>
      <c r="M932" s="356"/>
      <c r="N932" s="389"/>
      <c r="O932" s="389"/>
      <c r="P932" s="146"/>
      <c r="Q932" s="389"/>
      <c r="R932" s="1"/>
    </row>
    <row r="933" spans="1:18" ht="16.2" thickBot="1" x14ac:dyDescent="0.35">
      <c r="A933" s="390"/>
      <c r="B933" s="390"/>
      <c r="C933" s="47">
        <v>25925</v>
      </c>
      <c r="D933" s="387"/>
      <c r="E933" s="390"/>
      <c r="F933" s="390"/>
      <c r="G933" s="390"/>
      <c r="H933" s="390"/>
      <c r="I933" s="390"/>
      <c r="J933" s="390"/>
      <c r="K933" s="390"/>
      <c r="L933" s="390"/>
      <c r="M933" s="357"/>
      <c r="N933" s="390"/>
      <c r="O933" s="390"/>
      <c r="P933" s="147"/>
      <c r="Q933" s="390"/>
      <c r="R933" s="1"/>
    </row>
    <row r="934" spans="1:18" ht="15.6" x14ac:dyDescent="0.3">
      <c r="A934" s="388">
        <v>759</v>
      </c>
      <c r="B934" s="388" t="s">
        <v>441</v>
      </c>
      <c r="C934" s="45">
        <v>20685</v>
      </c>
      <c r="D934" s="388">
        <v>1</v>
      </c>
      <c r="E934" s="388" t="s">
        <v>255</v>
      </c>
      <c r="F934" s="388">
        <v>1650</v>
      </c>
      <c r="G934" s="388">
        <v>1400</v>
      </c>
      <c r="H934" s="388" t="s">
        <v>107</v>
      </c>
      <c r="I934" s="388">
        <v>60</v>
      </c>
      <c r="J934" s="509" t="s">
        <v>565</v>
      </c>
      <c r="K934" s="388">
        <v>30</v>
      </c>
      <c r="L934" s="388">
        <v>19</v>
      </c>
      <c r="M934" s="355" t="s">
        <v>14</v>
      </c>
      <c r="N934" s="388" t="s">
        <v>442</v>
      </c>
      <c r="O934" s="388" t="s">
        <v>27</v>
      </c>
      <c r="P934" s="145"/>
      <c r="Q934" s="388" t="s">
        <v>439</v>
      </c>
      <c r="R934" s="1"/>
    </row>
    <row r="935" spans="1:18" ht="15.6" x14ac:dyDescent="0.3">
      <c r="A935" s="389"/>
      <c r="B935" s="389"/>
      <c r="C935" s="46">
        <v>4460</v>
      </c>
      <c r="D935" s="389"/>
      <c r="E935" s="389"/>
      <c r="F935" s="389"/>
      <c r="G935" s="389"/>
      <c r="H935" s="389"/>
      <c r="I935" s="389"/>
      <c r="J935" s="510"/>
      <c r="K935" s="389"/>
      <c r="L935" s="389"/>
      <c r="M935" s="356"/>
      <c r="N935" s="389"/>
      <c r="O935" s="389"/>
      <c r="P935" s="146"/>
      <c r="Q935" s="389"/>
      <c r="R935" s="1"/>
    </row>
    <row r="936" spans="1:18" ht="16.2" thickBot="1" x14ac:dyDescent="0.35">
      <c r="A936" s="390"/>
      <c r="B936" s="390"/>
      <c r="C936" s="47">
        <v>25925</v>
      </c>
      <c r="D936" s="390"/>
      <c r="E936" s="390"/>
      <c r="F936" s="390"/>
      <c r="G936" s="390"/>
      <c r="H936" s="390"/>
      <c r="I936" s="390"/>
      <c r="J936" s="511"/>
      <c r="K936" s="390"/>
      <c r="L936" s="390"/>
      <c r="M936" s="357"/>
      <c r="N936" s="390"/>
      <c r="O936" s="390"/>
      <c r="P936" s="147"/>
      <c r="Q936" s="390"/>
      <c r="R936" s="1"/>
    </row>
    <row r="937" spans="1:18" ht="15.6" x14ac:dyDescent="0.3">
      <c r="A937" s="388">
        <v>760</v>
      </c>
      <c r="B937" s="388" t="s">
        <v>174</v>
      </c>
      <c r="C937" s="45">
        <v>-20765</v>
      </c>
      <c r="D937" s="385">
        <v>0</v>
      </c>
      <c r="E937" s="388" t="s">
        <v>13</v>
      </c>
      <c r="F937" s="388">
        <v>1650</v>
      </c>
      <c r="G937" s="388">
        <v>1400</v>
      </c>
      <c r="H937" s="388" t="s">
        <v>107</v>
      </c>
      <c r="I937" s="388" t="s">
        <v>13</v>
      </c>
      <c r="J937" s="388" t="s">
        <v>13</v>
      </c>
      <c r="K937" s="388" t="s">
        <v>13</v>
      </c>
      <c r="L937" s="388" t="s">
        <v>13</v>
      </c>
      <c r="M937" s="355" t="s">
        <v>14</v>
      </c>
      <c r="N937" s="388" t="s">
        <v>437</v>
      </c>
      <c r="O937" s="388" t="s">
        <v>27</v>
      </c>
      <c r="P937" s="145"/>
      <c r="Q937" s="388" t="s">
        <v>176</v>
      </c>
      <c r="R937" s="1"/>
    </row>
    <row r="938" spans="1:18" ht="15.6" x14ac:dyDescent="0.3">
      <c r="A938" s="389"/>
      <c r="B938" s="389"/>
      <c r="C938" s="46">
        <v>4345</v>
      </c>
      <c r="D938" s="386"/>
      <c r="E938" s="389"/>
      <c r="F938" s="389"/>
      <c r="G938" s="389"/>
      <c r="H938" s="389"/>
      <c r="I938" s="389"/>
      <c r="J938" s="389"/>
      <c r="K938" s="389"/>
      <c r="L938" s="389"/>
      <c r="M938" s="356"/>
      <c r="N938" s="389"/>
      <c r="O938" s="389"/>
      <c r="P938" s="146"/>
      <c r="Q938" s="389"/>
      <c r="R938" s="1"/>
    </row>
    <row r="939" spans="1:18" ht="16.2" thickBot="1" x14ac:dyDescent="0.35">
      <c r="A939" s="390"/>
      <c r="B939" s="390"/>
      <c r="C939" s="47">
        <v>25925</v>
      </c>
      <c r="D939" s="387"/>
      <c r="E939" s="390"/>
      <c r="F939" s="390"/>
      <c r="G939" s="390"/>
      <c r="H939" s="390"/>
      <c r="I939" s="390"/>
      <c r="J939" s="390"/>
      <c r="K939" s="390"/>
      <c r="L939" s="390"/>
      <c r="M939" s="357"/>
      <c r="N939" s="390"/>
      <c r="O939" s="390"/>
      <c r="P939" s="147"/>
      <c r="Q939" s="390"/>
      <c r="R939" s="1"/>
    </row>
    <row r="940" spans="1:18" ht="15.6" x14ac:dyDescent="0.3">
      <c r="A940" s="385">
        <v>761</v>
      </c>
      <c r="B940" s="385" t="s">
        <v>441</v>
      </c>
      <c r="C940" s="43">
        <v>-19655</v>
      </c>
      <c r="D940" s="385">
        <v>1</v>
      </c>
      <c r="E940" s="388" t="s">
        <v>209</v>
      </c>
      <c r="F940" s="385">
        <v>1650</v>
      </c>
      <c r="G940" s="388">
        <v>1400</v>
      </c>
      <c r="H940" s="388" t="s">
        <v>107</v>
      </c>
      <c r="I940" s="385">
        <v>60</v>
      </c>
      <c r="J940" s="385" t="s">
        <v>452</v>
      </c>
      <c r="K940" s="385">
        <v>30</v>
      </c>
      <c r="L940" s="388">
        <v>15.5</v>
      </c>
      <c r="M940" s="355" t="s">
        <v>14</v>
      </c>
      <c r="N940" s="388" t="s">
        <v>437</v>
      </c>
      <c r="O940" s="388" t="s">
        <v>27</v>
      </c>
      <c r="P940" s="145"/>
      <c r="Q940" s="388" t="s">
        <v>211</v>
      </c>
      <c r="R940" s="1"/>
    </row>
    <row r="941" spans="1:18" ht="15.6" x14ac:dyDescent="0.3">
      <c r="A941" s="386"/>
      <c r="B941" s="386"/>
      <c r="C941" s="48">
        <v>7415</v>
      </c>
      <c r="D941" s="386"/>
      <c r="E941" s="389"/>
      <c r="F941" s="386"/>
      <c r="G941" s="389"/>
      <c r="H941" s="389"/>
      <c r="I941" s="386"/>
      <c r="J941" s="386"/>
      <c r="K941" s="386"/>
      <c r="L941" s="389"/>
      <c r="M941" s="356"/>
      <c r="N941" s="389"/>
      <c r="O941" s="389"/>
      <c r="P941" s="146"/>
      <c r="Q941" s="389"/>
      <c r="R941" s="1"/>
    </row>
    <row r="942" spans="1:18" ht="16.2" thickBot="1" x14ac:dyDescent="0.35">
      <c r="A942" s="387"/>
      <c r="B942" s="387"/>
      <c r="C942" s="44">
        <v>25925</v>
      </c>
      <c r="D942" s="387"/>
      <c r="E942" s="390"/>
      <c r="F942" s="387"/>
      <c r="G942" s="390"/>
      <c r="H942" s="390"/>
      <c r="I942" s="387"/>
      <c r="J942" s="387"/>
      <c r="K942" s="387"/>
      <c r="L942" s="390"/>
      <c r="M942" s="357"/>
      <c r="N942" s="390"/>
      <c r="O942" s="390"/>
      <c r="P942" s="147"/>
      <c r="Q942" s="390"/>
      <c r="R942" s="1"/>
    </row>
    <row r="943" spans="1:18" ht="15.6" x14ac:dyDescent="0.3">
      <c r="A943" s="388">
        <v>762</v>
      </c>
      <c r="B943" s="388" t="s">
        <v>334</v>
      </c>
      <c r="C943" s="45">
        <v>-19140</v>
      </c>
      <c r="D943" s="388">
        <v>1</v>
      </c>
      <c r="E943" s="388" t="s">
        <v>66</v>
      </c>
      <c r="F943" s="388">
        <v>1650</v>
      </c>
      <c r="G943" s="388">
        <v>1400</v>
      </c>
      <c r="H943" s="388" t="s">
        <v>107</v>
      </c>
      <c r="I943" s="388">
        <v>60</v>
      </c>
      <c r="J943" s="509" t="s">
        <v>566</v>
      </c>
      <c r="K943" s="388">
        <v>30</v>
      </c>
      <c r="L943" s="388">
        <v>22.5</v>
      </c>
      <c r="M943" s="355" t="s">
        <v>14</v>
      </c>
      <c r="N943" s="388" t="s">
        <v>437</v>
      </c>
      <c r="O943" s="388" t="s">
        <v>27</v>
      </c>
      <c r="P943" s="145"/>
      <c r="Q943" s="388" t="s">
        <v>453</v>
      </c>
      <c r="R943" s="1"/>
    </row>
    <row r="944" spans="1:18" ht="15.6" x14ac:dyDescent="0.3">
      <c r="A944" s="389"/>
      <c r="B944" s="389"/>
      <c r="C944" s="46">
        <v>8475</v>
      </c>
      <c r="D944" s="389"/>
      <c r="E944" s="389"/>
      <c r="F944" s="389"/>
      <c r="G944" s="389"/>
      <c r="H944" s="389"/>
      <c r="I944" s="389"/>
      <c r="J944" s="510"/>
      <c r="K944" s="389"/>
      <c r="L944" s="389"/>
      <c r="M944" s="356"/>
      <c r="N944" s="389"/>
      <c r="O944" s="389"/>
      <c r="P944" s="146"/>
      <c r="Q944" s="389"/>
      <c r="R944" s="1"/>
    </row>
    <row r="945" spans="1:18" ht="16.2" thickBot="1" x14ac:dyDescent="0.35">
      <c r="A945" s="390"/>
      <c r="B945" s="390"/>
      <c r="C945" s="47">
        <v>25925</v>
      </c>
      <c r="D945" s="390"/>
      <c r="E945" s="390"/>
      <c r="F945" s="390"/>
      <c r="G945" s="390"/>
      <c r="H945" s="390"/>
      <c r="I945" s="390"/>
      <c r="J945" s="511"/>
      <c r="K945" s="390"/>
      <c r="L945" s="390"/>
      <c r="M945" s="357"/>
      <c r="N945" s="390"/>
      <c r="O945" s="390"/>
      <c r="P945" s="147"/>
      <c r="Q945" s="390"/>
      <c r="R945" s="1"/>
    </row>
    <row r="946" spans="1:18" ht="16.2" thickBot="1" x14ac:dyDescent="0.35">
      <c r="A946" s="352" t="s">
        <v>99</v>
      </c>
      <c r="B946" s="353"/>
      <c r="C946" s="353"/>
      <c r="D946" s="353"/>
      <c r="E946" s="353"/>
      <c r="F946" s="353"/>
      <c r="G946" s="353"/>
      <c r="H946" s="353"/>
      <c r="I946" s="353"/>
      <c r="J946" s="353"/>
      <c r="K946" s="353"/>
      <c r="L946" s="353"/>
      <c r="M946" s="353"/>
      <c r="N946" s="353"/>
      <c r="O946" s="353"/>
      <c r="P946" s="353"/>
      <c r="Q946" s="354"/>
      <c r="R946" s="1"/>
    </row>
    <row r="947" spans="1:18" ht="15.6" x14ac:dyDescent="0.3">
      <c r="A947" s="388">
        <v>766</v>
      </c>
      <c r="B947" s="388" t="s">
        <v>230</v>
      </c>
      <c r="C947" s="45">
        <v>-13673</v>
      </c>
      <c r="D947" s="388">
        <v>1</v>
      </c>
      <c r="E947" s="388" t="s">
        <v>255</v>
      </c>
      <c r="F947" s="388">
        <v>500</v>
      </c>
      <c r="G947" s="388">
        <v>500</v>
      </c>
      <c r="H947" s="388" t="s">
        <v>342</v>
      </c>
      <c r="I947" s="388">
        <v>150</v>
      </c>
      <c r="J947" s="385" t="s">
        <v>45</v>
      </c>
      <c r="K947" s="388">
        <v>30</v>
      </c>
      <c r="L947" s="388">
        <v>-1.5</v>
      </c>
      <c r="M947" s="355" t="s">
        <v>14</v>
      </c>
      <c r="N947" s="437" t="s">
        <v>455</v>
      </c>
      <c r="O947" s="388" t="s">
        <v>27</v>
      </c>
      <c r="P947" s="145"/>
      <c r="Q947" s="388" t="s">
        <v>456</v>
      </c>
      <c r="R947" s="1"/>
    </row>
    <row r="948" spans="1:18" ht="15.6" x14ac:dyDescent="0.3">
      <c r="A948" s="389"/>
      <c r="B948" s="389"/>
      <c r="C948" s="46">
        <v>-5461</v>
      </c>
      <c r="D948" s="389"/>
      <c r="E948" s="389"/>
      <c r="F948" s="389"/>
      <c r="G948" s="389"/>
      <c r="H948" s="389"/>
      <c r="I948" s="389"/>
      <c r="J948" s="386"/>
      <c r="K948" s="389"/>
      <c r="L948" s="389"/>
      <c r="M948" s="356"/>
      <c r="N948" s="438"/>
      <c r="O948" s="389"/>
      <c r="P948" s="146"/>
      <c r="Q948" s="389"/>
      <c r="R948" s="1"/>
    </row>
    <row r="949" spans="1:18" ht="16.2" thickBot="1" x14ac:dyDescent="0.35">
      <c r="A949" s="390"/>
      <c r="B949" s="390"/>
      <c r="C949" s="47">
        <v>26600</v>
      </c>
      <c r="D949" s="390"/>
      <c r="E949" s="390"/>
      <c r="F949" s="390"/>
      <c r="G949" s="390"/>
      <c r="H949" s="390"/>
      <c r="I949" s="390"/>
      <c r="J949" s="387"/>
      <c r="K949" s="390"/>
      <c r="L949" s="390"/>
      <c r="M949" s="357"/>
      <c r="N949" s="439"/>
      <c r="O949" s="390"/>
      <c r="P949" s="147"/>
      <c r="Q949" s="390"/>
      <c r="R949" s="1"/>
    </row>
    <row r="950" spans="1:18" ht="15.6" x14ac:dyDescent="0.3">
      <c r="A950" s="388">
        <v>767</v>
      </c>
      <c r="B950" s="388" t="s">
        <v>174</v>
      </c>
      <c r="C950" s="45">
        <v>-14514</v>
      </c>
      <c r="D950" s="385">
        <v>0</v>
      </c>
      <c r="E950" s="388" t="s">
        <v>13</v>
      </c>
      <c r="F950" s="388">
        <v>700</v>
      </c>
      <c r="G950" s="388">
        <v>700</v>
      </c>
      <c r="H950" s="388" t="s">
        <v>175</v>
      </c>
      <c r="I950" s="388" t="s">
        <v>13</v>
      </c>
      <c r="J950" s="388" t="s">
        <v>13</v>
      </c>
      <c r="K950" s="388" t="s">
        <v>13</v>
      </c>
      <c r="L950" s="388" t="s">
        <v>13</v>
      </c>
      <c r="M950" s="355" t="s">
        <v>14</v>
      </c>
      <c r="N950" s="437" t="s">
        <v>455</v>
      </c>
      <c r="O950" s="388" t="s">
        <v>27</v>
      </c>
      <c r="P950" s="145"/>
      <c r="Q950" s="388" t="s">
        <v>184</v>
      </c>
      <c r="R950" s="1"/>
    </row>
    <row r="951" spans="1:18" ht="15.6" x14ac:dyDescent="0.3">
      <c r="A951" s="389"/>
      <c r="B951" s="389"/>
      <c r="C951" s="46">
        <v>-13164</v>
      </c>
      <c r="D951" s="386"/>
      <c r="E951" s="389"/>
      <c r="F951" s="389"/>
      <c r="G951" s="389"/>
      <c r="H951" s="389"/>
      <c r="I951" s="389"/>
      <c r="J951" s="389"/>
      <c r="K951" s="389"/>
      <c r="L951" s="389"/>
      <c r="M951" s="356"/>
      <c r="N951" s="438"/>
      <c r="O951" s="389"/>
      <c r="P951" s="146"/>
      <c r="Q951" s="389"/>
      <c r="R951" s="1"/>
    </row>
    <row r="952" spans="1:18" ht="16.2" thickBot="1" x14ac:dyDescent="0.35">
      <c r="A952" s="390"/>
      <c r="B952" s="390"/>
      <c r="C952" s="47">
        <v>26700</v>
      </c>
      <c r="D952" s="387"/>
      <c r="E952" s="390"/>
      <c r="F952" s="390"/>
      <c r="G952" s="390"/>
      <c r="H952" s="390"/>
      <c r="I952" s="390"/>
      <c r="J952" s="390"/>
      <c r="K952" s="390"/>
      <c r="L952" s="390"/>
      <c r="M952" s="357"/>
      <c r="N952" s="439"/>
      <c r="O952" s="390"/>
      <c r="P952" s="147"/>
      <c r="Q952" s="390"/>
      <c r="R952" s="1"/>
    </row>
    <row r="953" spans="1:18" ht="15.6" x14ac:dyDescent="0.3">
      <c r="A953" s="388">
        <v>768</v>
      </c>
      <c r="B953" s="388" t="s">
        <v>441</v>
      </c>
      <c r="C953" s="45">
        <v>-17672</v>
      </c>
      <c r="D953" s="388">
        <v>1</v>
      </c>
      <c r="E953" s="388" t="s">
        <v>255</v>
      </c>
      <c r="F953" s="388">
        <v>700</v>
      </c>
      <c r="G953" s="388">
        <v>700</v>
      </c>
      <c r="H953" s="388" t="s">
        <v>50</v>
      </c>
      <c r="I953" s="388">
        <v>60</v>
      </c>
      <c r="J953" s="385">
        <f>-0.21/0.12</f>
        <v>-1.75</v>
      </c>
      <c r="K953" s="388">
        <v>30</v>
      </c>
      <c r="L953" s="388">
        <v>6.5</v>
      </c>
      <c r="M953" s="355" t="s">
        <v>14</v>
      </c>
      <c r="N953" s="437" t="s">
        <v>455</v>
      </c>
      <c r="O953" s="388" t="s">
        <v>27</v>
      </c>
      <c r="P953" s="145"/>
      <c r="Q953" s="388" t="s">
        <v>414</v>
      </c>
      <c r="R953" s="1"/>
    </row>
    <row r="954" spans="1:18" ht="15.6" x14ac:dyDescent="0.3">
      <c r="A954" s="389"/>
      <c r="B954" s="389"/>
      <c r="C954" s="46">
        <v>-8583</v>
      </c>
      <c r="D954" s="389"/>
      <c r="E954" s="389"/>
      <c r="F954" s="389"/>
      <c r="G954" s="389"/>
      <c r="H954" s="389"/>
      <c r="I954" s="389"/>
      <c r="J954" s="386"/>
      <c r="K954" s="389"/>
      <c r="L954" s="389"/>
      <c r="M954" s="356"/>
      <c r="N954" s="438"/>
      <c r="O954" s="389"/>
      <c r="P954" s="146"/>
      <c r="Q954" s="389"/>
      <c r="R954" s="1"/>
    </row>
    <row r="955" spans="1:18" ht="16.2" thickBot="1" x14ac:dyDescent="0.35">
      <c r="A955" s="390"/>
      <c r="B955" s="390"/>
      <c r="C955" s="47">
        <v>30145</v>
      </c>
      <c r="D955" s="390"/>
      <c r="E955" s="390"/>
      <c r="F955" s="390"/>
      <c r="G955" s="390"/>
      <c r="H955" s="390"/>
      <c r="I955" s="390"/>
      <c r="J955" s="387"/>
      <c r="K955" s="390"/>
      <c r="L955" s="390"/>
      <c r="M955" s="357"/>
      <c r="N955" s="439"/>
      <c r="O955" s="390"/>
      <c r="P955" s="147"/>
      <c r="Q955" s="390"/>
      <c r="R955" s="1"/>
    </row>
    <row r="956" spans="1:18" ht="16.2" thickBot="1" x14ac:dyDescent="0.35">
      <c r="A956" s="352" t="s">
        <v>457</v>
      </c>
      <c r="B956" s="353"/>
      <c r="C956" s="353"/>
      <c r="D956" s="353"/>
      <c r="E956" s="353"/>
      <c r="F956" s="353"/>
      <c r="G956" s="353"/>
      <c r="H956" s="353"/>
      <c r="I956" s="353"/>
      <c r="J956" s="353"/>
      <c r="K956" s="353"/>
      <c r="L956" s="353"/>
      <c r="M956" s="353"/>
      <c r="N956" s="353"/>
      <c r="O956" s="353"/>
      <c r="P956" s="353"/>
      <c r="Q956" s="354"/>
      <c r="R956" s="1"/>
    </row>
    <row r="957" spans="1:18" ht="15.6" x14ac:dyDescent="0.3">
      <c r="A957" s="388">
        <v>769</v>
      </c>
      <c r="B957" s="388" t="s">
        <v>48</v>
      </c>
      <c r="C957" s="43">
        <v>-16781</v>
      </c>
      <c r="D957" s="385">
        <v>1</v>
      </c>
      <c r="E957" s="385" t="s">
        <v>133</v>
      </c>
      <c r="F957" s="385">
        <v>440</v>
      </c>
      <c r="G957" s="385">
        <v>340</v>
      </c>
      <c r="H957" s="385" t="s">
        <v>348</v>
      </c>
      <c r="I957" s="385">
        <v>300</v>
      </c>
      <c r="J957" s="385" t="s">
        <v>45</v>
      </c>
      <c r="K957" s="385">
        <v>60</v>
      </c>
      <c r="L957" s="388">
        <v>154.5</v>
      </c>
      <c r="M957" s="355" t="s">
        <v>14</v>
      </c>
      <c r="N957" s="437" t="s">
        <v>455</v>
      </c>
      <c r="O957" s="388" t="s">
        <v>27</v>
      </c>
      <c r="P957" s="145"/>
      <c r="Q957" s="388" t="s">
        <v>458</v>
      </c>
      <c r="R957" s="1"/>
    </row>
    <row r="958" spans="1:18" ht="15.6" x14ac:dyDescent="0.3">
      <c r="A958" s="389"/>
      <c r="B958" s="389"/>
      <c r="C958" s="48">
        <v>-13093</v>
      </c>
      <c r="D958" s="386"/>
      <c r="E958" s="386"/>
      <c r="F958" s="386"/>
      <c r="G958" s="386"/>
      <c r="H958" s="386"/>
      <c r="I958" s="386"/>
      <c r="J958" s="386"/>
      <c r="K958" s="386"/>
      <c r="L958" s="389"/>
      <c r="M958" s="356"/>
      <c r="N958" s="438"/>
      <c r="O958" s="389"/>
      <c r="P958" s="146"/>
      <c r="Q958" s="389"/>
      <c r="R958" s="1"/>
    </row>
    <row r="959" spans="1:18" ht="16.2" thickBot="1" x14ac:dyDescent="0.35">
      <c r="A959" s="390"/>
      <c r="B959" s="390"/>
      <c r="C959" s="44">
        <v>34400</v>
      </c>
      <c r="D959" s="387"/>
      <c r="E959" s="387"/>
      <c r="F959" s="387"/>
      <c r="G959" s="387"/>
      <c r="H959" s="387"/>
      <c r="I959" s="387"/>
      <c r="J959" s="387"/>
      <c r="K959" s="387"/>
      <c r="L959" s="390"/>
      <c r="M959" s="357"/>
      <c r="N959" s="439"/>
      <c r="O959" s="390"/>
      <c r="P959" s="147"/>
      <c r="Q959" s="390"/>
      <c r="R959" s="1"/>
    </row>
    <row r="960" spans="1:18" ht="16.2" thickBot="1" x14ac:dyDescent="0.35">
      <c r="A960" s="352" t="s">
        <v>102</v>
      </c>
      <c r="B960" s="353"/>
      <c r="C960" s="353"/>
      <c r="D960" s="353"/>
      <c r="E960" s="353"/>
      <c r="F960" s="353"/>
      <c r="G960" s="353"/>
      <c r="H960" s="353"/>
      <c r="I960" s="353"/>
      <c r="J960" s="353"/>
      <c r="K960" s="353"/>
      <c r="L960" s="353"/>
      <c r="M960" s="353"/>
      <c r="N960" s="353"/>
      <c r="O960" s="353"/>
      <c r="P960" s="353"/>
      <c r="Q960" s="354"/>
      <c r="R960" s="1"/>
    </row>
    <row r="961" spans="1:18" ht="31.8" thickBot="1" x14ac:dyDescent="0.35">
      <c r="A961" s="385">
        <v>770</v>
      </c>
      <c r="B961" s="44" t="s">
        <v>446</v>
      </c>
      <c r="C961" s="43">
        <v>5570</v>
      </c>
      <c r="D961" s="385">
        <v>3</v>
      </c>
      <c r="E961" s="44" t="s">
        <v>168</v>
      </c>
      <c r="F961" s="385">
        <v>800</v>
      </c>
      <c r="G961" s="385">
        <v>800</v>
      </c>
      <c r="H961" s="385" t="s">
        <v>50</v>
      </c>
      <c r="I961" s="44">
        <v>350</v>
      </c>
      <c r="J961" s="44" t="s">
        <v>45</v>
      </c>
      <c r="K961" s="385" t="s">
        <v>275</v>
      </c>
      <c r="L961" s="388" t="s">
        <v>13</v>
      </c>
      <c r="M961" s="355" t="s">
        <v>14</v>
      </c>
      <c r="N961" s="455" t="s">
        <v>103</v>
      </c>
      <c r="O961" s="388" t="s">
        <v>459</v>
      </c>
      <c r="P961" s="145"/>
      <c r="Q961" s="388" t="s">
        <v>460</v>
      </c>
      <c r="R961" s="1"/>
    </row>
    <row r="962" spans="1:18" ht="31.8" thickBot="1" x14ac:dyDescent="0.35">
      <c r="A962" s="386"/>
      <c r="B962" s="44" t="s">
        <v>446</v>
      </c>
      <c r="C962" s="48">
        <v>24782</v>
      </c>
      <c r="D962" s="386"/>
      <c r="E962" s="44" t="s">
        <v>168</v>
      </c>
      <c r="F962" s="386"/>
      <c r="G962" s="386"/>
      <c r="H962" s="386"/>
      <c r="I962" s="44">
        <v>90</v>
      </c>
      <c r="J962" s="44" t="s">
        <v>45</v>
      </c>
      <c r="K962" s="386"/>
      <c r="L962" s="389"/>
      <c r="M962" s="356"/>
      <c r="N962" s="456"/>
      <c r="O962" s="389"/>
      <c r="P962" s="146"/>
      <c r="Q962" s="389"/>
      <c r="R962" s="1"/>
    </row>
    <row r="963" spans="1:18" ht="31.8" thickBot="1" x14ac:dyDescent="0.35">
      <c r="A963" s="387"/>
      <c r="B963" s="44" t="s">
        <v>274</v>
      </c>
      <c r="C963" s="44">
        <v>11250</v>
      </c>
      <c r="D963" s="387"/>
      <c r="E963" s="44" t="s">
        <v>168</v>
      </c>
      <c r="F963" s="387"/>
      <c r="G963" s="387"/>
      <c r="H963" s="387"/>
      <c r="I963" s="44">
        <v>40</v>
      </c>
      <c r="J963" s="44" t="s">
        <v>461</v>
      </c>
      <c r="K963" s="387"/>
      <c r="L963" s="390"/>
      <c r="M963" s="357"/>
      <c r="N963" s="457"/>
      <c r="O963" s="390"/>
      <c r="P963" s="147"/>
      <c r="Q963" s="390"/>
      <c r="R963" s="1"/>
    </row>
    <row r="964" spans="1:18" ht="15.6" x14ac:dyDescent="0.3">
      <c r="A964" s="388">
        <v>771</v>
      </c>
      <c r="B964" s="388" t="s">
        <v>160</v>
      </c>
      <c r="C964" s="45">
        <v>19327</v>
      </c>
      <c r="D964" s="388">
        <v>1</v>
      </c>
      <c r="E964" s="388" t="s">
        <v>462</v>
      </c>
      <c r="F964" s="388">
        <v>800</v>
      </c>
      <c r="G964" s="388">
        <v>800</v>
      </c>
      <c r="H964" s="388" t="s">
        <v>175</v>
      </c>
      <c r="I964" s="388">
        <v>100</v>
      </c>
      <c r="J964" s="385" t="s">
        <v>45</v>
      </c>
      <c r="K964" s="388">
        <v>30</v>
      </c>
      <c r="L964" s="388">
        <v>-21</v>
      </c>
      <c r="M964" s="355" t="s">
        <v>14</v>
      </c>
      <c r="N964" s="455" t="s">
        <v>463</v>
      </c>
      <c r="O964" s="388" t="s">
        <v>459</v>
      </c>
      <c r="P964" s="145"/>
      <c r="Q964" s="388" t="s">
        <v>464</v>
      </c>
      <c r="R964" s="1"/>
    </row>
    <row r="965" spans="1:18" ht="15.6" x14ac:dyDescent="0.3">
      <c r="A965" s="389"/>
      <c r="B965" s="389"/>
      <c r="C965" s="46">
        <v>16482</v>
      </c>
      <c r="D965" s="389"/>
      <c r="E965" s="389"/>
      <c r="F965" s="389"/>
      <c r="G965" s="389"/>
      <c r="H965" s="389"/>
      <c r="I965" s="389"/>
      <c r="J965" s="386"/>
      <c r="K965" s="389"/>
      <c r="L965" s="389"/>
      <c r="M965" s="356"/>
      <c r="N965" s="456"/>
      <c r="O965" s="389"/>
      <c r="P965" s="146"/>
      <c r="Q965" s="389"/>
      <c r="R965" s="1"/>
    </row>
    <row r="966" spans="1:18" ht="16.2" thickBot="1" x14ac:dyDescent="0.35">
      <c r="A966" s="390"/>
      <c r="B966" s="390"/>
      <c r="C966" s="47">
        <v>10000</v>
      </c>
      <c r="D966" s="390"/>
      <c r="E966" s="390"/>
      <c r="F966" s="390"/>
      <c r="G966" s="390"/>
      <c r="H966" s="390"/>
      <c r="I966" s="390"/>
      <c r="J966" s="387"/>
      <c r="K966" s="390"/>
      <c r="L966" s="390"/>
      <c r="M966" s="357"/>
      <c r="N966" s="457"/>
      <c r="O966" s="390"/>
      <c r="P966" s="147"/>
      <c r="Q966" s="390"/>
      <c r="R966" s="1"/>
    </row>
    <row r="967" spans="1:18" ht="15.6" x14ac:dyDescent="0.3">
      <c r="A967" s="388">
        <v>772</v>
      </c>
      <c r="B967" s="388" t="s">
        <v>160</v>
      </c>
      <c r="C967" s="45">
        <v>19890</v>
      </c>
      <c r="D967" s="388">
        <v>1</v>
      </c>
      <c r="E967" s="388" t="s">
        <v>161</v>
      </c>
      <c r="F967" s="388">
        <v>800</v>
      </c>
      <c r="G967" s="388">
        <v>800</v>
      </c>
      <c r="H967" s="388" t="s">
        <v>175</v>
      </c>
      <c r="I967" s="388">
        <v>100</v>
      </c>
      <c r="J967" s="385" t="s">
        <v>45</v>
      </c>
      <c r="K967" s="388">
        <v>30</v>
      </c>
      <c r="L967" s="388">
        <v>-21</v>
      </c>
      <c r="M967" s="355" t="s">
        <v>14</v>
      </c>
      <c r="N967" s="455" t="s">
        <v>463</v>
      </c>
      <c r="O967" s="388" t="s">
        <v>459</v>
      </c>
      <c r="P967" s="145"/>
      <c r="Q967" s="388" t="s">
        <v>464</v>
      </c>
      <c r="R967" s="1"/>
    </row>
    <row r="968" spans="1:18" ht="15.6" x14ac:dyDescent="0.3">
      <c r="A968" s="389"/>
      <c r="B968" s="389"/>
      <c r="C968" s="46">
        <v>15798</v>
      </c>
      <c r="D968" s="389"/>
      <c r="E968" s="389"/>
      <c r="F968" s="389"/>
      <c r="G968" s="389"/>
      <c r="H968" s="389"/>
      <c r="I968" s="389"/>
      <c r="J968" s="386"/>
      <c r="K968" s="389"/>
      <c r="L968" s="389"/>
      <c r="M968" s="356"/>
      <c r="N968" s="456"/>
      <c r="O968" s="389"/>
      <c r="P968" s="146"/>
      <c r="Q968" s="389"/>
      <c r="R968" s="1"/>
    </row>
    <row r="969" spans="1:18" ht="16.2" thickBot="1" x14ac:dyDescent="0.35">
      <c r="A969" s="390"/>
      <c r="B969" s="390"/>
      <c r="C969" s="47">
        <v>10000</v>
      </c>
      <c r="D969" s="390"/>
      <c r="E969" s="390"/>
      <c r="F969" s="390"/>
      <c r="G969" s="390"/>
      <c r="H969" s="390"/>
      <c r="I969" s="390"/>
      <c r="J969" s="387"/>
      <c r="K969" s="390"/>
      <c r="L969" s="390"/>
      <c r="M969" s="357"/>
      <c r="N969" s="457"/>
      <c r="O969" s="390"/>
      <c r="P969" s="147"/>
      <c r="Q969" s="390"/>
      <c r="R969" s="1"/>
    </row>
    <row r="970" spans="1:18" ht="15.6" x14ac:dyDescent="0.3">
      <c r="A970" s="388">
        <v>773</v>
      </c>
      <c r="B970" s="388" t="s">
        <v>160</v>
      </c>
      <c r="C970" s="45">
        <v>25278</v>
      </c>
      <c r="D970" s="385">
        <v>1</v>
      </c>
      <c r="E970" s="388" t="s">
        <v>161</v>
      </c>
      <c r="F970" s="388">
        <v>800</v>
      </c>
      <c r="G970" s="388">
        <v>800</v>
      </c>
      <c r="H970" s="388" t="s">
        <v>175</v>
      </c>
      <c r="I970" s="388">
        <v>100</v>
      </c>
      <c r="J970" s="385" t="s">
        <v>45</v>
      </c>
      <c r="K970" s="388">
        <v>30</v>
      </c>
      <c r="L970" s="388">
        <v>-21</v>
      </c>
      <c r="M970" s="355" t="s">
        <v>14</v>
      </c>
      <c r="N970" s="455" t="s">
        <v>463</v>
      </c>
      <c r="O970" s="388" t="s">
        <v>459</v>
      </c>
      <c r="P970" s="145"/>
      <c r="Q970" s="388" t="s">
        <v>464</v>
      </c>
      <c r="R970" s="1"/>
    </row>
    <row r="971" spans="1:18" ht="15.6" x14ac:dyDescent="0.3">
      <c r="A971" s="389"/>
      <c r="B971" s="389"/>
      <c r="C971" s="46">
        <v>2482</v>
      </c>
      <c r="D971" s="386"/>
      <c r="E971" s="389"/>
      <c r="F971" s="389"/>
      <c r="G971" s="389"/>
      <c r="H971" s="389"/>
      <c r="I971" s="389"/>
      <c r="J971" s="386"/>
      <c r="K971" s="389"/>
      <c r="L971" s="389"/>
      <c r="M971" s="356"/>
      <c r="N971" s="456"/>
      <c r="O971" s="389"/>
      <c r="P971" s="146"/>
      <c r="Q971" s="389"/>
      <c r="R971" s="1"/>
    </row>
    <row r="972" spans="1:18" ht="16.2" thickBot="1" x14ac:dyDescent="0.35">
      <c r="A972" s="390"/>
      <c r="B972" s="390"/>
      <c r="C972" s="47">
        <v>9050</v>
      </c>
      <c r="D972" s="387"/>
      <c r="E972" s="390"/>
      <c r="F972" s="390"/>
      <c r="G972" s="390"/>
      <c r="H972" s="390"/>
      <c r="I972" s="390"/>
      <c r="J972" s="387"/>
      <c r="K972" s="390"/>
      <c r="L972" s="390"/>
      <c r="M972" s="357"/>
      <c r="N972" s="457"/>
      <c r="O972" s="390"/>
      <c r="P972" s="147"/>
      <c r="Q972" s="390"/>
      <c r="R972" s="1"/>
    </row>
    <row r="973" spans="1:18" ht="15.6" x14ac:dyDescent="0.3">
      <c r="A973" s="388">
        <v>774</v>
      </c>
      <c r="B973" s="388" t="s">
        <v>160</v>
      </c>
      <c r="C973" s="45">
        <v>25338</v>
      </c>
      <c r="D973" s="385">
        <v>1</v>
      </c>
      <c r="E973" s="388" t="s">
        <v>161</v>
      </c>
      <c r="F973" s="388">
        <v>800</v>
      </c>
      <c r="G973" s="388">
        <v>800</v>
      </c>
      <c r="H973" s="388" t="s">
        <v>175</v>
      </c>
      <c r="I973" s="388">
        <v>100</v>
      </c>
      <c r="J973" s="385" t="s">
        <v>45</v>
      </c>
      <c r="K973" s="388">
        <v>30</v>
      </c>
      <c r="L973" s="388">
        <v>-21</v>
      </c>
      <c r="M973" s="355" t="s">
        <v>14</v>
      </c>
      <c r="N973" s="455" t="s">
        <v>463</v>
      </c>
      <c r="O973" s="388" t="s">
        <v>459</v>
      </c>
      <c r="P973" s="145"/>
      <c r="Q973" s="388" t="s">
        <v>464</v>
      </c>
      <c r="R973" s="1"/>
    </row>
    <row r="974" spans="1:18" ht="15.6" x14ac:dyDescent="0.3">
      <c r="A974" s="389"/>
      <c r="B974" s="389"/>
      <c r="C974" s="46">
        <v>1772</v>
      </c>
      <c r="D974" s="386"/>
      <c r="E974" s="389"/>
      <c r="F974" s="389"/>
      <c r="G974" s="389"/>
      <c r="H974" s="389"/>
      <c r="I974" s="389"/>
      <c r="J974" s="386"/>
      <c r="K974" s="389"/>
      <c r="L974" s="389"/>
      <c r="M974" s="356"/>
      <c r="N974" s="456"/>
      <c r="O974" s="389"/>
      <c r="P974" s="146"/>
      <c r="Q974" s="389"/>
      <c r="R974" s="1"/>
    </row>
    <row r="975" spans="1:18" ht="16.2" thickBot="1" x14ac:dyDescent="0.35">
      <c r="A975" s="390"/>
      <c r="B975" s="390"/>
      <c r="C975" s="47">
        <v>9050</v>
      </c>
      <c r="D975" s="387"/>
      <c r="E975" s="390"/>
      <c r="F975" s="390"/>
      <c r="G975" s="390"/>
      <c r="H975" s="390"/>
      <c r="I975" s="390"/>
      <c r="J975" s="387"/>
      <c r="K975" s="390"/>
      <c r="L975" s="390"/>
      <c r="M975" s="357"/>
      <c r="N975" s="457"/>
      <c r="O975" s="390"/>
      <c r="P975" s="147"/>
      <c r="Q975" s="390"/>
      <c r="R975" s="1"/>
    </row>
    <row r="976" spans="1:18" ht="15.6" x14ac:dyDescent="0.3">
      <c r="A976" s="388">
        <v>775</v>
      </c>
      <c r="B976" s="388" t="s">
        <v>160</v>
      </c>
      <c r="C976" s="45">
        <v>24224</v>
      </c>
      <c r="D976" s="385">
        <v>1</v>
      </c>
      <c r="E976" s="388" t="s">
        <v>161</v>
      </c>
      <c r="F976" s="388">
        <v>800</v>
      </c>
      <c r="G976" s="388">
        <v>800</v>
      </c>
      <c r="H976" s="388" t="s">
        <v>175</v>
      </c>
      <c r="I976" s="388">
        <v>100</v>
      </c>
      <c r="J976" s="385" t="s">
        <v>45</v>
      </c>
      <c r="K976" s="388">
        <v>30</v>
      </c>
      <c r="L976" s="388">
        <v>-21</v>
      </c>
      <c r="M976" s="355" t="s">
        <v>14</v>
      </c>
      <c r="N976" s="455" t="s">
        <v>463</v>
      </c>
      <c r="O976" s="388" t="s">
        <v>459</v>
      </c>
      <c r="P976" s="145"/>
      <c r="Q976" s="388" t="s">
        <v>464</v>
      </c>
      <c r="R976" s="1"/>
    </row>
    <row r="977" spans="1:18" ht="15.6" x14ac:dyDescent="0.3">
      <c r="A977" s="389"/>
      <c r="B977" s="389"/>
      <c r="C977" s="46">
        <v>-7638</v>
      </c>
      <c r="D977" s="386"/>
      <c r="E977" s="389"/>
      <c r="F977" s="389"/>
      <c r="G977" s="389"/>
      <c r="H977" s="389"/>
      <c r="I977" s="389"/>
      <c r="J977" s="386"/>
      <c r="K977" s="389"/>
      <c r="L977" s="389"/>
      <c r="M977" s="356"/>
      <c r="N977" s="456"/>
      <c r="O977" s="389"/>
      <c r="P977" s="146"/>
      <c r="Q977" s="389"/>
      <c r="R977" s="1"/>
    </row>
    <row r="978" spans="1:18" ht="16.2" thickBot="1" x14ac:dyDescent="0.35">
      <c r="A978" s="390"/>
      <c r="B978" s="390"/>
      <c r="C978" s="47">
        <v>8250</v>
      </c>
      <c r="D978" s="387"/>
      <c r="E978" s="390"/>
      <c r="F978" s="390"/>
      <c r="G978" s="390"/>
      <c r="H978" s="390"/>
      <c r="I978" s="390"/>
      <c r="J978" s="387"/>
      <c r="K978" s="390"/>
      <c r="L978" s="390"/>
      <c r="M978" s="357"/>
      <c r="N978" s="457"/>
      <c r="O978" s="390"/>
      <c r="P978" s="147"/>
      <c r="Q978" s="390"/>
      <c r="R978" s="1"/>
    </row>
    <row r="979" spans="1:18" ht="15" x14ac:dyDescent="0.3">
      <c r="A979" s="355">
        <v>776</v>
      </c>
      <c r="B979" s="355" t="s">
        <v>160</v>
      </c>
      <c r="C979" s="116">
        <v>24003</v>
      </c>
      <c r="D979" s="361">
        <v>1</v>
      </c>
      <c r="E979" s="355" t="s">
        <v>161</v>
      </c>
      <c r="F979" s="355">
        <v>800</v>
      </c>
      <c r="G979" s="355">
        <v>800</v>
      </c>
      <c r="H979" s="355" t="s">
        <v>175</v>
      </c>
      <c r="I979" s="355">
        <v>100</v>
      </c>
      <c r="J979" s="361" t="s">
        <v>45</v>
      </c>
      <c r="K979" s="355">
        <v>30</v>
      </c>
      <c r="L979" s="355">
        <v>-21</v>
      </c>
      <c r="M979" s="355" t="s">
        <v>14</v>
      </c>
      <c r="N979" s="455" t="s">
        <v>463</v>
      </c>
      <c r="O979" s="355" t="s">
        <v>459</v>
      </c>
      <c r="P979" s="142"/>
      <c r="Q979" s="355" t="s">
        <v>464</v>
      </c>
      <c r="R979" s="1"/>
    </row>
    <row r="980" spans="1:18" ht="15" x14ac:dyDescent="0.3">
      <c r="A980" s="356"/>
      <c r="B980" s="356"/>
      <c r="C980" s="117">
        <v>-8307</v>
      </c>
      <c r="D980" s="362"/>
      <c r="E980" s="356"/>
      <c r="F980" s="356"/>
      <c r="G980" s="356"/>
      <c r="H980" s="356"/>
      <c r="I980" s="356"/>
      <c r="J980" s="362"/>
      <c r="K980" s="356"/>
      <c r="L980" s="356"/>
      <c r="M980" s="356"/>
      <c r="N980" s="456"/>
      <c r="O980" s="356"/>
      <c r="P980" s="143"/>
      <c r="Q980" s="356"/>
      <c r="R980" s="1"/>
    </row>
    <row r="981" spans="1:18" ht="15.6" thickBot="1" x14ac:dyDescent="0.35">
      <c r="A981" s="357"/>
      <c r="B981" s="357"/>
      <c r="C981" s="118">
        <v>8250</v>
      </c>
      <c r="D981" s="363"/>
      <c r="E981" s="357"/>
      <c r="F981" s="357"/>
      <c r="G981" s="357"/>
      <c r="H981" s="357"/>
      <c r="I981" s="357"/>
      <c r="J981" s="363"/>
      <c r="K981" s="357"/>
      <c r="L981" s="357"/>
      <c r="M981" s="357"/>
      <c r="N981" s="457"/>
      <c r="O981" s="357"/>
      <c r="P981" s="144"/>
      <c r="Q981" s="357"/>
      <c r="R981" s="1"/>
    </row>
    <row r="982" spans="1:18" ht="15" x14ac:dyDescent="0.3">
      <c r="A982" s="355">
        <v>777</v>
      </c>
      <c r="B982" s="355" t="s">
        <v>160</v>
      </c>
      <c r="C982" s="116">
        <v>20418</v>
      </c>
      <c r="D982" s="361">
        <v>1</v>
      </c>
      <c r="E982" s="355" t="s">
        <v>161</v>
      </c>
      <c r="F982" s="355">
        <v>800</v>
      </c>
      <c r="G982" s="355">
        <v>800</v>
      </c>
      <c r="H982" s="355" t="s">
        <v>175</v>
      </c>
      <c r="I982" s="355">
        <v>100</v>
      </c>
      <c r="J982" s="361" t="s">
        <v>45</v>
      </c>
      <c r="K982" s="355">
        <v>30</v>
      </c>
      <c r="L982" s="355">
        <v>-21</v>
      </c>
      <c r="M982" s="355" t="s">
        <v>14</v>
      </c>
      <c r="N982" s="455" t="s">
        <v>463</v>
      </c>
      <c r="O982" s="355" t="s">
        <v>459</v>
      </c>
      <c r="P982" s="142"/>
      <c r="Q982" s="355" t="s">
        <v>464</v>
      </c>
      <c r="R982" s="1"/>
    </row>
    <row r="983" spans="1:18" ht="15" x14ac:dyDescent="0.3">
      <c r="A983" s="356"/>
      <c r="B983" s="356"/>
      <c r="C983" s="117">
        <v>-15108</v>
      </c>
      <c r="D983" s="362"/>
      <c r="E983" s="356"/>
      <c r="F983" s="356"/>
      <c r="G983" s="356"/>
      <c r="H983" s="356"/>
      <c r="I983" s="356"/>
      <c r="J983" s="362"/>
      <c r="K983" s="356"/>
      <c r="L983" s="356"/>
      <c r="M983" s="356"/>
      <c r="N983" s="456"/>
      <c r="O983" s="356"/>
      <c r="P983" s="143"/>
      <c r="Q983" s="356"/>
      <c r="R983" s="1"/>
    </row>
    <row r="984" spans="1:18" ht="15.6" thickBot="1" x14ac:dyDescent="0.35">
      <c r="A984" s="357"/>
      <c r="B984" s="357"/>
      <c r="C984" s="118">
        <v>9250</v>
      </c>
      <c r="D984" s="363"/>
      <c r="E984" s="357"/>
      <c r="F984" s="357"/>
      <c r="G984" s="357"/>
      <c r="H984" s="357"/>
      <c r="I984" s="357"/>
      <c r="J984" s="363"/>
      <c r="K984" s="357"/>
      <c r="L984" s="357"/>
      <c r="M984" s="357"/>
      <c r="N984" s="457"/>
      <c r="O984" s="357"/>
      <c r="P984" s="144"/>
      <c r="Q984" s="357"/>
      <c r="R984" s="1"/>
    </row>
    <row r="985" spans="1:18" ht="15" x14ac:dyDescent="0.3">
      <c r="A985" s="355">
        <v>778</v>
      </c>
      <c r="B985" s="355" t="s">
        <v>160</v>
      </c>
      <c r="C985" s="116">
        <v>19878</v>
      </c>
      <c r="D985" s="361">
        <v>1</v>
      </c>
      <c r="E985" s="355" t="s">
        <v>161</v>
      </c>
      <c r="F985" s="355">
        <v>800</v>
      </c>
      <c r="G985" s="355">
        <v>800</v>
      </c>
      <c r="H985" s="355" t="s">
        <v>175</v>
      </c>
      <c r="I985" s="355">
        <v>100</v>
      </c>
      <c r="J985" s="361" t="s">
        <v>45</v>
      </c>
      <c r="K985" s="355">
        <v>30</v>
      </c>
      <c r="L985" s="355">
        <v>-21</v>
      </c>
      <c r="M985" s="355" t="s">
        <v>14</v>
      </c>
      <c r="N985" s="361" t="s">
        <v>463</v>
      </c>
      <c r="O985" s="355" t="s">
        <v>459</v>
      </c>
      <c r="P985" s="142"/>
      <c r="Q985" s="355" t="s">
        <v>464</v>
      </c>
      <c r="R985" s="1"/>
    </row>
    <row r="986" spans="1:18" ht="15" x14ac:dyDescent="0.3">
      <c r="A986" s="356"/>
      <c r="B986" s="356"/>
      <c r="C986" s="117">
        <v>-15812</v>
      </c>
      <c r="D986" s="362"/>
      <c r="E986" s="356"/>
      <c r="F986" s="356"/>
      <c r="G986" s="356"/>
      <c r="H986" s="356"/>
      <c r="I986" s="356"/>
      <c r="J986" s="362"/>
      <c r="K986" s="356"/>
      <c r="L986" s="356"/>
      <c r="M986" s="356"/>
      <c r="N986" s="362"/>
      <c r="O986" s="356"/>
      <c r="P986" s="143"/>
      <c r="Q986" s="356"/>
      <c r="R986" s="1"/>
    </row>
    <row r="987" spans="1:18" ht="15.6" thickBot="1" x14ac:dyDescent="0.35">
      <c r="A987" s="357"/>
      <c r="B987" s="357"/>
      <c r="C987" s="118">
        <v>9250</v>
      </c>
      <c r="D987" s="363"/>
      <c r="E987" s="357"/>
      <c r="F987" s="357"/>
      <c r="G987" s="357"/>
      <c r="H987" s="357"/>
      <c r="I987" s="357"/>
      <c r="J987" s="363"/>
      <c r="K987" s="357"/>
      <c r="L987" s="357"/>
      <c r="M987" s="357"/>
      <c r="N987" s="363"/>
      <c r="O987" s="357"/>
      <c r="P987" s="144"/>
      <c r="Q987" s="357"/>
      <c r="R987" s="1"/>
    </row>
    <row r="988" spans="1:18" ht="15" x14ac:dyDescent="0.3">
      <c r="A988" s="355">
        <v>779</v>
      </c>
      <c r="B988" s="355" t="s">
        <v>174</v>
      </c>
      <c r="C988" s="116">
        <v>15797</v>
      </c>
      <c r="D988" s="361">
        <v>0</v>
      </c>
      <c r="E988" s="355" t="s">
        <v>13</v>
      </c>
      <c r="F988" s="355">
        <v>1110</v>
      </c>
      <c r="G988" s="355">
        <v>800</v>
      </c>
      <c r="H988" s="355" t="s">
        <v>50</v>
      </c>
      <c r="I988" s="355" t="s">
        <v>13</v>
      </c>
      <c r="J988" s="355" t="s">
        <v>13</v>
      </c>
      <c r="K988" s="355" t="s">
        <v>13</v>
      </c>
      <c r="L988" s="355" t="s">
        <v>13</v>
      </c>
      <c r="M988" s="355" t="s">
        <v>14</v>
      </c>
      <c r="N988" s="361" t="s">
        <v>463</v>
      </c>
      <c r="O988" s="355" t="s">
        <v>27</v>
      </c>
      <c r="P988" s="142"/>
      <c r="Q988" s="355" t="s">
        <v>184</v>
      </c>
      <c r="R988" s="1"/>
    </row>
    <row r="989" spans="1:18" ht="15" x14ac:dyDescent="0.3">
      <c r="A989" s="356"/>
      <c r="B989" s="356"/>
      <c r="C989" s="117">
        <v>19887</v>
      </c>
      <c r="D989" s="362"/>
      <c r="E989" s="356"/>
      <c r="F989" s="356"/>
      <c r="G989" s="356"/>
      <c r="H989" s="356"/>
      <c r="I989" s="356"/>
      <c r="J989" s="356"/>
      <c r="K989" s="356"/>
      <c r="L989" s="356"/>
      <c r="M989" s="356"/>
      <c r="N989" s="362"/>
      <c r="O989" s="356"/>
      <c r="P989" s="143"/>
      <c r="Q989" s="356"/>
      <c r="R989" s="1"/>
    </row>
    <row r="990" spans="1:18" ht="15.6" thickBot="1" x14ac:dyDescent="0.35">
      <c r="A990" s="357"/>
      <c r="B990" s="357"/>
      <c r="C990" s="118">
        <v>176</v>
      </c>
      <c r="D990" s="363"/>
      <c r="E990" s="357"/>
      <c r="F990" s="357"/>
      <c r="G990" s="357"/>
      <c r="H990" s="357"/>
      <c r="I990" s="357"/>
      <c r="J990" s="357"/>
      <c r="K990" s="357"/>
      <c r="L990" s="357"/>
      <c r="M990" s="357"/>
      <c r="N990" s="363"/>
      <c r="O990" s="357"/>
      <c r="P990" s="144"/>
      <c r="Q990" s="357"/>
      <c r="R990" s="1"/>
    </row>
    <row r="991" spans="1:18" ht="15" x14ac:dyDescent="0.3">
      <c r="A991" s="361">
        <v>780</v>
      </c>
      <c r="B991" s="361" t="s">
        <v>270</v>
      </c>
      <c r="C991" s="113">
        <v>-6574</v>
      </c>
      <c r="D991" s="361">
        <v>1</v>
      </c>
      <c r="E991" s="361" t="s">
        <v>44</v>
      </c>
      <c r="F991" s="355">
        <v>800</v>
      </c>
      <c r="G991" s="355">
        <v>800</v>
      </c>
      <c r="H991" s="361" t="s">
        <v>61</v>
      </c>
      <c r="I991" s="361">
        <v>30</v>
      </c>
      <c r="J991" s="361">
        <f>-0.1/0.23</f>
        <v>-0.43478260869565216</v>
      </c>
      <c r="K991" s="361">
        <v>0</v>
      </c>
      <c r="L991" s="355">
        <v>43.5</v>
      </c>
      <c r="M991" s="355" t="s">
        <v>14</v>
      </c>
      <c r="N991" s="361" t="s">
        <v>465</v>
      </c>
      <c r="O991" s="355" t="s">
        <v>459</v>
      </c>
      <c r="P991" s="142"/>
      <c r="Q991" s="361" t="s">
        <v>466</v>
      </c>
      <c r="R991" s="1"/>
    </row>
    <row r="992" spans="1:18" ht="15" x14ac:dyDescent="0.3">
      <c r="A992" s="362"/>
      <c r="B992" s="362"/>
      <c r="C992" s="114">
        <v>-24535</v>
      </c>
      <c r="D992" s="362"/>
      <c r="E992" s="362"/>
      <c r="F992" s="356"/>
      <c r="G992" s="356"/>
      <c r="H992" s="362"/>
      <c r="I992" s="362"/>
      <c r="J992" s="362"/>
      <c r="K992" s="362"/>
      <c r="L992" s="356"/>
      <c r="M992" s="356"/>
      <c r="N992" s="362"/>
      <c r="O992" s="356"/>
      <c r="P992" s="143"/>
      <c r="Q992" s="362"/>
      <c r="R992" s="1"/>
    </row>
    <row r="993" spans="1:18" ht="15.6" thickBot="1" x14ac:dyDescent="0.35">
      <c r="A993" s="363"/>
      <c r="B993" s="363"/>
      <c r="C993" s="115">
        <v>8420</v>
      </c>
      <c r="D993" s="363"/>
      <c r="E993" s="363"/>
      <c r="F993" s="357"/>
      <c r="G993" s="357"/>
      <c r="H993" s="363"/>
      <c r="I993" s="363"/>
      <c r="J993" s="363"/>
      <c r="K993" s="363"/>
      <c r="L993" s="357"/>
      <c r="M993" s="357"/>
      <c r="N993" s="363"/>
      <c r="O993" s="357"/>
      <c r="P993" s="144"/>
      <c r="Q993" s="363"/>
      <c r="R993" s="1"/>
    </row>
    <row r="994" spans="1:18" ht="165.6" thickBot="1" x14ac:dyDescent="0.35">
      <c r="A994" s="361">
        <v>781</v>
      </c>
      <c r="B994" s="115" t="s">
        <v>446</v>
      </c>
      <c r="C994" s="113">
        <v>5389</v>
      </c>
      <c r="D994" s="361">
        <v>3</v>
      </c>
      <c r="E994" s="115" t="s">
        <v>168</v>
      </c>
      <c r="F994" s="361">
        <v>794</v>
      </c>
      <c r="G994" s="355">
        <v>800</v>
      </c>
      <c r="H994" s="361" t="s">
        <v>50</v>
      </c>
      <c r="I994" s="115">
        <v>350</v>
      </c>
      <c r="J994" s="115" t="s">
        <v>45</v>
      </c>
      <c r="K994" s="113" t="s">
        <v>275</v>
      </c>
      <c r="L994" s="355" t="s">
        <v>13</v>
      </c>
      <c r="M994" s="355" t="s">
        <v>14</v>
      </c>
      <c r="N994" s="361" t="s">
        <v>103</v>
      </c>
      <c r="O994" s="355" t="s">
        <v>459</v>
      </c>
      <c r="P994" s="142"/>
      <c r="Q994" s="355" t="s">
        <v>467</v>
      </c>
      <c r="R994" s="1"/>
    </row>
    <row r="995" spans="1:18" ht="30.6" thickBot="1" x14ac:dyDescent="0.35">
      <c r="A995" s="362"/>
      <c r="B995" s="115" t="s">
        <v>446</v>
      </c>
      <c r="C995" s="114">
        <v>24822</v>
      </c>
      <c r="D995" s="362"/>
      <c r="E995" s="115" t="s">
        <v>168</v>
      </c>
      <c r="F995" s="362"/>
      <c r="G995" s="356"/>
      <c r="H995" s="362"/>
      <c r="I995" s="115">
        <v>90</v>
      </c>
      <c r="J995" s="115" t="s">
        <v>45</v>
      </c>
      <c r="K995" s="113"/>
      <c r="L995" s="356"/>
      <c r="M995" s="356"/>
      <c r="N995" s="362"/>
      <c r="O995" s="356"/>
      <c r="P995" s="143"/>
      <c r="Q995" s="356"/>
      <c r="R995" s="1"/>
    </row>
    <row r="996" spans="1:18" ht="30.6" thickBot="1" x14ac:dyDescent="0.35">
      <c r="A996" s="363"/>
      <c r="B996" s="115" t="s">
        <v>274</v>
      </c>
      <c r="C996" s="115">
        <v>11250</v>
      </c>
      <c r="D996" s="363"/>
      <c r="E996" s="115" t="s">
        <v>168</v>
      </c>
      <c r="F996" s="363"/>
      <c r="G996" s="357"/>
      <c r="H996" s="363"/>
      <c r="I996" s="115">
        <v>40</v>
      </c>
      <c r="J996" s="115" t="s">
        <v>45</v>
      </c>
      <c r="K996" s="115"/>
      <c r="L996" s="357"/>
      <c r="M996" s="357"/>
      <c r="N996" s="363"/>
      <c r="O996" s="357"/>
      <c r="P996" s="144"/>
      <c r="Q996" s="357"/>
      <c r="R996" s="1"/>
    </row>
    <row r="997" spans="1:18" ht="15" x14ac:dyDescent="0.3">
      <c r="A997" s="355">
        <v>782</v>
      </c>
      <c r="B997" s="355" t="s">
        <v>327</v>
      </c>
      <c r="C997" s="116">
        <v>13082</v>
      </c>
      <c r="D997" s="355">
        <v>1</v>
      </c>
      <c r="E997" s="355" t="s">
        <v>168</v>
      </c>
      <c r="F997" s="355">
        <v>794</v>
      </c>
      <c r="G997" s="355">
        <v>800</v>
      </c>
      <c r="H997" s="355" t="s">
        <v>50</v>
      </c>
      <c r="I997" s="355">
        <v>50</v>
      </c>
      <c r="J997" s="355">
        <f>-0.03/0.36</f>
        <v>-8.3333333333333329E-2</v>
      </c>
      <c r="K997" s="355">
        <v>30</v>
      </c>
      <c r="L997" s="355">
        <v>12</v>
      </c>
      <c r="M997" s="355" t="s">
        <v>14</v>
      </c>
      <c r="N997" s="361" t="s">
        <v>103</v>
      </c>
      <c r="O997" s="355" t="s">
        <v>459</v>
      </c>
      <c r="P997" s="142"/>
      <c r="Q997" s="361" t="s">
        <v>468</v>
      </c>
      <c r="R997" s="1"/>
    </row>
    <row r="998" spans="1:18" ht="15" x14ac:dyDescent="0.3">
      <c r="A998" s="356"/>
      <c r="B998" s="356"/>
      <c r="C998" s="117">
        <v>21772</v>
      </c>
      <c r="D998" s="356"/>
      <c r="E998" s="356"/>
      <c r="F998" s="356"/>
      <c r="G998" s="356"/>
      <c r="H998" s="356"/>
      <c r="I998" s="356"/>
      <c r="J998" s="356"/>
      <c r="K998" s="356"/>
      <c r="L998" s="356"/>
      <c r="M998" s="356"/>
      <c r="N998" s="362"/>
      <c r="O998" s="356"/>
      <c r="P998" s="143"/>
      <c r="Q998" s="362"/>
      <c r="R998" s="1"/>
    </row>
    <row r="999" spans="1:18" ht="15.6" thickBot="1" x14ac:dyDescent="0.35">
      <c r="A999" s="357"/>
      <c r="B999" s="357"/>
      <c r="C999" s="118">
        <v>11250</v>
      </c>
      <c r="D999" s="357"/>
      <c r="E999" s="357"/>
      <c r="F999" s="357"/>
      <c r="G999" s="357"/>
      <c r="H999" s="357"/>
      <c r="I999" s="357"/>
      <c r="J999" s="357"/>
      <c r="K999" s="357"/>
      <c r="L999" s="357"/>
      <c r="M999" s="357"/>
      <c r="N999" s="363"/>
      <c r="O999" s="357"/>
      <c r="P999" s="144"/>
      <c r="Q999" s="363"/>
      <c r="R999" s="1"/>
    </row>
    <row r="1000" spans="1:18" ht="15" x14ac:dyDescent="0.3">
      <c r="A1000" s="355">
        <v>783</v>
      </c>
      <c r="B1000" s="355" t="s">
        <v>203</v>
      </c>
      <c r="C1000" s="116">
        <v>15799</v>
      </c>
      <c r="D1000" s="355">
        <v>1</v>
      </c>
      <c r="E1000" s="355" t="s">
        <v>204</v>
      </c>
      <c r="F1000" s="355">
        <v>1110</v>
      </c>
      <c r="G1000" s="355">
        <v>800</v>
      </c>
      <c r="H1000" s="355" t="s">
        <v>50</v>
      </c>
      <c r="I1000" s="355">
        <v>30</v>
      </c>
      <c r="J1000" s="355" t="s">
        <v>13</v>
      </c>
      <c r="K1000" s="355" t="s">
        <v>13</v>
      </c>
      <c r="L1000" s="355" t="s">
        <v>13</v>
      </c>
      <c r="M1000" s="355" t="s">
        <v>14</v>
      </c>
      <c r="N1000" s="361" t="s">
        <v>469</v>
      </c>
      <c r="O1000" s="355" t="s">
        <v>27</v>
      </c>
      <c r="P1000" s="142"/>
      <c r="Q1000" s="361" t="s">
        <v>470</v>
      </c>
      <c r="R1000" s="1"/>
    </row>
    <row r="1001" spans="1:18" ht="15" x14ac:dyDescent="0.3">
      <c r="A1001" s="356"/>
      <c r="B1001" s="356"/>
      <c r="C1001" s="117">
        <v>19305</v>
      </c>
      <c r="D1001" s="356"/>
      <c r="E1001" s="356"/>
      <c r="F1001" s="356"/>
      <c r="G1001" s="356"/>
      <c r="H1001" s="356"/>
      <c r="I1001" s="356"/>
      <c r="J1001" s="356"/>
      <c r="K1001" s="356"/>
      <c r="L1001" s="356"/>
      <c r="M1001" s="356"/>
      <c r="N1001" s="362"/>
      <c r="O1001" s="356"/>
      <c r="P1001" s="143"/>
      <c r="Q1001" s="362"/>
      <c r="R1001" s="1"/>
    </row>
    <row r="1002" spans="1:18" ht="15.6" thickBot="1" x14ac:dyDescent="0.35">
      <c r="A1002" s="357"/>
      <c r="B1002" s="357"/>
      <c r="C1002" s="118">
        <v>180</v>
      </c>
      <c r="D1002" s="357"/>
      <c r="E1002" s="357"/>
      <c r="F1002" s="357"/>
      <c r="G1002" s="357"/>
      <c r="H1002" s="357"/>
      <c r="I1002" s="357"/>
      <c r="J1002" s="357"/>
      <c r="K1002" s="357"/>
      <c r="L1002" s="357"/>
      <c r="M1002" s="357"/>
      <c r="N1002" s="363"/>
      <c r="O1002" s="357"/>
      <c r="P1002" s="144"/>
      <c r="Q1002" s="363"/>
      <c r="R1002" s="1"/>
    </row>
    <row r="1003" spans="1:18" ht="25.2" thickBot="1" x14ac:dyDescent="0.35">
      <c r="A1003" s="440" t="s">
        <v>489</v>
      </c>
      <c r="B1003" s="441"/>
      <c r="C1003" s="441"/>
      <c r="D1003" s="441"/>
      <c r="E1003" s="441"/>
      <c r="F1003" s="441"/>
      <c r="G1003" s="441"/>
      <c r="H1003" s="441"/>
      <c r="I1003" s="441"/>
      <c r="J1003" s="441"/>
      <c r="K1003" s="441"/>
      <c r="L1003" s="441"/>
      <c r="M1003" s="441"/>
      <c r="N1003" s="441"/>
      <c r="O1003" s="441"/>
      <c r="P1003" s="441"/>
      <c r="Q1003" s="442"/>
      <c r="R1003" s="1"/>
    </row>
    <row r="1004" spans="1:18" ht="16.2" thickBot="1" x14ac:dyDescent="0.35">
      <c r="A1004" s="352" t="s">
        <v>113</v>
      </c>
      <c r="B1004" s="353"/>
      <c r="C1004" s="353"/>
      <c r="D1004" s="353"/>
      <c r="E1004" s="353"/>
      <c r="F1004" s="353"/>
      <c r="G1004" s="353"/>
      <c r="H1004" s="353"/>
      <c r="I1004" s="353"/>
      <c r="J1004" s="353"/>
      <c r="K1004" s="353"/>
      <c r="L1004" s="353"/>
      <c r="M1004" s="353"/>
      <c r="N1004" s="353"/>
      <c r="O1004" s="353"/>
      <c r="P1004" s="353"/>
      <c r="Q1004" s="354"/>
      <c r="R1004" s="1"/>
    </row>
    <row r="1005" spans="1:18" ht="15" x14ac:dyDescent="0.3">
      <c r="A1005" s="355">
        <v>1</v>
      </c>
      <c r="B1005" s="355" t="s">
        <v>473</v>
      </c>
      <c r="C1005" s="116">
        <v>-11448</v>
      </c>
      <c r="D1005" s="355">
        <v>1</v>
      </c>
      <c r="E1005" s="355" t="s">
        <v>19</v>
      </c>
      <c r="F1005" s="355">
        <v>500</v>
      </c>
      <c r="G1005" s="355">
        <v>400</v>
      </c>
      <c r="H1005" s="355" t="s">
        <v>44</v>
      </c>
      <c r="I1005" s="355" t="s">
        <v>13</v>
      </c>
      <c r="J1005" s="355" t="s">
        <v>13</v>
      </c>
      <c r="K1005" s="355" t="s">
        <v>13</v>
      </c>
      <c r="L1005" s="355">
        <v>45</v>
      </c>
      <c r="M1005" s="355" t="s">
        <v>14</v>
      </c>
      <c r="N1005" s="437" t="s">
        <v>474</v>
      </c>
      <c r="O1005" s="355" t="s">
        <v>16</v>
      </c>
      <c r="P1005" s="142"/>
      <c r="Q1005" s="355" t="s">
        <v>475</v>
      </c>
      <c r="R1005" s="1"/>
    </row>
    <row r="1006" spans="1:18" ht="15" x14ac:dyDescent="0.3">
      <c r="A1006" s="356"/>
      <c r="B1006" s="356"/>
      <c r="C1006" s="117">
        <v>-23377</v>
      </c>
      <c r="D1006" s="356"/>
      <c r="E1006" s="356"/>
      <c r="F1006" s="356"/>
      <c r="G1006" s="356"/>
      <c r="H1006" s="356"/>
      <c r="I1006" s="356"/>
      <c r="J1006" s="356"/>
      <c r="K1006" s="356"/>
      <c r="L1006" s="356"/>
      <c r="M1006" s="356"/>
      <c r="N1006" s="438"/>
      <c r="O1006" s="356"/>
      <c r="P1006" s="143"/>
      <c r="Q1006" s="356"/>
      <c r="R1006" s="1"/>
    </row>
    <row r="1007" spans="1:18" ht="15.6" thickBot="1" x14ac:dyDescent="0.35">
      <c r="A1007" s="357"/>
      <c r="B1007" s="357"/>
      <c r="C1007" s="118">
        <v>54050</v>
      </c>
      <c r="D1007" s="357"/>
      <c r="E1007" s="357"/>
      <c r="F1007" s="357"/>
      <c r="G1007" s="357"/>
      <c r="H1007" s="357"/>
      <c r="I1007" s="357"/>
      <c r="J1007" s="357"/>
      <c r="K1007" s="357"/>
      <c r="L1007" s="357"/>
      <c r="M1007" s="357"/>
      <c r="N1007" s="439"/>
      <c r="O1007" s="357"/>
      <c r="P1007" s="144"/>
      <c r="Q1007" s="357"/>
      <c r="R1007" s="1"/>
    </row>
    <row r="1008" spans="1:18" ht="15" x14ac:dyDescent="0.3">
      <c r="A1008" s="355">
        <v>2</v>
      </c>
      <c r="B1008" s="355" t="s">
        <v>473</v>
      </c>
      <c r="C1008" s="116">
        <v>4061</v>
      </c>
      <c r="D1008" s="355">
        <v>1</v>
      </c>
      <c r="E1008" s="355" t="s">
        <v>19</v>
      </c>
      <c r="F1008" s="355">
        <v>500</v>
      </c>
      <c r="G1008" s="355">
        <v>400</v>
      </c>
      <c r="H1008" s="355" t="s">
        <v>44</v>
      </c>
      <c r="I1008" s="355" t="s">
        <v>13</v>
      </c>
      <c r="J1008" s="355" t="s">
        <v>13</v>
      </c>
      <c r="K1008" s="355" t="s">
        <v>13</v>
      </c>
      <c r="L1008" s="355">
        <v>45</v>
      </c>
      <c r="M1008" s="355" t="s">
        <v>14</v>
      </c>
      <c r="N1008" s="437" t="s">
        <v>474</v>
      </c>
      <c r="O1008" s="355" t="s">
        <v>16</v>
      </c>
      <c r="P1008" s="142"/>
      <c r="Q1008" s="355" t="s">
        <v>475</v>
      </c>
      <c r="R1008" s="1"/>
    </row>
    <row r="1009" spans="1:18" ht="15" x14ac:dyDescent="0.3">
      <c r="A1009" s="356"/>
      <c r="B1009" s="356"/>
      <c r="C1009" s="117">
        <v>-25706</v>
      </c>
      <c r="D1009" s="356"/>
      <c r="E1009" s="356"/>
      <c r="F1009" s="356"/>
      <c r="G1009" s="356"/>
      <c r="H1009" s="356"/>
      <c r="I1009" s="356"/>
      <c r="J1009" s="356"/>
      <c r="K1009" s="356"/>
      <c r="L1009" s="356"/>
      <c r="M1009" s="356"/>
      <c r="N1009" s="438"/>
      <c r="O1009" s="356"/>
      <c r="P1009" s="143"/>
      <c r="Q1009" s="356"/>
      <c r="R1009" s="1"/>
    </row>
    <row r="1010" spans="1:18" ht="15.6" thickBot="1" x14ac:dyDescent="0.35">
      <c r="A1010" s="357"/>
      <c r="B1010" s="357"/>
      <c r="C1010" s="118">
        <v>54050</v>
      </c>
      <c r="D1010" s="357"/>
      <c r="E1010" s="357"/>
      <c r="F1010" s="357"/>
      <c r="G1010" s="357"/>
      <c r="H1010" s="357"/>
      <c r="I1010" s="357"/>
      <c r="J1010" s="357"/>
      <c r="K1010" s="357"/>
      <c r="L1010" s="357"/>
      <c r="M1010" s="357"/>
      <c r="N1010" s="439"/>
      <c r="O1010" s="357"/>
      <c r="P1010" s="144"/>
      <c r="Q1010" s="357"/>
      <c r="R1010" s="1"/>
    </row>
    <row r="1011" spans="1:18" ht="15" x14ac:dyDescent="0.3">
      <c r="A1011" s="355">
        <v>3</v>
      </c>
      <c r="B1011" s="355" t="s">
        <v>476</v>
      </c>
      <c r="C1011" s="116">
        <v>-10643</v>
      </c>
      <c r="D1011" s="355">
        <v>1</v>
      </c>
      <c r="E1011" s="355" t="s">
        <v>30</v>
      </c>
      <c r="F1011" s="355">
        <v>500</v>
      </c>
      <c r="G1011" s="355">
        <v>400</v>
      </c>
      <c r="H1011" s="355" t="s">
        <v>25</v>
      </c>
      <c r="I1011" s="355">
        <v>40</v>
      </c>
      <c r="J1011" s="355" t="s">
        <v>13</v>
      </c>
      <c r="K1011" s="355" t="s">
        <v>13</v>
      </c>
      <c r="L1011" s="355">
        <v>29</v>
      </c>
      <c r="M1011" s="355" t="s">
        <v>14</v>
      </c>
      <c r="N1011" s="437" t="s">
        <v>477</v>
      </c>
      <c r="O1011" s="355" t="s">
        <v>16</v>
      </c>
      <c r="P1011" s="142"/>
      <c r="Q1011" s="355" t="s">
        <v>478</v>
      </c>
      <c r="R1011" s="1"/>
    </row>
    <row r="1012" spans="1:18" ht="15" x14ac:dyDescent="0.3">
      <c r="A1012" s="356"/>
      <c r="B1012" s="356"/>
      <c r="C1012" s="117">
        <v>21396</v>
      </c>
      <c r="D1012" s="356"/>
      <c r="E1012" s="356"/>
      <c r="F1012" s="356"/>
      <c r="G1012" s="356"/>
      <c r="H1012" s="356"/>
      <c r="I1012" s="356"/>
      <c r="J1012" s="356"/>
      <c r="K1012" s="356"/>
      <c r="L1012" s="356"/>
      <c r="M1012" s="356"/>
      <c r="N1012" s="438"/>
      <c r="O1012" s="356"/>
      <c r="P1012" s="143"/>
      <c r="Q1012" s="356"/>
      <c r="R1012" s="1"/>
    </row>
    <row r="1013" spans="1:18" ht="15.6" thickBot="1" x14ac:dyDescent="0.35">
      <c r="A1013" s="357"/>
      <c r="B1013" s="357"/>
      <c r="C1013" s="118">
        <v>54050</v>
      </c>
      <c r="D1013" s="357"/>
      <c r="E1013" s="357"/>
      <c r="F1013" s="357"/>
      <c r="G1013" s="357"/>
      <c r="H1013" s="357"/>
      <c r="I1013" s="357"/>
      <c r="J1013" s="357"/>
      <c r="K1013" s="357"/>
      <c r="L1013" s="357"/>
      <c r="M1013" s="357"/>
      <c r="N1013" s="439"/>
      <c r="O1013" s="357"/>
      <c r="P1013" s="144"/>
      <c r="Q1013" s="357"/>
      <c r="R1013" s="1"/>
    </row>
    <row r="1014" spans="1:18" ht="15" x14ac:dyDescent="0.3">
      <c r="A1014" s="355">
        <v>4</v>
      </c>
      <c r="B1014" s="355" t="s">
        <v>476</v>
      </c>
      <c r="C1014" s="116">
        <v>10643</v>
      </c>
      <c r="D1014" s="355">
        <v>1</v>
      </c>
      <c r="E1014" s="355" t="s">
        <v>30</v>
      </c>
      <c r="F1014" s="355">
        <v>500</v>
      </c>
      <c r="G1014" s="355">
        <v>400</v>
      </c>
      <c r="H1014" s="355" t="s">
        <v>25</v>
      </c>
      <c r="I1014" s="355">
        <v>40</v>
      </c>
      <c r="J1014" s="355" t="s">
        <v>13</v>
      </c>
      <c r="K1014" s="355" t="s">
        <v>13</v>
      </c>
      <c r="L1014" s="355">
        <v>29</v>
      </c>
      <c r="M1014" s="355" t="s">
        <v>14</v>
      </c>
      <c r="N1014" s="437" t="s">
        <v>479</v>
      </c>
      <c r="O1014" s="355" t="s">
        <v>16</v>
      </c>
      <c r="P1014" s="142"/>
      <c r="Q1014" s="355" t="s">
        <v>478</v>
      </c>
      <c r="R1014" s="1"/>
    </row>
    <row r="1015" spans="1:18" ht="15" x14ac:dyDescent="0.3">
      <c r="A1015" s="356"/>
      <c r="B1015" s="356"/>
      <c r="C1015" s="117">
        <v>-21396</v>
      </c>
      <c r="D1015" s="356"/>
      <c r="E1015" s="356"/>
      <c r="F1015" s="356"/>
      <c r="G1015" s="356"/>
      <c r="H1015" s="356"/>
      <c r="I1015" s="356"/>
      <c r="J1015" s="356"/>
      <c r="K1015" s="356"/>
      <c r="L1015" s="356"/>
      <c r="M1015" s="356"/>
      <c r="N1015" s="438"/>
      <c r="O1015" s="356"/>
      <c r="P1015" s="143"/>
      <c r="Q1015" s="356"/>
      <c r="R1015" s="1"/>
    </row>
    <row r="1016" spans="1:18" ht="15.6" thickBot="1" x14ac:dyDescent="0.35">
      <c r="A1016" s="357"/>
      <c r="B1016" s="357"/>
      <c r="C1016" s="118">
        <v>54050</v>
      </c>
      <c r="D1016" s="357"/>
      <c r="E1016" s="357"/>
      <c r="F1016" s="357"/>
      <c r="G1016" s="357"/>
      <c r="H1016" s="357"/>
      <c r="I1016" s="357"/>
      <c r="J1016" s="357"/>
      <c r="K1016" s="357"/>
      <c r="L1016" s="357"/>
      <c r="M1016" s="357"/>
      <c r="N1016" s="439"/>
      <c r="O1016" s="357"/>
      <c r="P1016" s="144"/>
      <c r="Q1016" s="357"/>
      <c r="R1016" s="1"/>
    </row>
    <row r="1017" spans="1:18" ht="16.2" thickBot="1" x14ac:dyDescent="0.35">
      <c r="A1017" s="352" t="s">
        <v>128</v>
      </c>
      <c r="B1017" s="353"/>
      <c r="C1017" s="353"/>
      <c r="D1017" s="353"/>
      <c r="E1017" s="353"/>
      <c r="F1017" s="353"/>
      <c r="G1017" s="353"/>
      <c r="H1017" s="353"/>
      <c r="I1017" s="353"/>
      <c r="J1017" s="353"/>
      <c r="K1017" s="353"/>
      <c r="L1017" s="353"/>
      <c r="M1017" s="353"/>
      <c r="N1017" s="353"/>
      <c r="O1017" s="353"/>
      <c r="P1017" s="353"/>
      <c r="Q1017" s="354"/>
      <c r="R1017" s="1"/>
    </row>
    <row r="1018" spans="1:18" ht="15" x14ac:dyDescent="0.3">
      <c r="A1018" s="355">
        <v>5</v>
      </c>
      <c r="B1018" s="355" t="s">
        <v>473</v>
      </c>
      <c r="C1018" s="116">
        <v>-11448</v>
      </c>
      <c r="D1018" s="355">
        <v>1</v>
      </c>
      <c r="E1018" s="355" t="s">
        <v>19</v>
      </c>
      <c r="F1018" s="355">
        <v>500</v>
      </c>
      <c r="G1018" s="355">
        <v>400</v>
      </c>
      <c r="H1018" s="355" t="s">
        <v>44</v>
      </c>
      <c r="I1018" s="355" t="s">
        <v>13</v>
      </c>
      <c r="J1018" s="355" t="s">
        <v>13</v>
      </c>
      <c r="K1018" s="355" t="s">
        <v>13</v>
      </c>
      <c r="L1018" s="355">
        <v>45</v>
      </c>
      <c r="M1018" s="355" t="s">
        <v>14</v>
      </c>
      <c r="N1018" s="355" t="s">
        <v>480</v>
      </c>
      <c r="O1018" s="355" t="s">
        <v>16</v>
      </c>
      <c r="P1018" s="142"/>
      <c r="Q1018" s="355" t="s">
        <v>475</v>
      </c>
      <c r="R1018" s="1"/>
    </row>
    <row r="1019" spans="1:18" ht="15" x14ac:dyDescent="0.3">
      <c r="A1019" s="356"/>
      <c r="B1019" s="356"/>
      <c r="C1019" s="117">
        <v>-23377</v>
      </c>
      <c r="D1019" s="356"/>
      <c r="E1019" s="356"/>
      <c r="F1019" s="356"/>
      <c r="G1019" s="356"/>
      <c r="H1019" s="356"/>
      <c r="I1019" s="356"/>
      <c r="J1019" s="356"/>
      <c r="K1019" s="356"/>
      <c r="L1019" s="356"/>
      <c r="M1019" s="356"/>
      <c r="N1019" s="356"/>
      <c r="O1019" s="356"/>
      <c r="P1019" s="143"/>
      <c r="Q1019" s="356"/>
      <c r="R1019" s="1"/>
    </row>
    <row r="1020" spans="1:18" ht="15.6" thickBot="1" x14ac:dyDescent="0.35">
      <c r="A1020" s="357"/>
      <c r="B1020" s="357"/>
      <c r="C1020" s="118">
        <v>59450</v>
      </c>
      <c r="D1020" s="357"/>
      <c r="E1020" s="357"/>
      <c r="F1020" s="357"/>
      <c r="G1020" s="357"/>
      <c r="H1020" s="357"/>
      <c r="I1020" s="357"/>
      <c r="J1020" s="357"/>
      <c r="K1020" s="357"/>
      <c r="L1020" s="357"/>
      <c r="M1020" s="357"/>
      <c r="N1020" s="357"/>
      <c r="O1020" s="357"/>
      <c r="P1020" s="144"/>
      <c r="Q1020" s="357"/>
      <c r="R1020" s="1"/>
    </row>
    <row r="1021" spans="1:18" ht="15" x14ac:dyDescent="0.3">
      <c r="A1021" s="355">
        <v>6</v>
      </c>
      <c r="B1021" s="355" t="s">
        <v>473</v>
      </c>
      <c r="C1021" s="116">
        <v>4061</v>
      </c>
      <c r="D1021" s="355">
        <v>1</v>
      </c>
      <c r="E1021" s="355" t="s">
        <v>19</v>
      </c>
      <c r="F1021" s="355">
        <v>500</v>
      </c>
      <c r="G1021" s="355">
        <v>400</v>
      </c>
      <c r="H1021" s="355" t="s">
        <v>44</v>
      </c>
      <c r="I1021" s="355"/>
      <c r="J1021" s="355" t="s">
        <v>13</v>
      </c>
      <c r="K1021" s="355" t="s">
        <v>13</v>
      </c>
      <c r="L1021" s="355">
        <v>45</v>
      </c>
      <c r="M1021" s="355" t="s">
        <v>14</v>
      </c>
      <c r="N1021" s="355" t="s">
        <v>480</v>
      </c>
      <c r="O1021" s="355" t="s">
        <v>16</v>
      </c>
      <c r="P1021" s="142"/>
      <c r="Q1021" s="355" t="s">
        <v>475</v>
      </c>
      <c r="R1021" s="1"/>
    </row>
    <row r="1022" spans="1:18" ht="15" x14ac:dyDescent="0.3">
      <c r="A1022" s="356"/>
      <c r="B1022" s="356"/>
      <c r="C1022" s="117">
        <v>-25706</v>
      </c>
      <c r="D1022" s="356"/>
      <c r="E1022" s="356"/>
      <c r="F1022" s="356"/>
      <c r="G1022" s="356"/>
      <c r="H1022" s="356"/>
      <c r="I1022" s="356"/>
      <c r="J1022" s="356"/>
      <c r="K1022" s="356"/>
      <c r="L1022" s="356"/>
      <c r="M1022" s="356"/>
      <c r="N1022" s="356"/>
      <c r="O1022" s="356"/>
      <c r="P1022" s="143"/>
      <c r="Q1022" s="356"/>
      <c r="R1022" s="1"/>
    </row>
    <row r="1023" spans="1:18" ht="15.6" thickBot="1" x14ac:dyDescent="0.35">
      <c r="A1023" s="357"/>
      <c r="B1023" s="357"/>
      <c r="C1023" s="118">
        <v>59450</v>
      </c>
      <c r="D1023" s="357"/>
      <c r="E1023" s="357"/>
      <c r="F1023" s="357"/>
      <c r="G1023" s="357"/>
      <c r="H1023" s="357"/>
      <c r="I1023" s="357"/>
      <c r="J1023" s="357"/>
      <c r="K1023" s="357"/>
      <c r="L1023" s="357"/>
      <c r="M1023" s="357"/>
      <c r="N1023" s="357"/>
      <c r="O1023" s="357"/>
      <c r="P1023" s="144"/>
      <c r="Q1023" s="357"/>
      <c r="R1023" s="1"/>
    </row>
    <row r="1024" spans="1:18" ht="16.2" thickBot="1" x14ac:dyDescent="0.35">
      <c r="A1024" s="352" t="s">
        <v>147</v>
      </c>
      <c r="B1024" s="353"/>
      <c r="C1024" s="353"/>
      <c r="D1024" s="353"/>
      <c r="E1024" s="353"/>
      <c r="F1024" s="353"/>
      <c r="G1024" s="353"/>
      <c r="H1024" s="353"/>
      <c r="I1024" s="353"/>
      <c r="J1024" s="353"/>
      <c r="K1024" s="353"/>
      <c r="L1024" s="353"/>
      <c r="M1024" s="353"/>
      <c r="N1024" s="353"/>
      <c r="O1024" s="353"/>
      <c r="P1024" s="353"/>
      <c r="Q1024" s="354"/>
      <c r="R1024" s="1"/>
    </row>
    <row r="1025" spans="1:18" ht="15" x14ac:dyDescent="0.3">
      <c r="A1025" s="355">
        <v>7</v>
      </c>
      <c r="B1025" s="355" t="s">
        <v>473</v>
      </c>
      <c r="C1025" s="116">
        <v>-14773</v>
      </c>
      <c r="D1025" s="355">
        <v>1</v>
      </c>
      <c r="E1025" s="355" t="s">
        <v>481</v>
      </c>
      <c r="F1025" s="355">
        <v>400</v>
      </c>
      <c r="G1025" s="355">
        <v>400</v>
      </c>
      <c r="H1025" s="355" t="s">
        <v>19</v>
      </c>
      <c r="I1025" s="355" t="s">
        <v>13</v>
      </c>
      <c r="J1025" s="355" t="s">
        <v>13</v>
      </c>
      <c r="K1025" s="355" t="s">
        <v>13</v>
      </c>
      <c r="L1025" s="355">
        <v>48.5</v>
      </c>
      <c r="M1025" s="355" t="s">
        <v>14</v>
      </c>
      <c r="N1025" s="355" t="s">
        <v>482</v>
      </c>
      <c r="O1025" s="355" t="s">
        <v>16</v>
      </c>
      <c r="P1025" s="142"/>
      <c r="Q1025" s="355" t="s">
        <v>483</v>
      </c>
      <c r="R1025" s="1"/>
    </row>
    <row r="1026" spans="1:18" ht="15" x14ac:dyDescent="0.3">
      <c r="A1026" s="356"/>
      <c r="B1026" s="356"/>
      <c r="C1026" s="117">
        <v>21760</v>
      </c>
      <c r="D1026" s="356"/>
      <c r="E1026" s="356"/>
      <c r="F1026" s="356"/>
      <c r="G1026" s="356"/>
      <c r="H1026" s="356"/>
      <c r="I1026" s="356"/>
      <c r="J1026" s="356"/>
      <c r="K1026" s="356"/>
      <c r="L1026" s="356"/>
      <c r="M1026" s="356"/>
      <c r="N1026" s="356"/>
      <c r="O1026" s="356"/>
      <c r="P1026" s="143"/>
      <c r="Q1026" s="356"/>
      <c r="R1026" s="1"/>
    </row>
    <row r="1027" spans="1:18" ht="15.6" thickBot="1" x14ac:dyDescent="0.35">
      <c r="A1027" s="357"/>
      <c r="B1027" s="357"/>
      <c r="C1027" s="118">
        <v>62592</v>
      </c>
      <c r="D1027" s="357"/>
      <c r="E1027" s="357"/>
      <c r="F1027" s="357"/>
      <c r="G1027" s="357"/>
      <c r="H1027" s="357"/>
      <c r="I1027" s="357"/>
      <c r="J1027" s="357"/>
      <c r="K1027" s="357"/>
      <c r="L1027" s="357"/>
      <c r="M1027" s="357"/>
      <c r="N1027" s="357"/>
      <c r="O1027" s="357"/>
      <c r="P1027" s="144"/>
      <c r="Q1027" s="357"/>
      <c r="R1027" s="1"/>
    </row>
    <row r="1028" spans="1:18" ht="15" x14ac:dyDescent="0.3">
      <c r="A1028" s="355">
        <v>8</v>
      </c>
      <c r="B1028" s="355" t="s">
        <v>473</v>
      </c>
      <c r="C1028" s="116">
        <v>-23972</v>
      </c>
      <c r="D1028" s="355">
        <v>1</v>
      </c>
      <c r="E1028" s="355" t="s">
        <v>11</v>
      </c>
      <c r="F1028" s="355">
        <v>400</v>
      </c>
      <c r="G1028" s="355">
        <v>400</v>
      </c>
      <c r="H1028" s="355" t="s">
        <v>44</v>
      </c>
      <c r="I1028" s="355" t="s">
        <v>13</v>
      </c>
      <c r="J1028" s="355" t="s">
        <v>13</v>
      </c>
      <c r="K1028" s="355" t="s">
        <v>13</v>
      </c>
      <c r="L1028" s="355">
        <v>75</v>
      </c>
      <c r="M1028" s="355" t="s">
        <v>14</v>
      </c>
      <c r="N1028" s="355" t="s">
        <v>484</v>
      </c>
      <c r="O1028" s="355" t="s">
        <v>16</v>
      </c>
      <c r="P1028" s="142"/>
      <c r="Q1028" s="355" t="s">
        <v>485</v>
      </c>
      <c r="R1028" s="1"/>
    </row>
    <row r="1029" spans="1:18" ht="15" x14ac:dyDescent="0.3">
      <c r="A1029" s="356"/>
      <c r="B1029" s="356"/>
      <c r="C1029" s="117">
        <v>-11085</v>
      </c>
      <c r="D1029" s="356"/>
      <c r="E1029" s="356"/>
      <c r="F1029" s="356"/>
      <c r="G1029" s="356"/>
      <c r="H1029" s="356"/>
      <c r="I1029" s="356"/>
      <c r="J1029" s="356"/>
      <c r="K1029" s="356"/>
      <c r="L1029" s="356"/>
      <c r="M1029" s="356"/>
      <c r="N1029" s="356"/>
      <c r="O1029" s="356"/>
      <c r="P1029" s="143"/>
      <c r="Q1029" s="356"/>
      <c r="R1029" s="1"/>
    </row>
    <row r="1030" spans="1:18" ht="15.6" thickBot="1" x14ac:dyDescent="0.35">
      <c r="A1030" s="357"/>
      <c r="B1030" s="357"/>
      <c r="C1030" s="118">
        <v>62340</v>
      </c>
      <c r="D1030" s="357"/>
      <c r="E1030" s="357"/>
      <c r="F1030" s="357"/>
      <c r="G1030" s="357"/>
      <c r="H1030" s="357"/>
      <c r="I1030" s="357"/>
      <c r="J1030" s="357"/>
      <c r="K1030" s="357"/>
      <c r="L1030" s="357"/>
      <c r="M1030" s="357"/>
      <c r="N1030" s="357"/>
      <c r="O1030" s="357"/>
      <c r="P1030" s="144"/>
      <c r="Q1030" s="357"/>
      <c r="R1030" s="1"/>
    </row>
    <row r="1031" spans="1:18" ht="15" x14ac:dyDescent="0.3">
      <c r="A1031" s="355">
        <v>9</v>
      </c>
      <c r="B1031" s="355" t="s">
        <v>473</v>
      </c>
      <c r="C1031" s="116">
        <v>14446</v>
      </c>
      <c r="D1031" s="355">
        <v>1</v>
      </c>
      <c r="E1031" s="355" t="s">
        <v>11</v>
      </c>
      <c r="F1031" s="355">
        <v>400</v>
      </c>
      <c r="G1031" s="355">
        <v>400</v>
      </c>
      <c r="H1031" s="355" t="s">
        <v>44</v>
      </c>
      <c r="I1031" s="355" t="s">
        <v>13</v>
      </c>
      <c r="J1031" s="355" t="s">
        <v>13</v>
      </c>
      <c r="K1031" s="355" t="s">
        <v>13</v>
      </c>
      <c r="L1031" s="355">
        <v>75</v>
      </c>
      <c r="M1031" s="355" t="s">
        <v>14</v>
      </c>
      <c r="N1031" s="355" t="s">
        <v>486</v>
      </c>
      <c r="O1031" s="355" t="s">
        <v>16</v>
      </c>
      <c r="P1031" s="142"/>
      <c r="Q1031" s="355" t="s">
        <v>485</v>
      </c>
      <c r="R1031" s="1"/>
    </row>
    <row r="1032" spans="1:18" ht="15" x14ac:dyDescent="0.3">
      <c r="A1032" s="356"/>
      <c r="B1032" s="356"/>
      <c r="C1032" s="117">
        <v>-21980</v>
      </c>
      <c r="D1032" s="356"/>
      <c r="E1032" s="356"/>
      <c r="F1032" s="356"/>
      <c r="G1032" s="356"/>
      <c r="H1032" s="356"/>
      <c r="I1032" s="356"/>
      <c r="J1032" s="356"/>
      <c r="K1032" s="356"/>
      <c r="L1032" s="356"/>
      <c r="M1032" s="356"/>
      <c r="N1032" s="356"/>
      <c r="O1032" s="356"/>
      <c r="P1032" s="143"/>
      <c r="Q1032" s="356"/>
      <c r="R1032" s="1"/>
    </row>
    <row r="1033" spans="1:18" ht="15.6" thickBot="1" x14ac:dyDescent="0.35">
      <c r="A1033" s="357"/>
      <c r="B1033" s="357"/>
      <c r="C1033" s="118">
        <v>62240</v>
      </c>
      <c r="D1033" s="357"/>
      <c r="E1033" s="357"/>
      <c r="F1033" s="357"/>
      <c r="G1033" s="357"/>
      <c r="H1033" s="357"/>
      <c r="I1033" s="357"/>
      <c r="J1033" s="357"/>
      <c r="K1033" s="357"/>
      <c r="L1033" s="357"/>
      <c r="M1033" s="357"/>
      <c r="N1033" s="357"/>
      <c r="O1033" s="357"/>
      <c r="P1033" s="144"/>
      <c r="Q1033" s="357"/>
      <c r="R1033" s="1"/>
    </row>
    <row r="1034" spans="1:18" ht="15" x14ac:dyDescent="0.3">
      <c r="A1034" s="355">
        <v>10</v>
      </c>
      <c r="B1034" s="355" t="s">
        <v>473</v>
      </c>
      <c r="C1034" s="116">
        <v>23973</v>
      </c>
      <c r="D1034" s="355">
        <v>1</v>
      </c>
      <c r="E1034" s="355" t="s">
        <v>481</v>
      </c>
      <c r="F1034" s="355">
        <v>400</v>
      </c>
      <c r="G1034" s="355">
        <v>400</v>
      </c>
      <c r="H1034" s="355" t="s">
        <v>55</v>
      </c>
      <c r="I1034" s="355" t="s">
        <v>13</v>
      </c>
      <c r="J1034" s="355" t="s">
        <v>13</v>
      </c>
      <c r="K1034" s="355" t="s">
        <v>13</v>
      </c>
      <c r="L1034" s="355">
        <v>75.5</v>
      </c>
      <c r="M1034" s="355" t="s">
        <v>14</v>
      </c>
      <c r="N1034" s="355" t="s">
        <v>487</v>
      </c>
      <c r="O1034" s="355" t="s">
        <v>16</v>
      </c>
      <c r="P1034" s="142"/>
      <c r="Q1034" s="355" t="s">
        <v>488</v>
      </c>
      <c r="R1034" s="1"/>
    </row>
    <row r="1035" spans="1:18" ht="15" x14ac:dyDescent="0.3">
      <c r="A1035" s="356"/>
      <c r="B1035" s="356"/>
      <c r="C1035" s="117">
        <v>11092</v>
      </c>
      <c r="D1035" s="356"/>
      <c r="E1035" s="356"/>
      <c r="F1035" s="356"/>
      <c r="G1035" s="356"/>
      <c r="H1035" s="356"/>
      <c r="I1035" s="356"/>
      <c r="J1035" s="356"/>
      <c r="K1035" s="356"/>
      <c r="L1035" s="356"/>
      <c r="M1035" s="356"/>
      <c r="N1035" s="356"/>
      <c r="O1035" s="356"/>
      <c r="P1035" s="143"/>
      <c r="Q1035" s="356"/>
      <c r="R1035" s="1"/>
    </row>
    <row r="1036" spans="1:18" ht="15.6" thickBot="1" x14ac:dyDescent="0.35">
      <c r="A1036" s="357"/>
      <c r="B1036" s="357"/>
      <c r="C1036" s="118">
        <v>62540</v>
      </c>
      <c r="D1036" s="357"/>
      <c r="E1036" s="357"/>
      <c r="F1036" s="357"/>
      <c r="G1036" s="357"/>
      <c r="H1036" s="357"/>
      <c r="I1036" s="357"/>
      <c r="J1036" s="357"/>
      <c r="K1036" s="357"/>
      <c r="L1036" s="357"/>
      <c r="M1036" s="357"/>
      <c r="N1036" s="357"/>
      <c r="O1036" s="357"/>
      <c r="P1036" s="144"/>
      <c r="Q1036" s="357"/>
      <c r="R1036" s="1"/>
    </row>
    <row r="1037" spans="1:18" ht="16.2" thickBot="1" x14ac:dyDescent="0.35">
      <c r="A1037" s="352" t="s">
        <v>490</v>
      </c>
      <c r="B1037" s="353"/>
      <c r="C1037" s="353"/>
      <c r="D1037" s="353"/>
      <c r="E1037" s="353"/>
      <c r="F1037" s="353"/>
      <c r="G1037" s="353"/>
      <c r="H1037" s="353"/>
      <c r="I1037" s="353"/>
      <c r="J1037" s="353"/>
      <c r="K1037" s="353"/>
      <c r="L1037" s="353"/>
      <c r="M1037" s="353"/>
      <c r="N1037" s="353"/>
      <c r="O1037" s="353"/>
      <c r="P1037" s="353"/>
      <c r="Q1037" s="354"/>
      <c r="R1037" s="1"/>
    </row>
    <row r="1038" spans="1:18" ht="15.6" x14ac:dyDescent="0.3">
      <c r="A1038" s="388">
        <v>11</v>
      </c>
      <c r="B1038" s="388" t="s">
        <v>473</v>
      </c>
      <c r="C1038" s="45">
        <v>-11448</v>
      </c>
      <c r="D1038" s="388">
        <v>1</v>
      </c>
      <c r="E1038" s="388" t="s">
        <v>491</v>
      </c>
      <c r="F1038" s="388">
        <v>500</v>
      </c>
      <c r="G1038" s="388">
        <v>400</v>
      </c>
      <c r="H1038" s="388" t="s">
        <v>25</v>
      </c>
      <c r="I1038" s="388" t="s">
        <v>13</v>
      </c>
      <c r="J1038" s="388" t="s">
        <v>13</v>
      </c>
      <c r="K1038" s="388" t="s">
        <v>13</v>
      </c>
      <c r="L1038" s="388">
        <v>19.5</v>
      </c>
      <c r="M1038" s="355" t="s">
        <v>14</v>
      </c>
      <c r="N1038" s="437" t="s">
        <v>492</v>
      </c>
      <c r="O1038" s="388" t="s">
        <v>16</v>
      </c>
      <c r="P1038" s="145"/>
      <c r="Q1038" s="388" t="s">
        <v>493</v>
      </c>
      <c r="R1038" s="1"/>
    </row>
    <row r="1039" spans="1:18" ht="15.6" x14ac:dyDescent="0.3">
      <c r="A1039" s="389"/>
      <c r="B1039" s="389"/>
      <c r="C1039" s="46">
        <v>-23377</v>
      </c>
      <c r="D1039" s="389"/>
      <c r="E1039" s="389"/>
      <c r="F1039" s="389"/>
      <c r="G1039" s="389"/>
      <c r="H1039" s="389"/>
      <c r="I1039" s="389"/>
      <c r="J1039" s="389"/>
      <c r="K1039" s="389"/>
      <c r="L1039" s="389"/>
      <c r="M1039" s="356"/>
      <c r="N1039" s="438"/>
      <c r="O1039" s="389"/>
      <c r="P1039" s="146"/>
      <c r="Q1039" s="389"/>
      <c r="R1039" s="1"/>
    </row>
    <row r="1040" spans="1:18" ht="16.2" thickBot="1" x14ac:dyDescent="0.35">
      <c r="A1040" s="390"/>
      <c r="B1040" s="390"/>
      <c r="C1040" s="47">
        <v>62850</v>
      </c>
      <c r="D1040" s="390"/>
      <c r="E1040" s="390"/>
      <c r="F1040" s="390"/>
      <c r="G1040" s="390"/>
      <c r="H1040" s="390"/>
      <c r="I1040" s="390"/>
      <c r="J1040" s="390"/>
      <c r="K1040" s="390"/>
      <c r="L1040" s="390"/>
      <c r="M1040" s="357"/>
      <c r="N1040" s="439"/>
      <c r="O1040" s="390"/>
      <c r="P1040" s="147"/>
      <c r="Q1040" s="390"/>
      <c r="R1040" s="1"/>
    </row>
    <row r="1041" spans="1:18" ht="15.6" x14ac:dyDescent="0.3">
      <c r="A1041" s="388">
        <v>12</v>
      </c>
      <c r="B1041" s="388" t="s">
        <v>473</v>
      </c>
      <c r="C1041" s="45">
        <v>4061</v>
      </c>
      <c r="D1041" s="388">
        <v>1</v>
      </c>
      <c r="E1041" s="388" t="s">
        <v>491</v>
      </c>
      <c r="F1041" s="388">
        <v>500</v>
      </c>
      <c r="G1041" s="388">
        <v>400</v>
      </c>
      <c r="H1041" s="388" t="s">
        <v>25</v>
      </c>
      <c r="I1041" s="388" t="s">
        <v>13</v>
      </c>
      <c r="J1041" s="388" t="s">
        <v>13</v>
      </c>
      <c r="K1041" s="388" t="s">
        <v>13</v>
      </c>
      <c r="L1041" s="388">
        <v>19.5</v>
      </c>
      <c r="M1041" s="355" t="s">
        <v>14</v>
      </c>
      <c r="N1041" s="437" t="s">
        <v>492</v>
      </c>
      <c r="O1041" s="388" t="s">
        <v>16</v>
      </c>
      <c r="P1041" s="145"/>
      <c r="Q1041" s="388" t="s">
        <v>493</v>
      </c>
      <c r="R1041" s="1"/>
    </row>
    <row r="1042" spans="1:18" ht="15.6" x14ac:dyDescent="0.3">
      <c r="A1042" s="389"/>
      <c r="B1042" s="389"/>
      <c r="C1042" s="46">
        <v>-25706</v>
      </c>
      <c r="D1042" s="389"/>
      <c r="E1042" s="389"/>
      <c r="F1042" s="389"/>
      <c r="G1042" s="389"/>
      <c r="H1042" s="389"/>
      <c r="I1042" s="389"/>
      <c r="J1042" s="389"/>
      <c r="K1042" s="389"/>
      <c r="L1042" s="389"/>
      <c r="M1042" s="356"/>
      <c r="N1042" s="438"/>
      <c r="O1042" s="389"/>
      <c r="P1042" s="146"/>
      <c r="Q1042" s="389"/>
      <c r="R1042" s="1"/>
    </row>
    <row r="1043" spans="1:18" ht="16.2" thickBot="1" x14ac:dyDescent="0.35">
      <c r="A1043" s="390"/>
      <c r="B1043" s="390"/>
      <c r="C1043" s="47">
        <v>62850</v>
      </c>
      <c r="D1043" s="390"/>
      <c r="E1043" s="390"/>
      <c r="F1043" s="390"/>
      <c r="G1043" s="390"/>
      <c r="H1043" s="390"/>
      <c r="I1043" s="390"/>
      <c r="J1043" s="390"/>
      <c r="K1043" s="390"/>
      <c r="L1043" s="390"/>
      <c r="M1043" s="357"/>
      <c r="N1043" s="439"/>
      <c r="O1043" s="390"/>
      <c r="P1043" s="147"/>
      <c r="Q1043" s="390"/>
      <c r="R1043" s="1"/>
    </row>
    <row r="1044" spans="1:18" ht="15.6" x14ac:dyDescent="0.3">
      <c r="A1044" s="388">
        <v>13</v>
      </c>
      <c r="B1044" s="388" t="s">
        <v>473</v>
      </c>
      <c r="C1044" s="45">
        <v>-8404</v>
      </c>
      <c r="D1044" s="388">
        <v>1</v>
      </c>
      <c r="E1044" s="388" t="s">
        <v>491</v>
      </c>
      <c r="F1044" s="388">
        <v>500</v>
      </c>
      <c r="G1044" s="388">
        <v>400</v>
      </c>
      <c r="H1044" s="388" t="s">
        <v>25</v>
      </c>
      <c r="I1044" s="388" t="s">
        <v>13</v>
      </c>
      <c r="J1044" s="388" t="s">
        <v>13</v>
      </c>
      <c r="K1044" s="388" t="s">
        <v>13</v>
      </c>
      <c r="L1044" s="388">
        <v>19.5</v>
      </c>
      <c r="M1044" s="355" t="s">
        <v>14</v>
      </c>
      <c r="N1044" s="437" t="s">
        <v>494</v>
      </c>
      <c r="O1044" s="388" t="s">
        <v>16</v>
      </c>
      <c r="P1044" s="145"/>
      <c r="Q1044" s="388" t="s">
        <v>493</v>
      </c>
      <c r="R1044" s="1"/>
    </row>
    <row r="1045" spans="1:18" ht="15.6" x14ac:dyDescent="0.3">
      <c r="A1045" s="389"/>
      <c r="B1045" s="389"/>
      <c r="C1045" s="46">
        <v>24575</v>
      </c>
      <c r="D1045" s="389"/>
      <c r="E1045" s="389"/>
      <c r="F1045" s="389"/>
      <c r="G1045" s="389"/>
      <c r="H1045" s="389"/>
      <c r="I1045" s="389"/>
      <c r="J1045" s="389"/>
      <c r="K1045" s="389"/>
      <c r="L1045" s="389"/>
      <c r="M1045" s="356"/>
      <c r="N1045" s="438"/>
      <c r="O1045" s="389"/>
      <c r="P1045" s="146"/>
      <c r="Q1045" s="389"/>
      <c r="R1045" s="1"/>
    </row>
    <row r="1046" spans="1:18" ht="16.2" thickBot="1" x14ac:dyDescent="0.35">
      <c r="A1046" s="390"/>
      <c r="B1046" s="390"/>
      <c r="C1046" s="47">
        <v>62850</v>
      </c>
      <c r="D1046" s="390"/>
      <c r="E1046" s="390"/>
      <c r="F1046" s="390"/>
      <c r="G1046" s="390"/>
      <c r="H1046" s="390"/>
      <c r="I1046" s="390"/>
      <c r="J1046" s="390"/>
      <c r="K1046" s="390"/>
      <c r="L1046" s="390"/>
      <c r="M1046" s="357"/>
      <c r="N1046" s="439"/>
      <c r="O1046" s="390"/>
      <c r="P1046" s="147"/>
      <c r="Q1046" s="390"/>
      <c r="R1046" s="1"/>
    </row>
    <row r="1047" spans="1:18" ht="15.6" x14ac:dyDescent="0.3">
      <c r="A1047" s="388">
        <v>14</v>
      </c>
      <c r="B1047" s="388" t="s">
        <v>473</v>
      </c>
      <c r="C1047" s="45">
        <v>16139</v>
      </c>
      <c r="D1047" s="388">
        <v>1</v>
      </c>
      <c r="E1047" s="388" t="s">
        <v>491</v>
      </c>
      <c r="F1047" s="388">
        <v>500</v>
      </c>
      <c r="G1047" s="388">
        <v>400</v>
      </c>
      <c r="H1047" s="388" t="s">
        <v>25</v>
      </c>
      <c r="I1047" s="388" t="s">
        <v>13</v>
      </c>
      <c r="J1047" s="388" t="s">
        <v>13</v>
      </c>
      <c r="K1047" s="388" t="s">
        <v>13</v>
      </c>
      <c r="L1047" s="388">
        <v>19.5</v>
      </c>
      <c r="M1047" s="355" t="s">
        <v>14</v>
      </c>
      <c r="N1047" s="437" t="s">
        <v>494</v>
      </c>
      <c r="O1047" s="388" t="s">
        <v>16</v>
      </c>
      <c r="P1047" s="145"/>
      <c r="Q1047" s="388" t="s">
        <v>493</v>
      </c>
      <c r="R1047" s="1"/>
    </row>
    <row r="1048" spans="1:18" ht="15.6" x14ac:dyDescent="0.3">
      <c r="A1048" s="389"/>
      <c r="B1048" s="389"/>
      <c r="C1048" s="45">
        <v>20335</v>
      </c>
      <c r="D1048" s="389"/>
      <c r="E1048" s="389"/>
      <c r="F1048" s="389"/>
      <c r="G1048" s="389"/>
      <c r="H1048" s="389"/>
      <c r="I1048" s="389"/>
      <c r="J1048" s="389"/>
      <c r="K1048" s="389"/>
      <c r="L1048" s="389"/>
      <c r="M1048" s="356"/>
      <c r="N1048" s="438"/>
      <c r="O1048" s="389"/>
      <c r="P1048" s="146"/>
      <c r="Q1048" s="389"/>
      <c r="R1048" s="1"/>
    </row>
    <row r="1049" spans="1:18" ht="16.2" thickBot="1" x14ac:dyDescent="0.35">
      <c r="A1049" s="390"/>
      <c r="B1049" s="390"/>
      <c r="C1049" s="47">
        <v>62850</v>
      </c>
      <c r="D1049" s="390"/>
      <c r="E1049" s="390"/>
      <c r="F1049" s="390"/>
      <c r="G1049" s="390"/>
      <c r="H1049" s="390"/>
      <c r="I1049" s="390"/>
      <c r="J1049" s="390"/>
      <c r="K1049" s="390"/>
      <c r="L1049" s="390"/>
      <c r="M1049" s="357"/>
      <c r="N1049" s="439"/>
      <c r="O1049" s="390"/>
      <c r="P1049" s="147"/>
      <c r="Q1049" s="390"/>
      <c r="R1049" s="1"/>
    </row>
    <row r="1050" spans="1:18" ht="16.2" thickBot="1" x14ac:dyDescent="0.35">
      <c r="A1050" s="352" t="s">
        <v>156</v>
      </c>
      <c r="B1050" s="353"/>
      <c r="C1050" s="353"/>
      <c r="D1050" s="353"/>
      <c r="E1050" s="353"/>
      <c r="F1050" s="353"/>
      <c r="G1050" s="353"/>
      <c r="H1050" s="353"/>
      <c r="I1050" s="353"/>
      <c r="J1050" s="353"/>
      <c r="K1050" s="353"/>
      <c r="L1050" s="353"/>
      <c r="M1050" s="353"/>
      <c r="N1050" s="353"/>
      <c r="O1050" s="353"/>
      <c r="P1050" s="353"/>
      <c r="Q1050" s="354"/>
      <c r="R1050" s="1"/>
    </row>
    <row r="1051" spans="1:18" ht="15.6" x14ac:dyDescent="0.3">
      <c r="A1051" s="388">
        <v>15</v>
      </c>
      <c r="B1051" s="388" t="s">
        <v>476</v>
      </c>
      <c r="C1051" s="45">
        <v>-10398</v>
      </c>
      <c r="D1051" s="388">
        <v>1</v>
      </c>
      <c r="E1051" s="388">
        <v>89</v>
      </c>
      <c r="F1051" s="388">
        <v>600</v>
      </c>
      <c r="G1051" s="388">
        <v>600</v>
      </c>
      <c r="H1051" s="388" t="s">
        <v>495</v>
      </c>
      <c r="I1051" s="388">
        <v>40</v>
      </c>
      <c r="J1051" s="388"/>
      <c r="K1051" s="388"/>
      <c r="L1051" s="388">
        <v>58</v>
      </c>
      <c r="M1051" s="355" t="s">
        <v>14</v>
      </c>
      <c r="N1051" s="437" t="s">
        <v>496</v>
      </c>
      <c r="O1051" s="388" t="s">
        <v>16</v>
      </c>
      <c r="P1051" s="145"/>
      <c r="Q1051" s="388" t="s">
        <v>497</v>
      </c>
      <c r="R1051" s="1"/>
    </row>
    <row r="1052" spans="1:18" ht="15.6" x14ac:dyDescent="0.3">
      <c r="A1052" s="389"/>
      <c r="B1052" s="389"/>
      <c r="C1052" s="46">
        <v>-22958</v>
      </c>
      <c r="D1052" s="389"/>
      <c r="E1052" s="389"/>
      <c r="F1052" s="389"/>
      <c r="G1052" s="389"/>
      <c r="H1052" s="389"/>
      <c r="I1052" s="389"/>
      <c r="J1052" s="389"/>
      <c r="K1052" s="389"/>
      <c r="L1052" s="389"/>
      <c r="M1052" s="356"/>
      <c r="N1052" s="438"/>
      <c r="O1052" s="389"/>
      <c r="P1052" s="146"/>
      <c r="Q1052" s="389"/>
      <c r="R1052" s="1"/>
    </row>
    <row r="1053" spans="1:18" ht="16.2" thickBot="1" x14ac:dyDescent="0.35">
      <c r="A1053" s="390"/>
      <c r="B1053" s="390"/>
      <c r="C1053" s="47">
        <v>51830</v>
      </c>
      <c r="D1053" s="390"/>
      <c r="E1053" s="390"/>
      <c r="F1053" s="390"/>
      <c r="G1053" s="390"/>
      <c r="H1053" s="390"/>
      <c r="I1053" s="390"/>
      <c r="J1053" s="390"/>
      <c r="K1053" s="390"/>
      <c r="L1053" s="390"/>
      <c r="M1053" s="357"/>
      <c r="N1053" s="439"/>
      <c r="O1053" s="390"/>
      <c r="P1053" s="147"/>
      <c r="Q1053" s="390"/>
      <c r="R1053" s="1"/>
    </row>
    <row r="1054" spans="1:18" ht="15.6" x14ac:dyDescent="0.3">
      <c r="A1054" s="388">
        <v>16</v>
      </c>
      <c r="B1054" s="388" t="s">
        <v>476</v>
      </c>
      <c r="C1054" s="45">
        <v>3144</v>
      </c>
      <c r="D1054" s="388">
        <v>1</v>
      </c>
      <c r="E1054" s="388">
        <v>89</v>
      </c>
      <c r="F1054" s="388">
        <v>600</v>
      </c>
      <c r="G1054" s="388">
        <v>600</v>
      </c>
      <c r="H1054" s="388" t="s">
        <v>495</v>
      </c>
      <c r="I1054" s="388">
        <v>40</v>
      </c>
      <c r="J1054" s="388"/>
      <c r="K1054" s="388"/>
      <c r="L1054" s="388">
        <v>58</v>
      </c>
      <c r="M1054" s="355" t="s">
        <v>14</v>
      </c>
      <c r="N1054" s="437" t="s">
        <v>496</v>
      </c>
      <c r="O1054" s="388" t="s">
        <v>16</v>
      </c>
      <c r="P1054" s="145"/>
      <c r="Q1054" s="388" t="s">
        <v>497</v>
      </c>
      <c r="R1054" s="1"/>
    </row>
    <row r="1055" spans="1:18" ht="15.6" x14ac:dyDescent="0.3">
      <c r="A1055" s="389"/>
      <c r="B1055" s="389"/>
      <c r="C1055" s="46">
        <v>-25006</v>
      </c>
      <c r="D1055" s="389"/>
      <c r="E1055" s="389"/>
      <c r="F1055" s="389"/>
      <c r="G1055" s="389"/>
      <c r="H1055" s="389"/>
      <c r="I1055" s="389"/>
      <c r="J1055" s="389"/>
      <c r="K1055" s="389"/>
      <c r="L1055" s="389"/>
      <c r="M1055" s="356"/>
      <c r="N1055" s="438"/>
      <c r="O1055" s="389"/>
      <c r="P1055" s="146"/>
      <c r="Q1055" s="389"/>
      <c r="R1055" s="1"/>
    </row>
    <row r="1056" spans="1:18" ht="16.2" thickBot="1" x14ac:dyDescent="0.35">
      <c r="A1056" s="390"/>
      <c r="B1056" s="390"/>
      <c r="C1056" s="47">
        <v>51890</v>
      </c>
      <c r="D1056" s="390"/>
      <c r="E1056" s="390"/>
      <c r="F1056" s="390"/>
      <c r="G1056" s="390"/>
      <c r="H1056" s="390"/>
      <c r="I1056" s="390"/>
      <c r="J1056" s="390"/>
      <c r="K1056" s="390"/>
      <c r="L1056" s="390"/>
      <c r="M1056" s="357"/>
      <c r="N1056" s="439"/>
      <c r="O1056" s="390"/>
      <c r="P1056" s="147"/>
      <c r="Q1056" s="390"/>
      <c r="R1056" s="1"/>
    </row>
    <row r="1057" spans="1:18" ht="16.2" thickBot="1" x14ac:dyDescent="0.35">
      <c r="A1057" s="352" t="s">
        <v>29</v>
      </c>
      <c r="B1057" s="353"/>
      <c r="C1057" s="353"/>
      <c r="D1057" s="353"/>
      <c r="E1057" s="353"/>
      <c r="F1057" s="353"/>
      <c r="G1057" s="353"/>
      <c r="H1057" s="353"/>
      <c r="I1057" s="353"/>
      <c r="J1057" s="353"/>
      <c r="K1057" s="353"/>
      <c r="L1057" s="353"/>
      <c r="M1057" s="353"/>
      <c r="N1057" s="353"/>
      <c r="O1057" s="353"/>
      <c r="P1057" s="353"/>
      <c r="Q1057" s="354"/>
      <c r="R1057" s="1"/>
    </row>
    <row r="1058" spans="1:18" ht="15.6" x14ac:dyDescent="0.3">
      <c r="A1058" s="388">
        <v>17</v>
      </c>
      <c r="B1058" s="388" t="s">
        <v>498</v>
      </c>
      <c r="C1058" s="45">
        <v>22046</v>
      </c>
      <c r="D1058" s="388">
        <v>1</v>
      </c>
      <c r="E1058" s="388" t="s">
        <v>499</v>
      </c>
      <c r="F1058" s="388">
        <v>450</v>
      </c>
      <c r="G1058" s="388">
        <v>200</v>
      </c>
      <c r="H1058" s="388" t="s">
        <v>25</v>
      </c>
      <c r="I1058" s="388" t="s">
        <v>13</v>
      </c>
      <c r="J1058" s="388" t="s">
        <v>13</v>
      </c>
      <c r="K1058" s="388" t="s">
        <v>13</v>
      </c>
      <c r="L1058" s="388">
        <v>35.5</v>
      </c>
      <c r="M1058" s="355" t="s">
        <v>14</v>
      </c>
      <c r="N1058" s="437" t="s">
        <v>173</v>
      </c>
      <c r="O1058" s="388" t="s">
        <v>27</v>
      </c>
      <c r="P1058" s="145"/>
      <c r="Q1058" s="388" t="s">
        <v>500</v>
      </c>
      <c r="R1058" s="1"/>
    </row>
    <row r="1059" spans="1:18" ht="15.6" x14ac:dyDescent="0.3">
      <c r="A1059" s="389"/>
      <c r="B1059" s="389"/>
      <c r="C1059" s="46">
        <v>-11276</v>
      </c>
      <c r="D1059" s="389"/>
      <c r="E1059" s="389"/>
      <c r="F1059" s="389"/>
      <c r="G1059" s="389"/>
      <c r="H1059" s="389"/>
      <c r="I1059" s="389"/>
      <c r="J1059" s="389"/>
      <c r="K1059" s="389"/>
      <c r="L1059" s="389"/>
      <c r="M1059" s="356"/>
      <c r="N1059" s="438"/>
      <c r="O1059" s="389"/>
      <c r="P1059" s="146"/>
      <c r="Q1059" s="389"/>
      <c r="R1059" s="1"/>
    </row>
    <row r="1060" spans="1:18" ht="16.2" thickBot="1" x14ac:dyDescent="0.35">
      <c r="A1060" s="390"/>
      <c r="B1060" s="390"/>
      <c r="C1060" s="47">
        <v>8025</v>
      </c>
      <c r="D1060" s="390"/>
      <c r="E1060" s="390"/>
      <c r="F1060" s="390"/>
      <c r="G1060" s="390"/>
      <c r="H1060" s="390"/>
      <c r="I1060" s="390"/>
      <c r="J1060" s="390"/>
      <c r="K1060" s="390"/>
      <c r="L1060" s="390"/>
      <c r="M1060" s="357"/>
      <c r="N1060" s="439"/>
      <c r="O1060" s="390"/>
      <c r="P1060" s="147"/>
      <c r="Q1060" s="390"/>
      <c r="R1060" s="1"/>
    </row>
    <row r="1061" spans="1:18" ht="15.6" x14ac:dyDescent="0.3">
      <c r="A1061" s="388">
        <v>18</v>
      </c>
      <c r="B1061" s="388" t="s">
        <v>498</v>
      </c>
      <c r="C1061" s="45">
        <v>21832</v>
      </c>
      <c r="D1061" s="388">
        <v>1</v>
      </c>
      <c r="E1061" s="388" t="s">
        <v>499</v>
      </c>
      <c r="F1061" s="388">
        <v>450</v>
      </c>
      <c r="G1061" s="388">
        <v>200</v>
      </c>
      <c r="H1061" s="388" t="s">
        <v>25</v>
      </c>
      <c r="I1061" s="388" t="s">
        <v>13</v>
      </c>
      <c r="J1061" s="388" t="s">
        <v>13</v>
      </c>
      <c r="K1061" s="388" t="s">
        <v>13</v>
      </c>
      <c r="L1061" s="388">
        <v>35.5</v>
      </c>
      <c r="M1061" s="355" t="s">
        <v>14</v>
      </c>
      <c r="N1061" s="437" t="s">
        <v>173</v>
      </c>
      <c r="O1061" s="388" t="s">
        <v>27</v>
      </c>
      <c r="P1061" s="145"/>
      <c r="Q1061" s="388" t="s">
        <v>500</v>
      </c>
      <c r="R1061" s="1"/>
    </row>
    <row r="1062" spans="1:18" ht="15.6" x14ac:dyDescent="0.3">
      <c r="A1062" s="389"/>
      <c r="B1062" s="389"/>
      <c r="C1062" s="46">
        <v>-11672</v>
      </c>
      <c r="D1062" s="389"/>
      <c r="E1062" s="389"/>
      <c r="F1062" s="389"/>
      <c r="G1062" s="389"/>
      <c r="H1062" s="389"/>
      <c r="I1062" s="389"/>
      <c r="J1062" s="389"/>
      <c r="K1062" s="389"/>
      <c r="L1062" s="389"/>
      <c r="M1062" s="356"/>
      <c r="N1062" s="438"/>
      <c r="O1062" s="389"/>
      <c r="P1062" s="146"/>
      <c r="Q1062" s="389"/>
      <c r="R1062" s="1"/>
    </row>
    <row r="1063" spans="1:18" ht="16.2" thickBot="1" x14ac:dyDescent="0.35">
      <c r="A1063" s="390"/>
      <c r="B1063" s="390"/>
      <c r="C1063" s="47">
        <v>8025</v>
      </c>
      <c r="D1063" s="390"/>
      <c r="E1063" s="390"/>
      <c r="F1063" s="390"/>
      <c r="G1063" s="390"/>
      <c r="H1063" s="390"/>
      <c r="I1063" s="390"/>
      <c r="J1063" s="390"/>
      <c r="K1063" s="390"/>
      <c r="L1063" s="390"/>
      <c r="M1063" s="357"/>
      <c r="N1063" s="439"/>
      <c r="O1063" s="390"/>
      <c r="P1063" s="147"/>
      <c r="Q1063" s="390"/>
      <c r="R1063" s="1"/>
    </row>
    <row r="1064" spans="1:18" ht="15.6" x14ac:dyDescent="0.3">
      <c r="A1064" s="388">
        <v>19</v>
      </c>
      <c r="B1064" s="388" t="s">
        <v>498</v>
      </c>
      <c r="C1064" s="45">
        <v>-5748</v>
      </c>
      <c r="D1064" s="388">
        <v>1</v>
      </c>
      <c r="E1064" s="388" t="s">
        <v>499</v>
      </c>
      <c r="F1064" s="388">
        <v>450</v>
      </c>
      <c r="G1064" s="388">
        <v>200</v>
      </c>
      <c r="H1064" s="388" t="s">
        <v>25</v>
      </c>
      <c r="I1064" s="388" t="s">
        <v>13</v>
      </c>
      <c r="J1064" s="388" t="s">
        <v>13</v>
      </c>
      <c r="K1064" s="388" t="s">
        <v>13</v>
      </c>
      <c r="L1064" s="388">
        <v>35.5</v>
      </c>
      <c r="M1064" s="355" t="s">
        <v>14</v>
      </c>
      <c r="N1064" s="437" t="s">
        <v>31</v>
      </c>
      <c r="O1064" s="388" t="s">
        <v>27</v>
      </c>
      <c r="P1064" s="145"/>
      <c r="Q1064" s="388" t="s">
        <v>500</v>
      </c>
      <c r="R1064" s="1"/>
    </row>
    <row r="1065" spans="1:18" ht="15.6" x14ac:dyDescent="0.3">
      <c r="A1065" s="389"/>
      <c r="B1065" s="389"/>
      <c r="C1065" s="46">
        <v>-24073</v>
      </c>
      <c r="D1065" s="389"/>
      <c r="E1065" s="389"/>
      <c r="F1065" s="389"/>
      <c r="G1065" s="389"/>
      <c r="H1065" s="389"/>
      <c r="I1065" s="389"/>
      <c r="J1065" s="389"/>
      <c r="K1065" s="389"/>
      <c r="L1065" s="389"/>
      <c r="M1065" s="356"/>
      <c r="N1065" s="438"/>
      <c r="O1065" s="389"/>
      <c r="P1065" s="146"/>
      <c r="Q1065" s="389"/>
      <c r="R1065" s="1"/>
    </row>
    <row r="1066" spans="1:18" ht="16.2" thickBot="1" x14ac:dyDescent="0.35">
      <c r="A1066" s="390"/>
      <c r="B1066" s="390"/>
      <c r="C1066" s="47">
        <v>8025</v>
      </c>
      <c r="D1066" s="390"/>
      <c r="E1066" s="390"/>
      <c r="F1066" s="390"/>
      <c r="G1066" s="390"/>
      <c r="H1066" s="390"/>
      <c r="I1066" s="390"/>
      <c r="J1066" s="390"/>
      <c r="K1066" s="390"/>
      <c r="L1066" s="390"/>
      <c r="M1066" s="357"/>
      <c r="N1066" s="439"/>
      <c r="O1066" s="390"/>
      <c r="P1066" s="147"/>
      <c r="Q1066" s="390"/>
      <c r="R1066" s="1"/>
    </row>
    <row r="1067" spans="1:18" ht="15.6" x14ac:dyDescent="0.3">
      <c r="A1067" s="388">
        <v>20</v>
      </c>
      <c r="B1067" s="388" t="s">
        <v>498</v>
      </c>
      <c r="C1067" s="45">
        <v>-7948</v>
      </c>
      <c r="D1067" s="388">
        <v>1</v>
      </c>
      <c r="E1067" s="388" t="s">
        <v>499</v>
      </c>
      <c r="F1067" s="388">
        <v>450</v>
      </c>
      <c r="G1067" s="388">
        <v>200</v>
      </c>
      <c r="H1067" s="388" t="s">
        <v>25</v>
      </c>
      <c r="I1067" s="388" t="s">
        <v>13</v>
      </c>
      <c r="J1067" s="388" t="s">
        <v>13</v>
      </c>
      <c r="K1067" s="388" t="s">
        <v>13</v>
      </c>
      <c r="L1067" s="388">
        <v>35.5</v>
      </c>
      <c r="M1067" s="355" t="s">
        <v>14</v>
      </c>
      <c r="N1067" s="437" t="s">
        <v>31</v>
      </c>
      <c r="O1067" s="388" t="s">
        <v>27</v>
      </c>
      <c r="P1067" s="145"/>
      <c r="Q1067" s="388" t="s">
        <v>500</v>
      </c>
      <c r="R1067" s="1"/>
    </row>
    <row r="1068" spans="1:18" ht="15.6" x14ac:dyDescent="0.3">
      <c r="A1068" s="389"/>
      <c r="B1068" s="389"/>
      <c r="C1068" s="46">
        <v>-23379</v>
      </c>
      <c r="D1068" s="389"/>
      <c r="E1068" s="389"/>
      <c r="F1068" s="389"/>
      <c r="G1068" s="389"/>
      <c r="H1068" s="389"/>
      <c r="I1068" s="389"/>
      <c r="J1068" s="389"/>
      <c r="K1068" s="389"/>
      <c r="L1068" s="389"/>
      <c r="M1068" s="356"/>
      <c r="N1068" s="438"/>
      <c r="O1068" s="389"/>
      <c r="P1068" s="146"/>
      <c r="Q1068" s="389"/>
      <c r="R1068" s="1"/>
    </row>
    <row r="1069" spans="1:18" ht="16.2" thickBot="1" x14ac:dyDescent="0.35">
      <c r="A1069" s="390"/>
      <c r="B1069" s="390"/>
      <c r="C1069" s="47">
        <v>8025</v>
      </c>
      <c r="D1069" s="390"/>
      <c r="E1069" s="390"/>
      <c r="F1069" s="390"/>
      <c r="G1069" s="390"/>
      <c r="H1069" s="390"/>
      <c r="I1069" s="390"/>
      <c r="J1069" s="390"/>
      <c r="K1069" s="390"/>
      <c r="L1069" s="390"/>
      <c r="M1069" s="357"/>
      <c r="N1069" s="439"/>
      <c r="O1069" s="390"/>
      <c r="P1069" s="147"/>
      <c r="Q1069" s="390"/>
      <c r="R1069" s="1"/>
    </row>
    <row r="1070" spans="1:18" ht="15.6" x14ac:dyDescent="0.3">
      <c r="A1070" s="388">
        <v>21</v>
      </c>
      <c r="B1070" s="388" t="s">
        <v>498</v>
      </c>
      <c r="C1070" s="45">
        <v>-5127</v>
      </c>
      <c r="D1070" s="388">
        <v>1</v>
      </c>
      <c r="E1070" s="388" t="s">
        <v>499</v>
      </c>
      <c r="F1070" s="388">
        <v>450</v>
      </c>
      <c r="G1070" s="388">
        <v>200</v>
      </c>
      <c r="H1070" s="388" t="s">
        <v>25</v>
      </c>
      <c r="I1070" s="388" t="s">
        <v>13</v>
      </c>
      <c r="J1070" s="388" t="s">
        <v>13</v>
      </c>
      <c r="K1070" s="388" t="s">
        <v>13</v>
      </c>
      <c r="L1070" s="388">
        <v>35.5</v>
      </c>
      <c r="M1070" s="355" t="s">
        <v>14</v>
      </c>
      <c r="N1070" s="437" t="s">
        <v>31</v>
      </c>
      <c r="O1070" s="388" t="s">
        <v>27</v>
      </c>
      <c r="P1070" s="145"/>
      <c r="Q1070" s="388" t="s">
        <v>500</v>
      </c>
      <c r="R1070" s="1"/>
    </row>
    <row r="1071" spans="1:18" ht="15.6" x14ac:dyDescent="0.3">
      <c r="A1071" s="389"/>
      <c r="B1071" s="389"/>
      <c r="C1071" s="46">
        <v>24249</v>
      </c>
      <c r="D1071" s="389"/>
      <c r="E1071" s="389"/>
      <c r="F1071" s="389"/>
      <c r="G1071" s="389"/>
      <c r="H1071" s="389"/>
      <c r="I1071" s="389"/>
      <c r="J1071" s="389"/>
      <c r="K1071" s="389"/>
      <c r="L1071" s="389"/>
      <c r="M1071" s="356"/>
      <c r="N1071" s="438"/>
      <c r="O1071" s="389"/>
      <c r="P1071" s="146"/>
      <c r="Q1071" s="389"/>
      <c r="R1071" s="1"/>
    </row>
    <row r="1072" spans="1:18" ht="16.2" thickBot="1" x14ac:dyDescent="0.35">
      <c r="A1072" s="390"/>
      <c r="B1072" s="390"/>
      <c r="C1072" s="47">
        <v>8025</v>
      </c>
      <c r="D1072" s="390"/>
      <c r="E1072" s="390"/>
      <c r="F1072" s="390"/>
      <c r="G1072" s="390"/>
      <c r="H1072" s="390"/>
      <c r="I1072" s="390"/>
      <c r="J1072" s="390"/>
      <c r="K1072" s="390"/>
      <c r="L1072" s="390"/>
      <c r="M1072" s="357"/>
      <c r="N1072" s="439"/>
      <c r="O1072" s="390"/>
      <c r="P1072" s="147"/>
      <c r="Q1072" s="390"/>
      <c r="R1072" s="1"/>
    </row>
    <row r="1073" spans="1:18" ht="15.6" x14ac:dyDescent="0.3">
      <c r="A1073" s="388">
        <v>22</v>
      </c>
      <c r="B1073" s="388" t="s">
        <v>498</v>
      </c>
      <c r="C1073" s="45">
        <v>-276</v>
      </c>
      <c r="D1073" s="388">
        <v>1</v>
      </c>
      <c r="E1073" s="388" t="s">
        <v>499</v>
      </c>
      <c r="F1073" s="388">
        <v>450</v>
      </c>
      <c r="G1073" s="388">
        <v>200</v>
      </c>
      <c r="H1073" s="388" t="s">
        <v>25</v>
      </c>
      <c r="I1073" s="388" t="s">
        <v>13</v>
      </c>
      <c r="J1073" s="388" t="s">
        <v>13</v>
      </c>
      <c r="K1073" s="388" t="s">
        <v>13</v>
      </c>
      <c r="L1073" s="388">
        <v>35.5</v>
      </c>
      <c r="M1073" s="355" t="s">
        <v>14</v>
      </c>
      <c r="N1073" s="437" t="s">
        <v>31</v>
      </c>
      <c r="O1073" s="388" t="s">
        <v>27</v>
      </c>
      <c r="P1073" s="145"/>
      <c r="Q1073" s="388" t="s">
        <v>500</v>
      </c>
      <c r="R1073" s="1"/>
    </row>
    <row r="1074" spans="1:18" ht="15.6" x14ac:dyDescent="0.3">
      <c r="A1074" s="389"/>
      <c r="B1074" s="389"/>
      <c r="C1074" s="46">
        <v>24786</v>
      </c>
      <c r="D1074" s="389"/>
      <c r="E1074" s="389"/>
      <c r="F1074" s="389"/>
      <c r="G1074" s="389"/>
      <c r="H1074" s="389"/>
      <c r="I1074" s="389"/>
      <c r="J1074" s="389"/>
      <c r="K1074" s="389"/>
      <c r="L1074" s="389"/>
      <c r="M1074" s="356"/>
      <c r="N1074" s="438"/>
      <c r="O1074" s="389"/>
      <c r="P1074" s="146"/>
      <c r="Q1074" s="389"/>
      <c r="R1074" s="1"/>
    </row>
    <row r="1075" spans="1:18" ht="16.2" thickBot="1" x14ac:dyDescent="0.35">
      <c r="A1075" s="390"/>
      <c r="B1075" s="390"/>
      <c r="C1075" s="47">
        <v>8025</v>
      </c>
      <c r="D1075" s="390"/>
      <c r="E1075" s="390"/>
      <c r="F1075" s="390"/>
      <c r="G1075" s="390"/>
      <c r="H1075" s="390"/>
      <c r="I1075" s="390"/>
      <c r="J1075" s="390"/>
      <c r="K1075" s="390"/>
      <c r="L1075" s="390"/>
      <c r="M1075" s="357"/>
      <c r="N1075" s="439"/>
      <c r="O1075" s="390"/>
      <c r="P1075" s="147"/>
      <c r="Q1075" s="390"/>
      <c r="R1075" s="1"/>
    </row>
    <row r="1076" spans="1:18" ht="15.6" x14ac:dyDescent="0.3">
      <c r="A1076" s="388">
        <v>23</v>
      </c>
      <c r="B1076" s="388" t="s">
        <v>498</v>
      </c>
      <c r="C1076" s="45">
        <v>24017</v>
      </c>
      <c r="D1076" s="388">
        <v>1</v>
      </c>
      <c r="E1076" s="388" t="s">
        <v>499</v>
      </c>
      <c r="F1076" s="388">
        <v>450</v>
      </c>
      <c r="G1076" s="388">
        <v>200</v>
      </c>
      <c r="H1076" s="388" t="s">
        <v>25</v>
      </c>
      <c r="I1076" s="388" t="s">
        <v>13</v>
      </c>
      <c r="J1076" s="388" t="s">
        <v>13</v>
      </c>
      <c r="K1076" s="388" t="s">
        <v>13</v>
      </c>
      <c r="L1076" s="388">
        <v>35.5</v>
      </c>
      <c r="M1076" s="355" t="s">
        <v>14</v>
      </c>
      <c r="N1076" s="437" t="s">
        <v>42</v>
      </c>
      <c r="O1076" s="388" t="s">
        <v>27</v>
      </c>
      <c r="P1076" s="145"/>
      <c r="Q1076" s="388" t="s">
        <v>500</v>
      </c>
      <c r="R1076" s="1"/>
    </row>
    <row r="1077" spans="1:18" ht="15.6" x14ac:dyDescent="0.3">
      <c r="A1077" s="389"/>
      <c r="B1077" s="389"/>
      <c r="C1077" s="46">
        <v>5461</v>
      </c>
      <c r="D1077" s="389"/>
      <c r="E1077" s="389"/>
      <c r="F1077" s="389"/>
      <c r="G1077" s="389"/>
      <c r="H1077" s="389"/>
      <c r="I1077" s="389"/>
      <c r="J1077" s="389"/>
      <c r="K1077" s="389"/>
      <c r="L1077" s="389"/>
      <c r="M1077" s="356"/>
      <c r="N1077" s="438"/>
      <c r="O1077" s="389"/>
      <c r="P1077" s="146"/>
      <c r="Q1077" s="389"/>
      <c r="R1077" s="1"/>
    </row>
    <row r="1078" spans="1:18" ht="16.2" thickBot="1" x14ac:dyDescent="0.35">
      <c r="A1078" s="390"/>
      <c r="B1078" s="390"/>
      <c r="C1078" s="47">
        <v>8025</v>
      </c>
      <c r="D1078" s="390"/>
      <c r="E1078" s="390"/>
      <c r="F1078" s="390"/>
      <c r="G1078" s="390"/>
      <c r="H1078" s="390"/>
      <c r="I1078" s="390"/>
      <c r="J1078" s="390"/>
      <c r="K1078" s="390"/>
      <c r="L1078" s="390"/>
      <c r="M1078" s="357"/>
      <c r="N1078" s="439"/>
      <c r="O1078" s="390"/>
      <c r="P1078" s="147"/>
      <c r="Q1078" s="390"/>
      <c r="R1078" s="1"/>
    </row>
    <row r="1079" spans="1:18" ht="15.6" x14ac:dyDescent="0.3">
      <c r="A1079" s="388">
        <v>24</v>
      </c>
      <c r="B1079" s="388" t="s">
        <v>498</v>
      </c>
      <c r="C1079" s="45">
        <v>24555</v>
      </c>
      <c r="D1079" s="388">
        <v>1</v>
      </c>
      <c r="E1079" s="388" t="s">
        <v>499</v>
      </c>
      <c r="F1079" s="388">
        <v>450</v>
      </c>
      <c r="G1079" s="388">
        <v>200</v>
      </c>
      <c r="H1079" s="388" t="s">
        <v>25</v>
      </c>
      <c r="I1079" s="388" t="s">
        <v>13</v>
      </c>
      <c r="J1079" s="388" t="s">
        <v>13</v>
      </c>
      <c r="K1079" s="388" t="s">
        <v>13</v>
      </c>
      <c r="L1079" s="388">
        <v>35.5</v>
      </c>
      <c r="M1079" s="355" t="s">
        <v>14</v>
      </c>
      <c r="N1079" s="437" t="s">
        <v>42</v>
      </c>
      <c r="O1079" s="388" t="s">
        <v>27</v>
      </c>
      <c r="P1079" s="145"/>
      <c r="Q1079" s="388" t="s">
        <v>500</v>
      </c>
      <c r="R1079" s="1"/>
    </row>
    <row r="1080" spans="1:18" ht="15.6" x14ac:dyDescent="0.3">
      <c r="A1080" s="389"/>
      <c r="B1080" s="389"/>
      <c r="C1080" s="46">
        <v>2115</v>
      </c>
      <c r="D1080" s="389"/>
      <c r="E1080" s="389"/>
      <c r="F1080" s="389"/>
      <c r="G1080" s="389"/>
      <c r="H1080" s="389"/>
      <c r="I1080" s="389"/>
      <c r="J1080" s="389"/>
      <c r="K1080" s="389"/>
      <c r="L1080" s="389"/>
      <c r="M1080" s="356"/>
      <c r="N1080" s="438"/>
      <c r="O1080" s="389"/>
      <c r="P1080" s="146"/>
      <c r="Q1080" s="389"/>
      <c r="R1080" s="1"/>
    </row>
    <row r="1081" spans="1:18" ht="16.2" thickBot="1" x14ac:dyDescent="0.35">
      <c r="A1081" s="390"/>
      <c r="B1081" s="390"/>
      <c r="C1081" s="47">
        <v>8025</v>
      </c>
      <c r="D1081" s="390"/>
      <c r="E1081" s="390"/>
      <c r="F1081" s="390"/>
      <c r="G1081" s="390"/>
      <c r="H1081" s="390"/>
      <c r="I1081" s="390"/>
      <c r="J1081" s="390"/>
      <c r="K1081" s="390"/>
      <c r="L1081" s="390"/>
      <c r="M1081" s="357"/>
      <c r="N1081" s="439"/>
      <c r="O1081" s="390"/>
      <c r="P1081" s="147"/>
      <c r="Q1081" s="390"/>
      <c r="R1081" s="1"/>
    </row>
    <row r="1082" spans="1:18" ht="15.6" x14ac:dyDescent="0.3">
      <c r="A1082" s="516" t="s">
        <v>102</v>
      </c>
      <c r="B1082" s="517"/>
      <c r="C1082" s="517"/>
      <c r="D1082" s="517"/>
      <c r="E1082" s="517"/>
      <c r="F1082" s="517"/>
      <c r="G1082" s="517"/>
      <c r="H1082" s="517"/>
      <c r="I1082" s="517"/>
      <c r="J1082" s="517"/>
      <c r="K1082" s="517"/>
      <c r="L1082" s="517"/>
      <c r="M1082" s="517"/>
      <c r="N1082" s="517"/>
      <c r="O1082" s="517"/>
      <c r="P1082" s="517"/>
      <c r="Q1082" s="518"/>
      <c r="R1082" s="1"/>
    </row>
    <row r="1083" spans="1:18" ht="15.6" x14ac:dyDescent="0.3">
      <c r="A1083" s="512">
        <v>25</v>
      </c>
      <c r="B1083" s="512" t="s">
        <v>498</v>
      </c>
      <c r="C1083" s="119">
        <v>-7426</v>
      </c>
      <c r="D1083" s="512">
        <v>1</v>
      </c>
      <c r="E1083" s="512" t="s">
        <v>30</v>
      </c>
      <c r="F1083" s="512">
        <v>800</v>
      </c>
      <c r="G1083" s="512">
        <v>800</v>
      </c>
      <c r="H1083" s="512" t="s">
        <v>25</v>
      </c>
      <c r="I1083" s="512" t="s">
        <v>13</v>
      </c>
      <c r="J1083" s="512" t="s">
        <v>13</v>
      </c>
      <c r="K1083" s="512" t="s">
        <v>13</v>
      </c>
      <c r="L1083" s="512">
        <v>29</v>
      </c>
      <c r="M1083" s="514" t="s">
        <v>14</v>
      </c>
      <c r="N1083" s="515" t="s">
        <v>501</v>
      </c>
      <c r="O1083" s="512" t="s">
        <v>27</v>
      </c>
      <c r="P1083" s="154"/>
      <c r="Q1083" s="512" t="s">
        <v>502</v>
      </c>
      <c r="R1083" s="1"/>
    </row>
    <row r="1084" spans="1:18" ht="15.6" x14ac:dyDescent="0.3">
      <c r="A1084" s="389"/>
      <c r="B1084" s="389"/>
      <c r="C1084" s="46">
        <v>24290</v>
      </c>
      <c r="D1084" s="389"/>
      <c r="E1084" s="389"/>
      <c r="F1084" s="389"/>
      <c r="G1084" s="389"/>
      <c r="H1084" s="389"/>
      <c r="I1084" s="389"/>
      <c r="J1084" s="389"/>
      <c r="K1084" s="389"/>
      <c r="L1084" s="389"/>
      <c r="M1084" s="356"/>
      <c r="N1084" s="438"/>
      <c r="O1084" s="389"/>
      <c r="P1084" s="146"/>
      <c r="Q1084" s="389"/>
      <c r="R1084" s="1"/>
    </row>
    <row r="1085" spans="1:18" ht="16.2" thickBot="1" x14ac:dyDescent="0.35">
      <c r="A1085" s="390"/>
      <c r="B1085" s="390"/>
      <c r="C1085" s="47">
        <v>12461</v>
      </c>
      <c r="D1085" s="390"/>
      <c r="E1085" s="390"/>
      <c r="F1085" s="390"/>
      <c r="G1085" s="390"/>
      <c r="H1085" s="390"/>
      <c r="I1085" s="390"/>
      <c r="J1085" s="390"/>
      <c r="K1085" s="390"/>
      <c r="L1085" s="390"/>
      <c r="M1085" s="357"/>
      <c r="N1085" s="439"/>
      <c r="O1085" s="390"/>
      <c r="P1085" s="147"/>
      <c r="Q1085" s="390"/>
      <c r="R1085" s="1"/>
    </row>
    <row r="1086" spans="1:18" ht="15.6" x14ac:dyDescent="0.3">
      <c r="A1086" s="388">
        <v>26</v>
      </c>
      <c r="B1086" s="388" t="s">
        <v>498</v>
      </c>
      <c r="C1086" s="45">
        <v>20164</v>
      </c>
      <c r="D1086" s="388">
        <v>1</v>
      </c>
      <c r="E1086" s="388" t="s">
        <v>30</v>
      </c>
      <c r="F1086" s="388">
        <v>800</v>
      </c>
      <c r="G1086" s="388">
        <v>800</v>
      </c>
      <c r="H1086" s="388" t="s">
        <v>25</v>
      </c>
      <c r="I1086" s="388" t="s">
        <v>13</v>
      </c>
      <c r="J1086" s="388" t="s">
        <v>13</v>
      </c>
      <c r="K1086" s="388" t="s">
        <v>13</v>
      </c>
      <c r="L1086" s="388">
        <v>29</v>
      </c>
      <c r="M1086" s="355" t="s">
        <v>14</v>
      </c>
      <c r="N1086" s="437" t="s">
        <v>463</v>
      </c>
      <c r="O1086" s="388" t="s">
        <v>27</v>
      </c>
      <c r="P1086" s="145"/>
      <c r="Q1086" s="388" t="s">
        <v>502</v>
      </c>
      <c r="R1086" s="1"/>
    </row>
    <row r="1087" spans="1:18" ht="15.6" x14ac:dyDescent="0.3">
      <c r="A1087" s="389"/>
      <c r="B1087" s="389"/>
      <c r="C1087" s="46">
        <v>-15445</v>
      </c>
      <c r="D1087" s="389"/>
      <c r="E1087" s="389"/>
      <c r="F1087" s="389"/>
      <c r="G1087" s="389"/>
      <c r="H1087" s="389"/>
      <c r="I1087" s="389"/>
      <c r="J1087" s="389"/>
      <c r="K1087" s="389"/>
      <c r="L1087" s="389"/>
      <c r="M1087" s="356"/>
      <c r="N1087" s="438"/>
      <c r="O1087" s="389"/>
      <c r="P1087" s="146"/>
      <c r="Q1087" s="389"/>
      <c r="R1087" s="1"/>
    </row>
    <row r="1088" spans="1:18" ht="15.6" x14ac:dyDescent="0.3">
      <c r="A1088" s="513"/>
      <c r="B1088" s="513"/>
      <c r="C1088" s="120">
        <v>10098</v>
      </c>
      <c r="D1088" s="513"/>
      <c r="E1088" s="513"/>
      <c r="F1088" s="513"/>
      <c r="G1088" s="513"/>
      <c r="H1088" s="513"/>
      <c r="I1088" s="513"/>
      <c r="J1088" s="513"/>
      <c r="K1088" s="513"/>
      <c r="L1088" s="513"/>
      <c r="M1088" s="522"/>
      <c r="N1088" s="523"/>
      <c r="O1088" s="513"/>
      <c r="P1088" s="151"/>
      <c r="Q1088" s="513"/>
      <c r="R1088" s="1"/>
    </row>
    <row r="1089" spans="1:18" ht="25.8" thickBot="1" x14ac:dyDescent="0.35">
      <c r="A1089" s="519" t="s">
        <v>511</v>
      </c>
      <c r="B1089" s="520"/>
      <c r="C1089" s="520"/>
      <c r="D1089" s="520"/>
      <c r="E1089" s="520"/>
      <c r="F1089" s="520"/>
      <c r="G1089" s="520"/>
      <c r="H1089" s="520"/>
      <c r="I1089" s="520"/>
      <c r="J1089" s="520"/>
      <c r="K1089" s="520"/>
      <c r="L1089" s="520"/>
      <c r="M1089" s="520"/>
      <c r="N1089" s="520"/>
      <c r="O1089" s="520"/>
      <c r="P1089" s="520"/>
      <c r="Q1089" s="521"/>
      <c r="R1089" s="1"/>
    </row>
    <row r="1090" spans="1:18" ht="16.2" thickBot="1" x14ac:dyDescent="0.35">
      <c r="A1090" s="352" t="s">
        <v>503</v>
      </c>
      <c r="B1090" s="353"/>
      <c r="C1090" s="353"/>
      <c r="D1090" s="353"/>
      <c r="E1090" s="353"/>
      <c r="F1090" s="353"/>
      <c r="G1090" s="353"/>
      <c r="H1090" s="353"/>
      <c r="I1090" s="353"/>
      <c r="J1090" s="353"/>
      <c r="K1090" s="353"/>
      <c r="L1090" s="353"/>
      <c r="M1090" s="353"/>
      <c r="N1090" s="353"/>
      <c r="O1090" s="353"/>
      <c r="P1090" s="353"/>
      <c r="Q1090" s="353"/>
      <c r="R1090" s="1"/>
    </row>
    <row r="1091" spans="1:18" ht="15.6" x14ac:dyDescent="0.3">
      <c r="A1091" s="385">
        <v>1</v>
      </c>
      <c r="B1091" s="385" t="s">
        <v>504</v>
      </c>
      <c r="C1091" s="121">
        <v>15270</v>
      </c>
      <c r="D1091" s="385">
        <v>1</v>
      </c>
      <c r="E1091" s="385" t="s">
        <v>505</v>
      </c>
      <c r="F1091" s="385" t="s">
        <v>13</v>
      </c>
      <c r="G1091" s="385">
        <v>170</v>
      </c>
      <c r="H1091" s="385" t="s">
        <v>506</v>
      </c>
      <c r="I1091" s="385">
        <v>30</v>
      </c>
      <c r="J1091" s="385" t="s">
        <v>13</v>
      </c>
      <c r="K1091" s="385">
        <v>50</v>
      </c>
      <c r="L1091" s="385" t="s">
        <v>507</v>
      </c>
      <c r="M1091" s="355" t="s">
        <v>14</v>
      </c>
      <c r="N1091" s="455" t="s">
        <v>510</v>
      </c>
      <c r="O1091" s="385" t="s">
        <v>27</v>
      </c>
      <c r="P1091" s="139"/>
      <c r="Q1091" s="388" t="s">
        <v>509</v>
      </c>
      <c r="R1091" s="1"/>
    </row>
    <row r="1092" spans="1:18" ht="15.6" x14ac:dyDescent="0.3">
      <c r="A1092" s="386"/>
      <c r="B1092" s="386"/>
      <c r="C1092" s="48">
        <v>12240</v>
      </c>
      <c r="D1092" s="386"/>
      <c r="E1092" s="386"/>
      <c r="F1092" s="386"/>
      <c r="G1092" s="386"/>
      <c r="H1092" s="386"/>
      <c r="I1092" s="386"/>
      <c r="J1092" s="386"/>
      <c r="K1092" s="386"/>
      <c r="L1092" s="386"/>
      <c r="M1092" s="356"/>
      <c r="N1092" s="456"/>
      <c r="O1092" s="386"/>
      <c r="P1092" s="140"/>
      <c r="Q1092" s="389"/>
      <c r="R1092" s="1"/>
    </row>
    <row r="1093" spans="1:18" ht="16.2" thickBot="1" x14ac:dyDescent="0.35">
      <c r="A1093" s="387"/>
      <c r="B1093" s="387"/>
      <c r="C1093" s="44">
        <v>1800</v>
      </c>
      <c r="D1093" s="387"/>
      <c r="E1093" s="387"/>
      <c r="F1093" s="387"/>
      <c r="G1093" s="387"/>
      <c r="H1093" s="387"/>
      <c r="I1093" s="387"/>
      <c r="J1093" s="387"/>
      <c r="K1093" s="387"/>
      <c r="L1093" s="387"/>
      <c r="M1093" s="357"/>
      <c r="N1093" s="457"/>
      <c r="O1093" s="387"/>
      <c r="P1093" s="141"/>
      <c r="Q1093" s="390"/>
      <c r="R1093" s="1"/>
    </row>
    <row r="1094" spans="1:18" ht="15.6" x14ac:dyDescent="0.3">
      <c r="A1094" s="385">
        <v>2</v>
      </c>
      <c r="B1094" s="385" t="s">
        <v>504</v>
      </c>
      <c r="C1094" s="43">
        <v>15270</v>
      </c>
      <c r="D1094" s="385">
        <v>1</v>
      </c>
      <c r="E1094" s="385" t="s">
        <v>505</v>
      </c>
      <c r="F1094" s="385" t="s">
        <v>13</v>
      </c>
      <c r="G1094" s="385">
        <v>170</v>
      </c>
      <c r="H1094" s="385" t="s">
        <v>506</v>
      </c>
      <c r="I1094" s="385">
        <v>30</v>
      </c>
      <c r="J1094" s="385" t="s">
        <v>13</v>
      </c>
      <c r="K1094" s="385">
        <v>50</v>
      </c>
      <c r="L1094" s="385" t="s">
        <v>507</v>
      </c>
      <c r="M1094" s="355" t="s">
        <v>14</v>
      </c>
      <c r="N1094" s="385" t="s">
        <v>508</v>
      </c>
      <c r="O1094" s="385" t="s">
        <v>27</v>
      </c>
      <c r="P1094" s="139"/>
      <c r="Q1094" s="388" t="s">
        <v>509</v>
      </c>
      <c r="R1094" s="1"/>
    </row>
    <row r="1095" spans="1:18" ht="15.6" x14ac:dyDescent="0.3">
      <c r="A1095" s="386"/>
      <c r="B1095" s="386"/>
      <c r="C1095" s="48">
        <v>12240</v>
      </c>
      <c r="D1095" s="386"/>
      <c r="E1095" s="386"/>
      <c r="F1095" s="386"/>
      <c r="G1095" s="386"/>
      <c r="H1095" s="386"/>
      <c r="I1095" s="386"/>
      <c r="J1095" s="386"/>
      <c r="K1095" s="386"/>
      <c r="L1095" s="386"/>
      <c r="M1095" s="356"/>
      <c r="N1095" s="386"/>
      <c r="O1095" s="386"/>
      <c r="P1095" s="140"/>
      <c r="Q1095" s="389"/>
      <c r="R1095" s="1"/>
    </row>
    <row r="1096" spans="1:18" ht="16.2" thickBot="1" x14ac:dyDescent="0.35">
      <c r="A1096" s="387"/>
      <c r="B1096" s="387"/>
      <c r="C1096" s="44">
        <v>4350</v>
      </c>
      <c r="D1096" s="387"/>
      <c r="E1096" s="387"/>
      <c r="F1096" s="387"/>
      <c r="G1096" s="387"/>
      <c r="H1096" s="387"/>
      <c r="I1096" s="387"/>
      <c r="J1096" s="387"/>
      <c r="K1096" s="387"/>
      <c r="L1096" s="387"/>
      <c r="M1096" s="357"/>
      <c r="N1096" s="387"/>
      <c r="O1096" s="387"/>
      <c r="P1096" s="141"/>
      <c r="Q1096" s="390"/>
      <c r="R1096" s="1"/>
    </row>
    <row r="1097" spans="1:18" ht="15.6" x14ac:dyDescent="0.3">
      <c r="A1097" s="385">
        <v>3</v>
      </c>
      <c r="B1097" s="385" t="s">
        <v>504</v>
      </c>
      <c r="C1097" s="43">
        <v>15270</v>
      </c>
      <c r="D1097" s="385">
        <v>1</v>
      </c>
      <c r="E1097" s="385" t="s">
        <v>505</v>
      </c>
      <c r="F1097" s="385" t="s">
        <v>13</v>
      </c>
      <c r="G1097" s="385">
        <v>170</v>
      </c>
      <c r="H1097" s="385" t="s">
        <v>506</v>
      </c>
      <c r="I1097" s="385">
        <v>30</v>
      </c>
      <c r="J1097" s="385" t="s">
        <v>13</v>
      </c>
      <c r="K1097" s="385">
        <v>50</v>
      </c>
      <c r="L1097" s="385" t="s">
        <v>507</v>
      </c>
      <c r="M1097" s="355" t="s">
        <v>14</v>
      </c>
      <c r="N1097" s="385" t="s">
        <v>508</v>
      </c>
      <c r="O1097" s="385" t="s">
        <v>27</v>
      </c>
      <c r="P1097" s="139"/>
      <c r="Q1097" s="388" t="s">
        <v>509</v>
      </c>
      <c r="R1097" s="1"/>
    </row>
    <row r="1098" spans="1:18" ht="15.6" x14ac:dyDescent="0.3">
      <c r="A1098" s="386"/>
      <c r="B1098" s="386"/>
      <c r="C1098" s="48">
        <v>12240</v>
      </c>
      <c r="D1098" s="386"/>
      <c r="E1098" s="386"/>
      <c r="F1098" s="386"/>
      <c r="G1098" s="386"/>
      <c r="H1098" s="386"/>
      <c r="I1098" s="386"/>
      <c r="J1098" s="386"/>
      <c r="K1098" s="386"/>
      <c r="L1098" s="386"/>
      <c r="M1098" s="356"/>
      <c r="N1098" s="386"/>
      <c r="O1098" s="386"/>
      <c r="P1098" s="140"/>
      <c r="Q1098" s="389"/>
      <c r="R1098" s="1"/>
    </row>
    <row r="1099" spans="1:18" ht="16.2" thickBot="1" x14ac:dyDescent="0.35">
      <c r="A1099" s="387"/>
      <c r="B1099" s="387"/>
      <c r="C1099" s="44">
        <v>6900</v>
      </c>
      <c r="D1099" s="387"/>
      <c r="E1099" s="387"/>
      <c r="F1099" s="387"/>
      <c r="G1099" s="387"/>
      <c r="H1099" s="387"/>
      <c r="I1099" s="387"/>
      <c r="J1099" s="387"/>
      <c r="K1099" s="387"/>
      <c r="L1099" s="387"/>
      <c r="M1099" s="357"/>
      <c r="N1099" s="387"/>
      <c r="O1099" s="387"/>
      <c r="P1099" s="141"/>
      <c r="Q1099" s="390"/>
      <c r="R1099" s="1"/>
    </row>
    <row r="1100" spans="1:18" ht="15.6" x14ac:dyDescent="0.3">
      <c r="A1100" s="385">
        <v>4</v>
      </c>
      <c r="B1100" s="385" t="s">
        <v>504</v>
      </c>
      <c r="C1100" s="43">
        <v>15270</v>
      </c>
      <c r="D1100" s="385">
        <v>1</v>
      </c>
      <c r="E1100" s="385" t="s">
        <v>505</v>
      </c>
      <c r="F1100" s="385" t="s">
        <v>13</v>
      </c>
      <c r="G1100" s="385">
        <v>170</v>
      </c>
      <c r="H1100" s="385" t="s">
        <v>506</v>
      </c>
      <c r="I1100" s="385">
        <v>30</v>
      </c>
      <c r="J1100" s="385" t="s">
        <v>13</v>
      </c>
      <c r="K1100" s="385">
        <v>50</v>
      </c>
      <c r="L1100" s="385" t="s">
        <v>507</v>
      </c>
      <c r="M1100" s="355" t="s">
        <v>14</v>
      </c>
      <c r="N1100" s="385" t="s">
        <v>508</v>
      </c>
      <c r="O1100" s="385" t="s">
        <v>27</v>
      </c>
      <c r="P1100" s="139"/>
      <c r="Q1100" s="388" t="s">
        <v>509</v>
      </c>
      <c r="R1100" s="1"/>
    </row>
    <row r="1101" spans="1:18" ht="15.6" x14ac:dyDescent="0.3">
      <c r="A1101" s="386"/>
      <c r="B1101" s="386"/>
      <c r="C1101" s="48">
        <v>12240</v>
      </c>
      <c r="D1101" s="386"/>
      <c r="E1101" s="386"/>
      <c r="F1101" s="386"/>
      <c r="G1101" s="386"/>
      <c r="H1101" s="386"/>
      <c r="I1101" s="386"/>
      <c r="J1101" s="386"/>
      <c r="K1101" s="386"/>
      <c r="L1101" s="386"/>
      <c r="M1101" s="356"/>
      <c r="N1101" s="386"/>
      <c r="O1101" s="386"/>
      <c r="P1101" s="140"/>
      <c r="Q1101" s="389"/>
      <c r="R1101" s="1"/>
    </row>
    <row r="1102" spans="1:18" ht="16.2" thickBot="1" x14ac:dyDescent="0.35">
      <c r="A1102" s="387"/>
      <c r="B1102" s="387"/>
      <c r="C1102" s="44">
        <v>9300</v>
      </c>
      <c r="D1102" s="387"/>
      <c r="E1102" s="387"/>
      <c r="F1102" s="387"/>
      <c r="G1102" s="387"/>
      <c r="H1102" s="387"/>
      <c r="I1102" s="387"/>
      <c r="J1102" s="387"/>
      <c r="K1102" s="387"/>
      <c r="L1102" s="387"/>
      <c r="M1102" s="357"/>
      <c r="N1102" s="387"/>
      <c r="O1102" s="387"/>
      <c r="P1102" s="141"/>
      <c r="Q1102" s="390"/>
      <c r="R1102" s="1"/>
    </row>
    <row r="1103" spans="1:18" ht="15.6" x14ac:dyDescent="0.3">
      <c r="A1103" s="385">
        <v>5</v>
      </c>
      <c r="B1103" s="385" t="s">
        <v>504</v>
      </c>
      <c r="C1103" s="43">
        <v>15270</v>
      </c>
      <c r="D1103" s="385">
        <v>1</v>
      </c>
      <c r="E1103" s="385" t="s">
        <v>505</v>
      </c>
      <c r="F1103" s="385" t="s">
        <v>13</v>
      </c>
      <c r="G1103" s="385">
        <v>170</v>
      </c>
      <c r="H1103" s="385" t="s">
        <v>506</v>
      </c>
      <c r="I1103" s="385">
        <v>30</v>
      </c>
      <c r="J1103" s="385" t="s">
        <v>13</v>
      </c>
      <c r="K1103" s="385">
        <v>50</v>
      </c>
      <c r="L1103" s="385" t="s">
        <v>507</v>
      </c>
      <c r="M1103" s="355" t="s">
        <v>14</v>
      </c>
      <c r="N1103" s="385" t="s">
        <v>508</v>
      </c>
      <c r="O1103" s="385" t="s">
        <v>27</v>
      </c>
      <c r="P1103" s="139"/>
      <c r="Q1103" s="388" t="s">
        <v>509</v>
      </c>
      <c r="R1103" s="1"/>
    </row>
    <row r="1104" spans="1:18" ht="15.6" x14ac:dyDescent="0.3">
      <c r="A1104" s="386"/>
      <c r="B1104" s="386"/>
      <c r="C1104" s="48">
        <v>12240</v>
      </c>
      <c r="D1104" s="386"/>
      <c r="E1104" s="386"/>
      <c r="F1104" s="386"/>
      <c r="G1104" s="386"/>
      <c r="H1104" s="386"/>
      <c r="I1104" s="386"/>
      <c r="J1104" s="386"/>
      <c r="K1104" s="386"/>
      <c r="L1104" s="386"/>
      <c r="M1104" s="356"/>
      <c r="N1104" s="386"/>
      <c r="O1104" s="386"/>
      <c r="P1104" s="140"/>
      <c r="Q1104" s="389"/>
      <c r="R1104" s="1"/>
    </row>
    <row r="1105" spans="1:18" ht="16.2" thickBot="1" x14ac:dyDescent="0.35">
      <c r="A1105" s="387"/>
      <c r="B1105" s="387"/>
      <c r="C1105" s="44">
        <v>11850</v>
      </c>
      <c r="D1105" s="387"/>
      <c r="E1105" s="387"/>
      <c r="F1105" s="387"/>
      <c r="G1105" s="387"/>
      <c r="H1105" s="387"/>
      <c r="I1105" s="387"/>
      <c r="J1105" s="387"/>
      <c r="K1105" s="387"/>
      <c r="L1105" s="387"/>
      <c r="M1105" s="357"/>
      <c r="N1105" s="387"/>
      <c r="O1105" s="387"/>
      <c r="P1105" s="141"/>
      <c r="Q1105" s="390"/>
      <c r="R1105" s="1"/>
    </row>
    <row r="1106" spans="1:18" ht="15.6" x14ac:dyDescent="0.3">
      <c r="A1106" s="385">
        <v>6</v>
      </c>
      <c r="B1106" s="385" t="s">
        <v>504</v>
      </c>
      <c r="C1106" s="43">
        <v>15270</v>
      </c>
      <c r="D1106" s="385">
        <v>1</v>
      </c>
      <c r="E1106" s="385" t="s">
        <v>505</v>
      </c>
      <c r="F1106" s="385" t="s">
        <v>13</v>
      </c>
      <c r="G1106" s="385">
        <v>170</v>
      </c>
      <c r="H1106" s="385" t="s">
        <v>506</v>
      </c>
      <c r="I1106" s="385">
        <v>30</v>
      </c>
      <c r="J1106" s="385" t="s">
        <v>13</v>
      </c>
      <c r="K1106" s="385">
        <v>50</v>
      </c>
      <c r="L1106" s="385" t="s">
        <v>507</v>
      </c>
      <c r="M1106" s="355" t="s">
        <v>14</v>
      </c>
      <c r="N1106" s="385" t="s">
        <v>508</v>
      </c>
      <c r="O1106" s="385" t="s">
        <v>27</v>
      </c>
      <c r="P1106" s="139"/>
      <c r="Q1106" s="388" t="s">
        <v>509</v>
      </c>
      <c r="R1106" s="1"/>
    </row>
    <row r="1107" spans="1:18" ht="15.6" x14ac:dyDescent="0.3">
      <c r="A1107" s="386"/>
      <c r="B1107" s="386"/>
      <c r="C1107" s="48">
        <v>12240</v>
      </c>
      <c r="D1107" s="386"/>
      <c r="E1107" s="386"/>
      <c r="F1107" s="386"/>
      <c r="G1107" s="386"/>
      <c r="H1107" s="386"/>
      <c r="I1107" s="386"/>
      <c r="J1107" s="386"/>
      <c r="K1107" s="386"/>
      <c r="L1107" s="386"/>
      <c r="M1107" s="356"/>
      <c r="N1107" s="386"/>
      <c r="O1107" s="386"/>
      <c r="P1107" s="140"/>
      <c r="Q1107" s="389"/>
      <c r="R1107" s="1"/>
    </row>
    <row r="1108" spans="1:18" ht="16.2" thickBot="1" x14ac:dyDescent="0.35">
      <c r="A1108" s="387"/>
      <c r="B1108" s="387"/>
      <c r="C1108" s="44">
        <v>14550</v>
      </c>
      <c r="D1108" s="387"/>
      <c r="E1108" s="387"/>
      <c r="F1108" s="387"/>
      <c r="G1108" s="387"/>
      <c r="H1108" s="387"/>
      <c r="I1108" s="387"/>
      <c r="J1108" s="387"/>
      <c r="K1108" s="387"/>
      <c r="L1108" s="387"/>
      <c r="M1108" s="357"/>
      <c r="N1108" s="387"/>
      <c r="O1108" s="387"/>
      <c r="P1108" s="141"/>
      <c r="Q1108" s="390"/>
      <c r="R1108" s="1"/>
    </row>
    <row r="1109" spans="1:18" ht="15.6" x14ac:dyDescent="0.3">
      <c r="A1109" s="385">
        <v>7</v>
      </c>
      <c r="B1109" s="385" t="s">
        <v>504</v>
      </c>
      <c r="C1109" s="122">
        <v>15270</v>
      </c>
      <c r="D1109" s="385">
        <v>1</v>
      </c>
      <c r="E1109" s="385" t="s">
        <v>505</v>
      </c>
      <c r="F1109" s="385" t="s">
        <v>13</v>
      </c>
      <c r="G1109" s="385">
        <v>170</v>
      </c>
      <c r="H1109" s="148" t="s">
        <v>506</v>
      </c>
      <c r="I1109" s="385">
        <v>30</v>
      </c>
      <c r="J1109" s="123" t="s">
        <v>13</v>
      </c>
      <c r="K1109" s="123">
        <v>50</v>
      </c>
      <c r="L1109" s="524" t="s">
        <v>507</v>
      </c>
      <c r="M1109" s="527" t="s">
        <v>14</v>
      </c>
      <c r="N1109" s="385" t="s">
        <v>508</v>
      </c>
      <c r="O1109" s="385" t="s">
        <v>27</v>
      </c>
      <c r="P1109" s="139"/>
      <c r="Q1109" s="388" t="s">
        <v>512</v>
      </c>
      <c r="R1109" s="1"/>
    </row>
    <row r="1110" spans="1:18" ht="15.6" x14ac:dyDescent="0.3">
      <c r="A1110" s="386"/>
      <c r="B1110" s="386"/>
      <c r="C1110" s="124">
        <v>12240</v>
      </c>
      <c r="D1110" s="386"/>
      <c r="E1110" s="386"/>
      <c r="F1110" s="386"/>
      <c r="G1110" s="386"/>
      <c r="H1110" s="149"/>
      <c r="I1110" s="386"/>
      <c r="J1110" s="125"/>
      <c r="K1110" s="125"/>
      <c r="L1110" s="525"/>
      <c r="M1110" s="528"/>
      <c r="N1110" s="386"/>
      <c r="O1110" s="386"/>
      <c r="P1110" s="140"/>
      <c r="Q1110" s="389"/>
      <c r="R1110" s="1"/>
    </row>
    <row r="1111" spans="1:18" ht="16.2" thickBot="1" x14ac:dyDescent="0.35">
      <c r="A1111" s="387"/>
      <c r="B1111" s="387"/>
      <c r="C1111" s="126">
        <v>17250</v>
      </c>
      <c r="D1111" s="387"/>
      <c r="E1111" s="387"/>
      <c r="F1111" s="387"/>
      <c r="G1111" s="387"/>
      <c r="H1111" s="150"/>
      <c r="I1111" s="387"/>
      <c r="J1111" s="127"/>
      <c r="K1111" s="127"/>
      <c r="L1111" s="526"/>
      <c r="M1111" s="529"/>
      <c r="N1111" s="387"/>
      <c r="O1111" s="387"/>
      <c r="P1111" s="141"/>
      <c r="Q1111" s="390"/>
      <c r="R1111" s="1"/>
    </row>
    <row r="1112" spans="1:18" ht="15.6" x14ac:dyDescent="0.3">
      <c r="A1112" s="385">
        <v>8</v>
      </c>
      <c r="B1112" s="385" t="s">
        <v>504</v>
      </c>
      <c r="C1112" s="122">
        <v>15270</v>
      </c>
      <c r="D1112" s="385">
        <v>1</v>
      </c>
      <c r="E1112" s="385" t="s">
        <v>505</v>
      </c>
      <c r="F1112" s="385" t="s">
        <v>13</v>
      </c>
      <c r="G1112" s="385">
        <v>170</v>
      </c>
      <c r="H1112" s="148" t="s">
        <v>506</v>
      </c>
      <c r="I1112" s="385">
        <v>30</v>
      </c>
      <c r="J1112" s="123" t="s">
        <v>13</v>
      </c>
      <c r="K1112" s="123">
        <v>50</v>
      </c>
      <c r="L1112" s="524" t="s">
        <v>507</v>
      </c>
      <c r="M1112" s="527" t="s">
        <v>14</v>
      </c>
      <c r="N1112" s="385" t="s">
        <v>508</v>
      </c>
      <c r="O1112" s="385" t="s">
        <v>27</v>
      </c>
      <c r="P1112" s="139"/>
      <c r="Q1112" s="388" t="s">
        <v>512</v>
      </c>
      <c r="R1112" s="1"/>
    </row>
    <row r="1113" spans="1:18" ht="15.6" x14ac:dyDescent="0.3">
      <c r="A1113" s="386"/>
      <c r="B1113" s="386"/>
      <c r="C1113" s="124">
        <v>12240</v>
      </c>
      <c r="D1113" s="386"/>
      <c r="E1113" s="386"/>
      <c r="F1113" s="386"/>
      <c r="G1113" s="386"/>
      <c r="H1113" s="149"/>
      <c r="I1113" s="386"/>
      <c r="J1113" s="125"/>
      <c r="K1113" s="125"/>
      <c r="L1113" s="525"/>
      <c r="M1113" s="528"/>
      <c r="N1113" s="386"/>
      <c r="O1113" s="386"/>
      <c r="P1113" s="140"/>
      <c r="Q1113" s="389"/>
      <c r="R1113" s="1"/>
    </row>
    <row r="1114" spans="1:18" ht="16.2" thickBot="1" x14ac:dyDescent="0.35">
      <c r="A1114" s="387"/>
      <c r="B1114" s="387"/>
      <c r="C1114" s="126">
        <v>19950</v>
      </c>
      <c r="D1114" s="387"/>
      <c r="E1114" s="387"/>
      <c r="F1114" s="387"/>
      <c r="G1114" s="387"/>
      <c r="H1114" s="150"/>
      <c r="I1114" s="387"/>
      <c r="J1114" s="127"/>
      <c r="K1114" s="127"/>
      <c r="L1114" s="526"/>
      <c r="M1114" s="529"/>
      <c r="N1114" s="387"/>
      <c r="O1114" s="387"/>
      <c r="P1114" s="141"/>
      <c r="Q1114" s="390"/>
      <c r="R1114" s="1"/>
    </row>
    <row r="1115" spans="1:18" ht="15.6" x14ac:dyDescent="0.3">
      <c r="A1115" s="385">
        <v>9</v>
      </c>
      <c r="B1115" s="385" t="s">
        <v>504</v>
      </c>
      <c r="C1115" s="122">
        <v>15270</v>
      </c>
      <c r="D1115" s="385">
        <v>1</v>
      </c>
      <c r="E1115" s="385" t="s">
        <v>505</v>
      </c>
      <c r="F1115" s="385" t="s">
        <v>13</v>
      </c>
      <c r="G1115" s="385">
        <v>170</v>
      </c>
      <c r="H1115" s="148" t="s">
        <v>506</v>
      </c>
      <c r="I1115" s="385">
        <v>30</v>
      </c>
      <c r="J1115" s="123" t="s">
        <v>13</v>
      </c>
      <c r="K1115" s="123">
        <v>50</v>
      </c>
      <c r="L1115" s="524" t="s">
        <v>507</v>
      </c>
      <c r="M1115" s="527" t="s">
        <v>14</v>
      </c>
      <c r="N1115" s="385" t="s">
        <v>508</v>
      </c>
      <c r="O1115" s="385" t="s">
        <v>27</v>
      </c>
      <c r="P1115" s="139"/>
      <c r="Q1115" s="388" t="s">
        <v>512</v>
      </c>
      <c r="R1115" s="1"/>
    </row>
    <row r="1116" spans="1:18" ht="15.6" x14ac:dyDescent="0.3">
      <c r="A1116" s="386"/>
      <c r="B1116" s="386"/>
      <c r="C1116" s="124">
        <v>12240</v>
      </c>
      <c r="D1116" s="386"/>
      <c r="E1116" s="386"/>
      <c r="F1116" s="386"/>
      <c r="G1116" s="386"/>
      <c r="H1116" s="149"/>
      <c r="I1116" s="386"/>
      <c r="J1116" s="125"/>
      <c r="K1116" s="125"/>
      <c r="L1116" s="525"/>
      <c r="M1116" s="528"/>
      <c r="N1116" s="386"/>
      <c r="O1116" s="386"/>
      <c r="P1116" s="140"/>
      <c r="Q1116" s="389"/>
      <c r="R1116" s="1"/>
    </row>
    <row r="1117" spans="1:18" ht="16.2" thickBot="1" x14ac:dyDescent="0.35">
      <c r="A1117" s="387"/>
      <c r="B1117" s="387"/>
      <c r="C1117" s="126">
        <v>22650</v>
      </c>
      <c r="D1117" s="387"/>
      <c r="E1117" s="387"/>
      <c r="F1117" s="387"/>
      <c r="G1117" s="387"/>
      <c r="H1117" s="150"/>
      <c r="I1117" s="387"/>
      <c r="J1117" s="127"/>
      <c r="K1117" s="127"/>
      <c r="L1117" s="526"/>
      <c r="M1117" s="529"/>
      <c r="N1117" s="387"/>
      <c r="O1117" s="387"/>
      <c r="P1117" s="141"/>
      <c r="Q1117" s="390"/>
      <c r="R1117" s="1"/>
    </row>
    <row r="1118" spans="1:18" ht="15.6" x14ac:dyDescent="0.3">
      <c r="A1118" s="385">
        <v>10</v>
      </c>
      <c r="B1118" s="385" t="s">
        <v>504</v>
      </c>
      <c r="C1118" s="122">
        <v>15270</v>
      </c>
      <c r="D1118" s="385">
        <v>1</v>
      </c>
      <c r="E1118" s="385" t="s">
        <v>505</v>
      </c>
      <c r="F1118" s="385" t="s">
        <v>13</v>
      </c>
      <c r="G1118" s="385">
        <v>170</v>
      </c>
      <c r="H1118" s="148" t="s">
        <v>506</v>
      </c>
      <c r="I1118" s="385">
        <v>30</v>
      </c>
      <c r="J1118" s="123" t="s">
        <v>13</v>
      </c>
      <c r="K1118" s="123">
        <v>50</v>
      </c>
      <c r="L1118" s="524" t="s">
        <v>507</v>
      </c>
      <c r="M1118" s="527" t="s">
        <v>14</v>
      </c>
      <c r="N1118" s="385" t="s">
        <v>508</v>
      </c>
      <c r="O1118" s="385" t="s">
        <v>27</v>
      </c>
      <c r="P1118" s="139"/>
      <c r="Q1118" s="388" t="s">
        <v>512</v>
      </c>
      <c r="R1118" s="1"/>
    </row>
    <row r="1119" spans="1:18" ht="15.6" x14ac:dyDescent="0.3">
      <c r="A1119" s="386"/>
      <c r="B1119" s="386"/>
      <c r="C1119" s="124">
        <v>12240</v>
      </c>
      <c r="D1119" s="386"/>
      <c r="E1119" s="386"/>
      <c r="F1119" s="386"/>
      <c r="G1119" s="386"/>
      <c r="H1119" s="149"/>
      <c r="I1119" s="386"/>
      <c r="J1119" s="125"/>
      <c r="K1119" s="125"/>
      <c r="L1119" s="525"/>
      <c r="M1119" s="528"/>
      <c r="N1119" s="386"/>
      <c r="O1119" s="386"/>
      <c r="P1119" s="140"/>
      <c r="Q1119" s="389"/>
      <c r="R1119" s="1"/>
    </row>
    <row r="1120" spans="1:18" ht="16.2" thickBot="1" x14ac:dyDescent="0.35">
      <c r="A1120" s="387"/>
      <c r="B1120" s="387"/>
      <c r="C1120" s="126">
        <v>25350</v>
      </c>
      <c r="D1120" s="387"/>
      <c r="E1120" s="387"/>
      <c r="F1120" s="387"/>
      <c r="G1120" s="387"/>
      <c r="H1120" s="150"/>
      <c r="I1120" s="387"/>
      <c r="J1120" s="127"/>
      <c r="K1120" s="127"/>
      <c r="L1120" s="526"/>
      <c r="M1120" s="529"/>
      <c r="N1120" s="387"/>
      <c r="O1120" s="387"/>
      <c r="P1120" s="141"/>
      <c r="Q1120" s="390"/>
      <c r="R1120" s="1"/>
    </row>
  </sheetData>
  <mergeCells count="5383">
    <mergeCell ref="N1118:N1120"/>
    <mergeCell ref="O1118:O1120"/>
    <mergeCell ref="Q1118:Q1120"/>
    <mergeCell ref="Q1115:Q1117"/>
    <mergeCell ref="A1118:A1120"/>
    <mergeCell ref="B1118:B1120"/>
    <mergeCell ref="D1118:D1120"/>
    <mergeCell ref="E1118:E1120"/>
    <mergeCell ref="F1118:F1120"/>
    <mergeCell ref="G1118:G1120"/>
    <mergeCell ref="I1118:I1120"/>
    <mergeCell ref="L1118:L1120"/>
    <mergeCell ref="M1118:M1120"/>
    <mergeCell ref="G1115:G1117"/>
    <mergeCell ref="I1115:I1117"/>
    <mergeCell ref="L1115:L1117"/>
    <mergeCell ref="M1115:M1117"/>
    <mergeCell ref="N1115:N1117"/>
    <mergeCell ref="O1115:O1117"/>
    <mergeCell ref="L1112:L1114"/>
    <mergeCell ref="M1112:M1114"/>
    <mergeCell ref="N1112:N1114"/>
    <mergeCell ref="O1112:O1114"/>
    <mergeCell ref="Q1112:Q1114"/>
    <mergeCell ref="A1115:A1117"/>
    <mergeCell ref="B1115:B1117"/>
    <mergeCell ref="D1115:D1117"/>
    <mergeCell ref="E1115:E1117"/>
    <mergeCell ref="F1115:F1117"/>
    <mergeCell ref="N1109:N1111"/>
    <mergeCell ref="O1109:O1111"/>
    <mergeCell ref="Q1109:Q1111"/>
    <mergeCell ref="A1112:A1114"/>
    <mergeCell ref="B1112:B1114"/>
    <mergeCell ref="D1112:D1114"/>
    <mergeCell ref="E1112:E1114"/>
    <mergeCell ref="F1112:F1114"/>
    <mergeCell ref="G1112:G1114"/>
    <mergeCell ref="I1112:I1114"/>
    <mergeCell ref="Q1106:Q1108"/>
    <mergeCell ref="A1109:A1111"/>
    <mergeCell ref="B1109:B1111"/>
    <mergeCell ref="D1109:D1111"/>
    <mergeCell ref="E1109:E1111"/>
    <mergeCell ref="F1109:F1111"/>
    <mergeCell ref="G1109:G1111"/>
    <mergeCell ref="I1109:I1111"/>
    <mergeCell ref="L1109:L1111"/>
    <mergeCell ref="M1109:M1111"/>
    <mergeCell ref="J1106:J1108"/>
    <mergeCell ref="K1106:K1108"/>
    <mergeCell ref="L1106:L1108"/>
    <mergeCell ref="M1106:M1108"/>
    <mergeCell ref="N1106:N1108"/>
    <mergeCell ref="O1106:O1108"/>
    <mergeCell ref="O1103:O1105"/>
    <mergeCell ref="Q1103:Q1105"/>
    <mergeCell ref="A1106:A1108"/>
    <mergeCell ref="B1106:B1108"/>
    <mergeCell ref="D1106:D1108"/>
    <mergeCell ref="E1106:E1108"/>
    <mergeCell ref="F1106:F1108"/>
    <mergeCell ref="G1106:G1108"/>
    <mergeCell ref="H1106:H1108"/>
    <mergeCell ref="I1106:I1108"/>
    <mergeCell ref="I1103:I1105"/>
    <mergeCell ref="J1103:J1105"/>
    <mergeCell ref="K1103:K1105"/>
    <mergeCell ref="L1103:L1105"/>
    <mergeCell ref="M1103:M1105"/>
    <mergeCell ref="N1103:N1105"/>
    <mergeCell ref="N1100:N1102"/>
    <mergeCell ref="O1100:O1102"/>
    <mergeCell ref="Q1100:Q1102"/>
    <mergeCell ref="A1103:A1105"/>
    <mergeCell ref="B1103:B1105"/>
    <mergeCell ref="D1103:D1105"/>
    <mergeCell ref="E1103:E1105"/>
    <mergeCell ref="F1103:F1105"/>
    <mergeCell ref="G1103:G1105"/>
    <mergeCell ref="H1103:H1105"/>
    <mergeCell ref="H1100:H1102"/>
    <mergeCell ref="I1100:I1102"/>
    <mergeCell ref="J1100:J1102"/>
    <mergeCell ref="K1100:K1102"/>
    <mergeCell ref="L1100:L1102"/>
    <mergeCell ref="M1100:M1102"/>
    <mergeCell ref="A1100:A1102"/>
    <mergeCell ref="B1100:B1102"/>
    <mergeCell ref="D1100:D1102"/>
    <mergeCell ref="E1100:E1102"/>
    <mergeCell ref="F1100:F1102"/>
    <mergeCell ref="G1100:G1102"/>
    <mergeCell ref="K1097:K1099"/>
    <mergeCell ref="L1097:L1099"/>
    <mergeCell ref="M1097:M1099"/>
    <mergeCell ref="N1097:N1099"/>
    <mergeCell ref="O1097:O1099"/>
    <mergeCell ref="Q1097:Q1099"/>
    <mergeCell ref="Q1094:Q1096"/>
    <mergeCell ref="A1097:A1099"/>
    <mergeCell ref="B1097:B1099"/>
    <mergeCell ref="D1097:D1099"/>
    <mergeCell ref="E1097:E1099"/>
    <mergeCell ref="F1097:F1099"/>
    <mergeCell ref="G1097:G1099"/>
    <mergeCell ref="H1097:H1099"/>
    <mergeCell ref="I1097:I1099"/>
    <mergeCell ref="J1097:J1099"/>
    <mergeCell ref="J1094:J1096"/>
    <mergeCell ref="K1094:K1096"/>
    <mergeCell ref="L1094:L1096"/>
    <mergeCell ref="M1094:M1096"/>
    <mergeCell ref="N1094:N1096"/>
    <mergeCell ref="O1094:O1096"/>
    <mergeCell ref="O1091:O1093"/>
    <mergeCell ref="Q1091:Q1093"/>
    <mergeCell ref="A1094:A1096"/>
    <mergeCell ref="B1094:B1096"/>
    <mergeCell ref="D1094:D1096"/>
    <mergeCell ref="E1094:E1096"/>
    <mergeCell ref="F1094:F1096"/>
    <mergeCell ref="G1094:G1096"/>
    <mergeCell ref="H1094:H1096"/>
    <mergeCell ref="I1094:I1096"/>
    <mergeCell ref="I1091:I1093"/>
    <mergeCell ref="J1091:J1093"/>
    <mergeCell ref="K1091:K1093"/>
    <mergeCell ref="L1091:L1093"/>
    <mergeCell ref="M1091:M1093"/>
    <mergeCell ref="N1091:N1093"/>
    <mergeCell ref="Q1086:Q1088"/>
    <mergeCell ref="A1089:Q1089"/>
    <mergeCell ref="A1090:Q1090"/>
    <mergeCell ref="A1091:A1093"/>
    <mergeCell ref="B1091:B1093"/>
    <mergeCell ref="D1091:D1093"/>
    <mergeCell ref="E1091:E1093"/>
    <mergeCell ref="F1091:F1093"/>
    <mergeCell ref="G1091:G1093"/>
    <mergeCell ref="H1091:H1093"/>
    <mergeCell ref="J1086:J1088"/>
    <mergeCell ref="K1086:K1088"/>
    <mergeCell ref="L1086:L1088"/>
    <mergeCell ref="M1086:M1088"/>
    <mergeCell ref="N1086:N1088"/>
    <mergeCell ref="O1086:O1088"/>
    <mergeCell ref="O1083:O1085"/>
    <mergeCell ref="Q1083:Q1085"/>
    <mergeCell ref="A1086:A1088"/>
    <mergeCell ref="B1086:B1088"/>
    <mergeCell ref="D1086:D1088"/>
    <mergeCell ref="E1086:E1088"/>
    <mergeCell ref="F1086:F1088"/>
    <mergeCell ref="G1086:G1088"/>
    <mergeCell ref="H1086:H1088"/>
    <mergeCell ref="I1086:I1088"/>
    <mergeCell ref="I1083:I1085"/>
    <mergeCell ref="J1083:J1085"/>
    <mergeCell ref="K1083:K1085"/>
    <mergeCell ref="L1083:L1085"/>
    <mergeCell ref="M1083:M1085"/>
    <mergeCell ref="N1083:N1085"/>
    <mergeCell ref="O1079:O1081"/>
    <mergeCell ref="Q1079:Q1081"/>
    <mergeCell ref="A1082:Q1082"/>
    <mergeCell ref="A1083:A1085"/>
    <mergeCell ref="B1083:B1085"/>
    <mergeCell ref="D1083:D1085"/>
    <mergeCell ref="E1083:E1085"/>
    <mergeCell ref="F1083:F1085"/>
    <mergeCell ref="G1083:G1085"/>
    <mergeCell ref="H1083:H1085"/>
    <mergeCell ref="I1079:I1081"/>
    <mergeCell ref="J1079:J1081"/>
    <mergeCell ref="K1079:K1081"/>
    <mergeCell ref="L1079:L1081"/>
    <mergeCell ref="M1079:M1081"/>
    <mergeCell ref="N1079:N1081"/>
    <mergeCell ref="N1076:N1078"/>
    <mergeCell ref="O1076:O1078"/>
    <mergeCell ref="Q1076:Q1078"/>
    <mergeCell ref="A1079:A1081"/>
    <mergeCell ref="B1079:B1081"/>
    <mergeCell ref="D1079:D1081"/>
    <mergeCell ref="E1079:E1081"/>
    <mergeCell ref="F1079:F1081"/>
    <mergeCell ref="G1079:G1081"/>
    <mergeCell ref="H1079:H1081"/>
    <mergeCell ref="H1076:H1078"/>
    <mergeCell ref="I1076:I1078"/>
    <mergeCell ref="J1076:J1078"/>
    <mergeCell ref="K1076:K1078"/>
    <mergeCell ref="L1076:L1078"/>
    <mergeCell ref="M1076:M1078"/>
    <mergeCell ref="A1076:A1078"/>
    <mergeCell ref="B1076:B1078"/>
    <mergeCell ref="D1076:D1078"/>
    <mergeCell ref="E1076:E1078"/>
    <mergeCell ref="F1076:F1078"/>
    <mergeCell ref="G1076:G1078"/>
    <mergeCell ref="K1073:K1075"/>
    <mergeCell ref="L1073:L1075"/>
    <mergeCell ref="M1073:M1075"/>
    <mergeCell ref="N1073:N1075"/>
    <mergeCell ref="O1073:O1075"/>
    <mergeCell ref="Q1073:Q1075"/>
    <mergeCell ref="Q1070:Q1072"/>
    <mergeCell ref="A1073:A1075"/>
    <mergeCell ref="B1073:B1075"/>
    <mergeCell ref="D1073:D1075"/>
    <mergeCell ref="E1073:E1075"/>
    <mergeCell ref="F1073:F1075"/>
    <mergeCell ref="G1073:G1075"/>
    <mergeCell ref="H1073:H1075"/>
    <mergeCell ref="I1073:I1075"/>
    <mergeCell ref="J1073:J1075"/>
    <mergeCell ref="J1070:J1072"/>
    <mergeCell ref="K1070:K1072"/>
    <mergeCell ref="L1070:L1072"/>
    <mergeCell ref="M1070:M1072"/>
    <mergeCell ref="N1070:N1072"/>
    <mergeCell ref="O1070:O1072"/>
    <mergeCell ref="O1067:O1069"/>
    <mergeCell ref="Q1067:Q1069"/>
    <mergeCell ref="A1070:A1072"/>
    <mergeCell ref="B1070:B1072"/>
    <mergeCell ref="D1070:D1072"/>
    <mergeCell ref="E1070:E1072"/>
    <mergeCell ref="F1070:F1072"/>
    <mergeCell ref="G1070:G1072"/>
    <mergeCell ref="H1070:H1072"/>
    <mergeCell ref="I1070:I1072"/>
    <mergeCell ref="I1067:I1069"/>
    <mergeCell ref="J1067:J1069"/>
    <mergeCell ref="K1067:K1069"/>
    <mergeCell ref="L1067:L1069"/>
    <mergeCell ref="M1067:M1069"/>
    <mergeCell ref="N1067:N1069"/>
    <mergeCell ref="N1064:N1066"/>
    <mergeCell ref="O1064:O1066"/>
    <mergeCell ref="Q1064:Q1066"/>
    <mergeCell ref="A1067:A1069"/>
    <mergeCell ref="B1067:B1069"/>
    <mergeCell ref="D1067:D1069"/>
    <mergeCell ref="E1067:E1069"/>
    <mergeCell ref="F1067:F1069"/>
    <mergeCell ref="G1067:G1069"/>
    <mergeCell ref="H1067:H1069"/>
    <mergeCell ref="H1064:H1066"/>
    <mergeCell ref="I1064:I1066"/>
    <mergeCell ref="J1064:J1066"/>
    <mergeCell ref="K1064:K1066"/>
    <mergeCell ref="L1064:L1066"/>
    <mergeCell ref="M1064:M1066"/>
    <mergeCell ref="A1064:A1066"/>
    <mergeCell ref="B1064:B1066"/>
    <mergeCell ref="D1064:D1066"/>
    <mergeCell ref="E1064:E1066"/>
    <mergeCell ref="F1064:F1066"/>
    <mergeCell ref="G1064:G1066"/>
    <mergeCell ref="K1061:K1063"/>
    <mergeCell ref="L1061:L1063"/>
    <mergeCell ref="M1061:M1063"/>
    <mergeCell ref="N1061:N1063"/>
    <mergeCell ref="O1061:O1063"/>
    <mergeCell ref="Q1061:Q1063"/>
    <mergeCell ref="Q1058:Q1060"/>
    <mergeCell ref="A1061:A1063"/>
    <mergeCell ref="B1061:B1063"/>
    <mergeCell ref="D1061:D1063"/>
    <mergeCell ref="E1061:E1063"/>
    <mergeCell ref="F1061:F1063"/>
    <mergeCell ref="G1061:G1063"/>
    <mergeCell ref="H1061:H1063"/>
    <mergeCell ref="I1061:I1063"/>
    <mergeCell ref="J1061:J1063"/>
    <mergeCell ref="J1058:J1060"/>
    <mergeCell ref="K1058:K1060"/>
    <mergeCell ref="L1058:L1060"/>
    <mergeCell ref="M1058:M1060"/>
    <mergeCell ref="N1058:N1060"/>
    <mergeCell ref="O1058:O1060"/>
    <mergeCell ref="Q1054:Q1056"/>
    <mergeCell ref="A1057:Q1057"/>
    <mergeCell ref="A1058:A1060"/>
    <mergeCell ref="B1058:B1060"/>
    <mergeCell ref="D1058:D1060"/>
    <mergeCell ref="E1058:E1060"/>
    <mergeCell ref="F1058:F1060"/>
    <mergeCell ref="G1058:G1060"/>
    <mergeCell ref="H1058:H1060"/>
    <mergeCell ref="I1058:I1060"/>
    <mergeCell ref="J1054:J1056"/>
    <mergeCell ref="K1054:K1056"/>
    <mergeCell ref="L1054:L1056"/>
    <mergeCell ref="M1054:M1056"/>
    <mergeCell ref="N1054:N1056"/>
    <mergeCell ref="O1054:O1056"/>
    <mergeCell ref="O1051:O1053"/>
    <mergeCell ref="Q1051:Q1053"/>
    <mergeCell ref="A1054:A1056"/>
    <mergeCell ref="B1054:B1056"/>
    <mergeCell ref="D1054:D1056"/>
    <mergeCell ref="E1054:E1056"/>
    <mergeCell ref="F1054:F1056"/>
    <mergeCell ref="G1054:G1056"/>
    <mergeCell ref="H1054:H1056"/>
    <mergeCell ref="I1054:I1056"/>
    <mergeCell ref="I1051:I1053"/>
    <mergeCell ref="J1051:J1053"/>
    <mergeCell ref="K1051:K1053"/>
    <mergeCell ref="L1051:L1053"/>
    <mergeCell ref="M1051:M1053"/>
    <mergeCell ref="N1051:N1053"/>
    <mergeCell ref="O1047:O1049"/>
    <mergeCell ref="Q1047:Q1049"/>
    <mergeCell ref="A1050:Q1050"/>
    <mergeCell ref="A1051:A1053"/>
    <mergeCell ref="B1051:B1053"/>
    <mergeCell ref="D1051:D1053"/>
    <mergeCell ref="E1051:E1053"/>
    <mergeCell ref="F1051:F1053"/>
    <mergeCell ref="G1051:G1053"/>
    <mergeCell ref="H1051:H1053"/>
    <mergeCell ref="I1047:I1049"/>
    <mergeCell ref="J1047:J1049"/>
    <mergeCell ref="K1047:K1049"/>
    <mergeCell ref="L1047:L1049"/>
    <mergeCell ref="M1047:M1049"/>
    <mergeCell ref="N1047:N1049"/>
    <mergeCell ref="N1044:N1046"/>
    <mergeCell ref="O1044:O1046"/>
    <mergeCell ref="Q1044:Q1046"/>
    <mergeCell ref="A1047:A1049"/>
    <mergeCell ref="B1047:B1049"/>
    <mergeCell ref="D1047:D1049"/>
    <mergeCell ref="E1047:E1049"/>
    <mergeCell ref="F1047:F1049"/>
    <mergeCell ref="G1047:G1049"/>
    <mergeCell ref="H1047:H1049"/>
    <mergeCell ref="H1044:H1046"/>
    <mergeCell ref="I1044:I1046"/>
    <mergeCell ref="J1044:J1046"/>
    <mergeCell ref="K1044:K1046"/>
    <mergeCell ref="L1044:L1046"/>
    <mergeCell ref="M1044:M1046"/>
    <mergeCell ref="A1044:A1046"/>
    <mergeCell ref="B1044:B1046"/>
    <mergeCell ref="D1044:D1046"/>
    <mergeCell ref="E1044:E1046"/>
    <mergeCell ref="F1044:F1046"/>
    <mergeCell ref="G1044:G1046"/>
    <mergeCell ref="K1041:K1043"/>
    <mergeCell ref="L1041:L1043"/>
    <mergeCell ref="M1041:M1043"/>
    <mergeCell ref="N1041:N1043"/>
    <mergeCell ref="O1041:O1043"/>
    <mergeCell ref="Q1041:Q1043"/>
    <mergeCell ref="Q1038:Q1040"/>
    <mergeCell ref="A1041:A1043"/>
    <mergeCell ref="B1041:B1043"/>
    <mergeCell ref="D1041:D1043"/>
    <mergeCell ref="E1041:E1043"/>
    <mergeCell ref="F1041:F1043"/>
    <mergeCell ref="G1041:G1043"/>
    <mergeCell ref="H1041:H1043"/>
    <mergeCell ref="I1041:I1043"/>
    <mergeCell ref="J1041:J1043"/>
    <mergeCell ref="J1038:J1040"/>
    <mergeCell ref="K1038:K1040"/>
    <mergeCell ref="L1038:L1040"/>
    <mergeCell ref="M1038:M1040"/>
    <mergeCell ref="N1038:N1040"/>
    <mergeCell ref="O1038:O1040"/>
    <mergeCell ref="Q1034:Q1036"/>
    <mergeCell ref="A1037:Q1037"/>
    <mergeCell ref="A1038:A1040"/>
    <mergeCell ref="B1038:B1040"/>
    <mergeCell ref="D1038:D1040"/>
    <mergeCell ref="E1038:E1040"/>
    <mergeCell ref="F1038:F1040"/>
    <mergeCell ref="G1038:G1040"/>
    <mergeCell ref="H1038:H1040"/>
    <mergeCell ref="I1038:I1040"/>
    <mergeCell ref="J1034:J1036"/>
    <mergeCell ref="K1034:K1036"/>
    <mergeCell ref="L1034:L1036"/>
    <mergeCell ref="M1034:M1036"/>
    <mergeCell ref="N1034:N1036"/>
    <mergeCell ref="O1034:O1036"/>
    <mergeCell ref="O1031:O1033"/>
    <mergeCell ref="Q1031:Q1033"/>
    <mergeCell ref="A1034:A1036"/>
    <mergeCell ref="B1034:B1036"/>
    <mergeCell ref="D1034:D1036"/>
    <mergeCell ref="E1034:E1036"/>
    <mergeCell ref="F1034:F1036"/>
    <mergeCell ref="G1034:G1036"/>
    <mergeCell ref="H1034:H1036"/>
    <mergeCell ref="I1034:I1036"/>
    <mergeCell ref="I1031:I1033"/>
    <mergeCell ref="J1031:J1033"/>
    <mergeCell ref="K1031:K1033"/>
    <mergeCell ref="L1031:L1033"/>
    <mergeCell ref="M1031:M1033"/>
    <mergeCell ref="N1031:N1033"/>
    <mergeCell ref="N1028:N1030"/>
    <mergeCell ref="O1028:O1030"/>
    <mergeCell ref="Q1028:Q1030"/>
    <mergeCell ref="A1031:A1033"/>
    <mergeCell ref="B1031:B1033"/>
    <mergeCell ref="D1031:D1033"/>
    <mergeCell ref="E1031:E1033"/>
    <mergeCell ref="F1031:F1033"/>
    <mergeCell ref="G1031:G1033"/>
    <mergeCell ref="H1031:H1033"/>
    <mergeCell ref="H1028:H1030"/>
    <mergeCell ref="I1028:I1030"/>
    <mergeCell ref="J1028:J1030"/>
    <mergeCell ref="K1028:K1030"/>
    <mergeCell ref="L1028:L1030"/>
    <mergeCell ref="M1028:M1030"/>
    <mergeCell ref="A1028:A1030"/>
    <mergeCell ref="B1028:B1030"/>
    <mergeCell ref="D1028:D1030"/>
    <mergeCell ref="E1028:E1030"/>
    <mergeCell ref="F1028:F1030"/>
    <mergeCell ref="G1028:G1030"/>
    <mergeCell ref="K1025:K1027"/>
    <mergeCell ref="L1025:L1027"/>
    <mergeCell ref="M1025:M1027"/>
    <mergeCell ref="N1025:N1027"/>
    <mergeCell ref="O1025:O1027"/>
    <mergeCell ref="Q1025:Q1027"/>
    <mergeCell ref="A1024:Q1024"/>
    <mergeCell ref="A1025:A1027"/>
    <mergeCell ref="B1025:B1027"/>
    <mergeCell ref="D1025:D1027"/>
    <mergeCell ref="E1025:E1027"/>
    <mergeCell ref="F1025:F1027"/>
    <mergeCell ref="G1025:G1027"/>
    <mergeCell ref="H1025:H1027"/>
    <mergeCell ref="I1025:I1027"/>
    <mergeCell ref="J1025:J1027"/>
    <mergeCell ref="K1021:K1023"/>
    <mergeCell ref="L1021:L1023"/>
    <mergeCell ref="M1021:M1023"/>
    <mergeCell ref="N1021:N1023"/>
    <mergeCell ref="O1021:O1023"/>
    <mergeCell ref="Q1021:Q1023"/>
    <mergeCell ref="Q1018:Q1020"/>
    <mergeCell ref="A1021:A1023"/>
    <mergeCell ref="B1021:B1023"/>
    <mergeCell ref="D1021:D1023"/>
    <mergeCell ref="E1021:E1023"/>
    <mergeCell ref="F1021:F1023"/>
    <mergeCell ref="G1021:G1023"/>
    <mergeCell ref="H1021:H1023"/>
    <mergeCell ref="I1021:I1023"/>
    <mergeCell ref="J1021:J1023"/>
    <mergeCell ref="J1018:J1020"/>
    <mergeCell ref="K1018:K1020"/>
    <mergeCell ref="L1018:L1020"/>
    <mergeCell ref="M1018:M1020"/>
    <mergeCell ref="N1018:N1020"/>
    <mergeCell ref="O1018:O1020"/>
    <mergeCell ref="Q1014:Q1016"/>
    <mergeCell ref="A1017:Q1017"/>
    <mergeCell ref="A1018:A1020"/>
    <mergeCell ref="B1018:B1020"/>
    <mergeCell ref="D1018:D1020"/>
    <mergeCell ref="E1018:E1020"/>
    <mergeCell ref="F1018:F1020"/>
    <mergeCell ref="G1018:G1020"/>
    <mergeCell ref="H1018:H1020"/>
    <mergeCell ref="I1018:I1020"/>
    <mergeCell ref="J1014:J1016"/>
    <mergeCell ref="K1014:K1016"/>
    <mergeCell ref="L1014:L1016"/>
    <mergeCell ref="M1014:M1016"/>
    <mergeCell ref="N1014:N1016"/>
    <mergeCell ref="O1014:O1016"/>
    <mergeCell ref="O1011:O1013"/>
    <mergeCell ref="Q1011:Q1013"/>
    <mergeCell ref="A1014:A1016"/>
    <mergeCell ref="B1014:B1016"/>
    <mergeCell ref="D1014:D1016"/>
    <mergeCell ref="E1014:E1016"/>
    <mergeCell ref="F1014:F1016"/>
    <mergeCell ref="G1014:G1016"/>
    <mergeCell ref="H1014:H1016"/>
    <mergeCell ref="I1014:I1016"/>
    <mergeCell ref="I1011:I1013"/>
    <mergeCell ref="J1011:J1013"/>
    <mergeCell ref="K1011:K1013"/>
    <mergeCell ref="L1011:L1013"/>
    <mergeCell ref="M1011:M1013"/>
    <mergeCell ref="N1011:N1013"/>
    <mergeCell ref="N1008:N1010"/>
    <mergeCell ref="O1008:O1010"/>
    <mergeCell ref="Q1008:Q1010"/>
    <mergeCell ref="A1011:A1013"/>
    <mergeCell ref="B1011:B1013"/>
    <mergeCell ref="D1011:D1013"/>
    <mergeCell ref="E1011:E1013"/>
    <mergeCell ref="F1011:F1013"/>
    <mergeCell ref="G1011:G1013"/>
    <mergeCell ref="H1011:H1013"/>
    <mergeCell ref="H1008:H1010"/>
    <mergeCell ref="I1008:I1010"/>
    <mergeCell ref="J1008:J1010"/>
    <mergeCell ref="K1008:K1010"/>
    <mergeCell ref="L1008:L1010"/>
    <mergeCell ref="M1008:M1010"/>
    <mergeCell ref="M1005:M1007"/>
    <mergeCell ref="N1005:N1007"/>
    <mergeCell ref="O1005:O1007"/>
    <mergeCell ref="Q1005:Q1007"/>
    <mergeCell ref="A1008:A1010"/>
    <mergeCell ref="B1008:B1010"/>
    <mergeCell ref="D1008:D1010"/>
    <mergeCell ref="E1008:E1010"/>
    <mergeCell ref="F1008:F1010"/>
    <mergeCell ref="G1008:G1010"/>
    <mergeCell ref="G1005:G1007"/>
    <mergeCell ref="H1005:H1007"/>
    <mergeCell ref="I1005:I1007"/>
    <mergeCell ref="J1005:J1007"/>
    <mergeCell ref="K1005:K1007"/>
    <mergeCell ref="L1005:L1007"/>
    <mergeCell ref="N1000:N1002"/>
    <mergeCell ref="O1000:O1002"/>
    <mergeCell ref="Q1000:Q1002"/>
    <mergeCell ref="A1003:Q1003"/>
    <mergeCell ref="A1004:Q1004"/>
    <mergeCell ref="A1005:A1007"/>
    <mergeCell ref="B1005:B1007"/>
    <mergeCell ref="D1005:D1007"/>
    <mergeCell ref="E1005:E1007"/>
    <mergeCell ref="F1005:F1007"/>
    <mergeCell ref="H1000:H1002"/>
    <mergeCell ref="I1000:I1002"/>
    <mergeCell ref="J1000:J1002"/>
    <mergeCell ref="K1000:K1002"/>
    <mergeCell ref="L1000:L1002"/>
    <mergeCell ref="M1000:M1002"/>
    <mergeCell ref="A1000:A1002"/>
    <mergeCell ref="B1000:B1002"/>
    <mergeCell ref="D1000:D1002"/>
    <mergeCell ref="E1000:E1002"/>
    <mergeCell ref="F1000:F1002"/>
    <mergeCell ref="G1000:G1002"/>
    <mergeCell ref="K997:K999"/>
    <mergeCell ref="L997:L999"/>
    <mergeCell ref="M997:M999"/>
    <mergeCell ref="N997:N999"/>
    <mergeCell ref="O997:O999"/>
    <mergeCell ref="Q997:Q999"/>
    <mergeCell ref="Q994:Q996"/>
    <mergeCell ref="A997:A999"/>
    <mergeCell ref="B997:B999"/>
    <mergeCell ref="D997:D999"/>
    <mergeCell ref="E997:E999"/>
    <mergeCell ref="F997:F999"/>
    <mergeCell ref="G997:G999"/>
    <mergeCell ref="H997:H999"/>
    <mergeCell ref="I997:I999"/>
    <mergeCell ref="J997:J999"/>
    <mergeCell ref="Q991:Q993"/>
    <mergeCell ref="A994:A996"/>
    <mergeCell ref="D994:D996"/>
    <mergeCell ref="F994:F996"/>
    <mergeCell ref="G994:G996"/>
    <mergeCell ref="H994:H996"/>
    <mergeCell ref="L994:L996"/>
    <mergeCell ref="M994:M996"/>
    <mergeCell ref="N994:N996"/>
    <mergeCell ref="O994:O996"/>
    <mergeCell ref="J991:J993"/>
    <mergeCell ref="K991:K993"/>
    <mergeCell ref="L991:L993"/>
    <mergeCell ref="M991:M993"/>
    <mergeCell ref="N991:N993"/>
    <mergeCell ref="O991:O993"/>
    <mergeCell ref="O988:O990"/>
    <mergeCell ref="Q988:Q990"/>
    <mergeCell ref="A991:A993"/>
    <mergeCell ref="B991:B993"/>
    <mergeCell ref="D991:D993"/>
    <mergeCell ref="E991:E993"/>
    <mergeCell ref="F991:F993"/>
    <mergeCell ref="G991:G993"/>
    <mergeCell ref="H991:H993"/>
    <mergeCell ref="I991:I993"/>
    <mergeCell ref="I988:I990"/>
    <mergeCell ref="J988:J990"/>
    <mergeCell ref="K988:K990"/>
    <mergeCell ref="L988:L990"/>
    <mergeCell ref="M988:M990"/>
    <mergeCell ref="N988:N990"/>
    <mergeCell ref="N985:N987"/>
    <mergeCell ref="O985:O987"/>
    <mergeCell ref="Q985:Q987"/>
    <mergeCell ref="A988:A990"/>
    <mergeCell ref="B988:B990"/>
    <mergeCell ref="D988:D990"/>
    <mergeCell ref="E988:E990"/>
    <mergeCell ref="F988:F990"/>
    <mergeCell ref="G988:G990"/>
    <mergeCell ref="H988:H990"/>
    <mergeCell ref="H985:H987"/>
    <mergeCell ref="I985:I987"/>
    <mergeCell ref="J985:J987"/>
    <mergeCell ref="K985:K987"/>
    <mergeCell ref="L985:L987"/>
    <mergeCell ref="M985:M987"/>
    <mergeCell ref="A985:A987"/>
    <mergeCell ref="B985:B987"/>
    <mergeCell ref="D985:D987"/>
    <mergeCell ref="E985:E987"/>
    <mergeCell ref="F985:F987"/>
    <mergeCell ref="G985:G987"/>
    <mergeCell ref="K982:K984"/>
    <mergeCell ref="L982:L984"/>
    <mergeCell ref="M982:M984"/>
    <mergeCell ref="N982:N984"/>
    <mergeCell ref="O982:O984"/>
    <mergeCell ref="Q982:Q984"/>
    <mergeCell ref="Q979:Q981"/>
    <mergeCell ref="A982:A984"/>
    <mergeCell ref="B982:B984"/>
    <mergeCell ref="D982:D984"/>
    <mergeCell ref="E982:E984"/>
    <mergeCell ref="F982:F984"/>
    <mergeCell ref="G982:G984"/>
    <mergeCell ref="H982:H984"/>
    <mergeCell ref="I982:I984"/>
    <mergeCell ref="J982:J984"/>
    <mergeCell ref="J979:J981"/>
    <mergeCell ref="K979:K981"/>
    <mergeCell ref="L979:L981"/>
    <mergeCell ref="M979:M981"/>
    <mergeCell ref="N979:N981"/>
    <mergeCell ref="O979:O981"/>
    <mergeCell ref="O976:O978"/>
    <mergeCell ref="Q976:Q978"/>
    <mergeCell ref="A979:A981"/>
    <mergeCell ref="B979:B981"/>
    <mergeCell ref="D979:D981"/>
    <mergeCell ref="E979:E981"/>
    <mergeCell ref="F979:F981"/>
    <mergeCell ref="G979:G981"/>
    <mergeCell ref="H979:H981"/>
    <mergeCell ref="I979:I981"/>
    <mergeCell ref="I976:I978"/>
    <mergeCell ref="J976:J978"/>
    <mergeCell ref="K976:K978"/>
    <mergeCell ref="L976:L978"/>
    <mergeCell ref="M976:M978"/>
    <mergeCell ref="N976:N978"/>
    <mergeCell ref="N973:N975"/>
    <mergeCell ref="O973:O975"/>
    <mergeCell ref="Q973:Q975"/>
    <mergeCell ref="A976:A978"/>
    <mergeCell ref="B976:B978"/>
    <mergeCell ref="D976:D978"/>
    <mergeCell ref="E976:E978"/>
    <mergeCell ref="F976:F978"/>
    <mergeCell ref="G976:G978"/>
    <mergeCell ref="H976:H978"/>
    <mergeCell ref="H973:H975"/>
    <mergeCell ref="I973:I975"/>
    <mergeCell ref="J973:J975"/>
    <mergeCell ref="K973:K975"/>
    <mergeCell ref="L973:L975"/>
    <mergeCell ref="M973:M975"/>
    <mergeCell ref="A973:A975"/>
    <mergeCell ref="B973:B975"/>
    <mergeCell ref="D973:D975"/>
    <mergeCell ref="E973:E975"/>
    <mergeCell ref="F973:F975"/>
    <mergeCell ref="G973:G975"/>
    <mergeCell ref="K970:K972"/>
    <mergeCell ref="L970:L972"/>
    <mergeCell ref="M970:M972"/>
    <mergeCell ref="N970:N972"/>
    <mergeCell ref="O970:O972"/>
    <mergeCell ref="Q970:Q972"/>
    <mergeCell ref="Q967:Q969"/>
    <mergeCell ref="A970:A972"/>
    <mergeCell ref="B970:B972"/>
    <mergeCell ref="D970:D972"/>
    <mergeCell ref="E970:E972"/>
    <mergeCell ref="F970:F972"/>
    <mergeCell ref="G970:G972"/>
    <mergeCell ref="H970:H972"/>
    <mergeCell ref="I970:I972"/>
    <mergeCell ref="J970:J972"/>
    <mergeCell ref="J967:J969"/>
    <mergeCell ref="K967:K969"/>
    <mergeCell ref="L967:L969"/>
    <mergeCell ref="M967:M969"/>
    <mergeCell ref="N967:N969"/>
    <mergeCell ref="O967:O969"/>
    <mergeCell ref="O964:O966"/>
    <mergeCell ref="Q964:Q966"/>
    <mergeCell ref="A967:A969"/>
    <mergeCell ref="B967:B969"/>
    <mergeCell ref="D967:D969"/>
    <mergeCell ref="E967:E969"/>
    <mergeCell ref="F967:F969"/>
    <mergeCell ref="G967:G969"/>
    <mergeCell ref="H967:H969"/>
    <mergeCell ref="I967:I969"/>
    <mergeCell ref="I964:I966"/>
    <mergeCell ref="J964:J966"/>
    <mergeCell ref="K964:K966"/>
    <mergeCell ref="L964:L966"/>
    <mergeCell ref="M964:M966"/>
    <mergeCell ref="N964:N966"/>
    <mergeCell ref="N961:N963"/>
    <mergeCell ref="O961:O963"/>
    <mergeCell ref="Q961:Q963"/>
    <mergeCell ref="A964:A966"/>
    <mergeCell ref="B964:B966"/>
    <mergeCell ref="D964:D966"/>
    <mergeCell ref="E964:E966"/>
    <mergeCell ref="F964:F966"/>
    <mergeCell ref="G964:G966"/>
    <mergeCell ref="H964:H966"/>
    <mergeCell ref="Q957:Q959"/>
    <mergeCell ref="A960:Q960"/>
    <mergeCell ref="A961:A963"/>
    <mergeCell ref="D961:D963"/>
    <mergeCell ref="F961:F963"/>
    <mergeCell ref="G961:G963"/>
    <mergeCell ref="H961:H963"/>
    <mergeCell ref="K961:K963"/>
    <mergeCell ref="L961:L963"/>
    <mergeCell ref="M961:M963"/>
    <mergeCell ref="J957:J959"/>
    <mergeCell ref="K957:K959"/>
    <mergeCell ref="L957:L959"/>
    <mergeCell ref="M957:M959"/>
    <mergeCell ref="N957:N959"/>
    <mergeCell ref="O957:O959"/>
    <mergeCell ref="Q953:Q955"/>
    <mergeCell ref="A956:Q956"/>
    <mergeCell ref="A957:A959"/>
    <mergeCell ref="B957:B959"/>
    <mergeCell ref="D957:D959"/>
    <mergeCell ref="E957:E959"/>
    <mergeCell ref="F957:F959"/>
    <mergeCell ref="G957:G959"/>
    <mergeCell ref="H957:H959"/>
    <mergeCell ref="I957:I959"/>
    <mergeCell ref="J953:J955"/>
    <mergeCell ref="K953:K955"/>
    <mergeCell ref="L953:L955"/>
    <mergeCell ref="M953:M955"/>
    <mergeCell ref="N953:N955"/>
    <mergeCell ref="O953:O955"/>
    <mergeCell ref="O950:O952"/>
    <mergeCell ref="Q950:Q952"/>
    <mergeCell ref="A953:A955"/>
    <mergeCell ref="B953:B955"/>
    <mergeCell ref="D953:D955"/>
    <mergeCell ref="E953:E955"/>
    <mergeCell ref="F953:F955"/>
    <mergeCell ref="G953:G955"/>
    <mergeCell ref="H953:H955"/>
    <mergeCell ref="I953:I955"/>
    <mergeCell ref="I950:I952"/>
    <mergeCell ref="J950:J952"/>
    <mergeCell ref="K950:K952"/>
    <mergeCell ref="L950:L952"/>
    <mergeCell ref="M950:M952"/>
    <mergeCell ref="N950:N952"/>
    <mergeCell ref="N947:N949"/>
    <mergeCell ref="O947:O949"/>
    <mergeCell ref="Q947:Q949"/>
    <mergeCell ref="A950:A952"/>
    <mergeCell ref="B950:B952"/>
    <mergeCell ref="D950:D952"/>
    <mergeCell ref="E950:E952"/>
    <mergeCell ref="F950:F952"/>
    <mergeCell ref="G950:G952"/>
    <mergeCell ref="H950:H952"/>
    <mergeCell ref="H947:H949"/>
    <mergeCell ref="I947:I949"/>
    <mergeCell ref="J947:J949"/>
    <mergeCell ref="K947:K949"/>
    <mergeCell ref="L947:L949"/>
    <mergeCell ref="M947:M949"/>
    <mergeCell ref="N943:N945"/>
    <mergeCell ref="O943:O945"/>
    <mergeCell ref="Q943:Q945"/>
    <mergeCell ref="A946:Q946"/>
    <mergeCell ref="A947:A949"/>
    <mergeCell ref="B947:B949"/>
    <mergeCell ref="D947:D949"/>
    <mergeCell ref="E947:E949"/>
    <mergeCell ref="F947:F949"/>
    <mergeCell ref="G947:G949"/>
    <mergeCell ref="H943:H945"/>
    <mergeCell ref="I943:I945"/>
    <mergeCell ref="J943:J945"/>
    <mergeCell ref="K943:K945"/>
    <mergeCell ref="L943:L945"/>
    <mergeCell ref="M943:M945"/>
    <mergeCell ref="A943:A945"/>
    <mergeCell ref="B943:B945"/>
    <mergeCell ref="D943:D945"/>
    <mergeCell ref="E943:E945"/>
    <mergeCell ref="F943:F945"/>
    <mergeCell ref="G943:G945"/>
    <mergeCell ref="K940:K942"/>
    <mergeCell ref="L940:L942"/>
    <mergeCell ref="M940:M942"/>
    <mergeCell ref="N940:N942"/>
    <mergeCell ref="O940:O942"/>
    <mergeCell ref="Q940:Q942"/>
    <mergeCell ref="Q937:Q939"/>
    <mergeCell ref="A940:A942"/>
    <mergeCell ref="B940:B942"/>
    <mergeCell ref="D940:D942"/>
    <mergeCell ref="E940:E942"/>
    <mergeCell ref="F940:F942"/>
    <mergeCell ref="G940:G942"/>
    <mergeCell ref="H940:H942"/>
    <mergeCell ref="I940:I942"/>
    <mergeCell ref="J940:J942"/>
    <mergeCell ref="J937:J939"/>
    <mergeCell ref="K937:K939"/>
    <mergeCell ref="L937:L939"/>
    <mergeCell ref="M937:M939"/>
    <mergeCell ref="N937:N939"/>
    <mergeCell ref="O937:O939"/>
    <mergeCell ref="O934:O936"/>
    <mergeCell ref="Q934:Q936"/>
    <mergeCell ref="A937:A939"/>
    <mergeCell ref="B937:B939"/>
    <mergeCell ref="D937:D939"/>
    <mergeCell ref="E937:E939"/>
    <mergeCell ref="F937:F939"/>
    <mergeCell ref="G937:G939"/>
    <mergeCell ref="H937:H939"/>
    <mergeCell ref="I937:I939"/>
    <mergeCell ref="I934:I936"/>
    <mergeCell ref="J934:J936"/>
    <mergeCell ref="K934:K936"/>
    <mergeCell ref="L934:L936"/>
    <mergeCell ref="M934:M936"/>
    <mergeCell ref="N934:N936"/>
    <mergeCell ref="N931:N933"/>
    <mergeCell ref="O931:O933"/>
    <mergeCell ref="Q931:Q933"/>
    <mergeCell ref="A934:A936"/>
    <mergeCell ref="B934:B936"/>
    <mergeCell ref="D934:D936"/>
    <mergeCell ref="E934:E936"/>
    <mergeCell ref="F934:F936"/>
    <mergeCell ref="G934:G936"/>
    <mergeCell ref="H934:H936"/>
    <mergeCell ref="H931:H933"/>
    <mergeCell ref="I931:I933"/>
    <mergeCell ref="J931:J933"/>
    <mergeCell ref="K931:K933"/>
    <mergeCell ref="L931:L933"/>
    <mergeCell ref="M931:M933"/>
    <mergeCell ref="A931:A933"/>
    <mergeCell ref="B931:B933"/>
    <mergeCell ref="D931:D933"/>
    <mergeCell ref="E931:E933"/>
    <mergeCell ref="F931:F933"/>
    <mergeCell ref="G931:G933"/>
    <mergeCell ref="K928:K930"/>
    <mergeCell ref="L928:L930"/>
    <mergeCell ref="M928:M930"/>
    <mergeCell ref="N928:N930"/>
    <mergeCell ref="O928:O930"/>
    <mergeCell ref="Q928:Q930"/>
    <mergeCell ref="Q925:Q927"/>
    <mergeCell ref="A928:A930"/>
    <mergeCell ref="B928:B930"/>
    <mergeCell ref="D928:D930"/>
    <mergeCell ref="E928:E930"/>
    <mergeCell ref="F928:F930"/>
    <mergeCell ref="G928:G930"/>
    <mergeCell ref="H928:H930"/>
    <mergeCell ref="I928:I930"/>
    <mergeCell ref="J928:J930"/>
    <mergeCell ref="J925:J927"/>
    <mergeCell ref="K925:K927"/>
    <mergeCell ref="L925:L927"/>
    <mergeCell ref="M925:M927"/>
    <mergeCell ref="N925:N927"/>
    <mergeCell ref="O925:O927"/>
    <mergeCell ref="O922:O924"/>
    <mergeCell ref="Q922:Q924"/>
    <mergeCell ref="A925:A927"/>
    <mergeCell ref="B925:B927"/>
    <mergeCell ref="D925:D927"/>
    <mergeCell ref="E925:E927"/>
    <mergeCell ref="F925:F927"/>
    <mergeCell ref="G925:G927"/>
    <mergeCell ref="H925:H927"/>
    <mergeCell ref="I925:I927"/>
    <mergeCell ref="I922:I924"/>
    <mergeCell ref="J922:J924"/>
    <mergeCell ref="K922:K924"/>
    <mergeCell ref="L922:L924"/>
    <mergeCell ref="M922:M924"/>
    <mergeCell ref="N922:N924"/>
    <mergeCell ref="N919:N921"/>
    <mergeCell ref="O919:O921"/>
    <mergeCell ref="Q919:Q921"/>
    <mergeCell ref="A922:A924"/>
    <mergeCell ref="B922:B924"/>
    <mergeCell ref="D922:D924"/>
    <mergeCell ref="E922:E924"/>
    <mergeCell ref="F922:F924"/>
    <mergeCell ref="G922:G924"/>
    <mergeCell ref="H922:H924"/>
    <mergeCell ref="H919:H921"/>
    <mergeCell ref="I919:I921"/>
    <mergeCell ref="J919:J921"/>
    <mergeCell ref="K919:K921"/>
    <mergeCell ref="L919:L921"/>
    <mergeCell ref="M919:M921"/>
    <mergeCell ref="A919:A921"/>
    <mergeCell ref="B919:B921"/>
    <mergeCell ref="D919:D921"/>
    <mergeCell ref="E919:E921"/>
    <mergeCell ref="F919:F921"/>
    <mergeCell ref="G919:G921"/>
    <mergeCell ref="K916:K918"/>
    <mergeCell ref="L916:L918"/>
    <mergeCell ref="M916:M918"/>
    <mergeCell ref="N916:N918"/>
    <mergeCell ref="O916:O918"/>
    <mergeCell ref="Q916:Q918"/>
    <mergeCell ref="Q913:Q915"/>
    <mergeCell ref="A916:A918"/>
    <mergeCell ref="B916:B918"/>
    <mergeCell ref="D916:D918"/>
    <mergeCell ref="E916:E918"/>
    <mergeCell ref="F916:F918"/>
    <mergeCell ref="G916:G918"/>
    <mergeCell ref="H916:H918"/>
    <mergeCell ref="I916:I918"/>
    <mergeCell ref="J916:J918"/>
    <mergeCell ref="J913:J915"/>
    <mergeCell ref="K913:K915"/>
    <mergeCell ref="L913:L915"/>
    <mergeCell ref="M913:M915"/>
    <mergeCell ref="N913:N915"/>
    <mergeCell ref="O913:O915"/>
    <mergeCell ref="G907:G909"/>
    <mergeCell ref="H907:H909"/>
    <mergeCell ref="H904:H906"/>
    <mergeCell ref="I904:I905"/>
    <mergeCell ref="J904:J905"/>
    <mergeCell ref="K904:K906"/>
    <mergeCell ref="L904:L906"/>
    <mergeCell ref="M904:M906"/>
    <mergeCell ref="A904:A906"/>
    <mergeCell ref="B904:B905"/>
    <mergeCell ref="O910:O912"/>
    <mergeCell ref="Q910:Q912"/>
    <mergeCell ref="A913:A915"/>
    <mergeCell ref="B913:B915"/>
    <mergeCell ref="D913:D915"/>
    <mergeCell ref="E913:E915"/>
    <mergeCell ref="F913:F915"/>
    <mergeCell ref="G913:G915"/>
    <mergeCell ref="H913:H915"/>
    <mergeCell ref="I913:I915"/>
    <mergeCell ref="I910:I912"/>
    <mergeCell ref="J910:J912"/>
    <mergeCell ref="K910:K912"/>
    <mergeCell ref="L910:L912"/>
    <mergeCell ref="M910:M912"/>
    <mergeCell ref="N910:N912"/>
    <mergeCell ref="O907:O909"/>
    <mergeCell ref="Q907:Q909"/>
    <mergeCell ref="G901:G903"/>
    <mergeCell ref="H901:H903"/>
    <mergeCell ref="I901:I903"/>
    <mergeCell ref="J901:J903"/>
    <mergeCell ref="J898:J900"/>
    <mergeCell ref="K898:K900"/>
    <mergeCell ref="L898:L900"/>
    <mergeCell ref="M898:M900"/>
    <mergeCell ref="N898:N900"/>
    <mergeCell ref="O898:O900"/>
    <mergeCell ref="R907:R909"/>
    <mergeCell ref="A910:A912"/>
    <mergeCell ref="B910:B912"/>
    <mergeCell ref="D910:D912"/>
    <mergeCell ref="E910:E912"/>
    <mergeCell ref="F910:F912"/>
    <mergeCell ref="G910:G912"/>
    <mergeCell ref="H910:H912"/>
    <mergeCell ref="I907:I908"/>
    <mergeCell ref="J907:J908"/>
    <mergeCell ref="K907:K909"/>
    <mergeCell ref="L907:L909"/>
    <mergeCell ref="M907:M909"/>
    <mergeCell ref="N907:N909"/>
    <mergeCell ref="N904:N906"/>
    <mergeCell ref="O904:O906"/>
    <mergeCell ref="Q904:Q906"/>
    <mergeCell ref="A907:A909"/>
    <mergeCell ref="B907:B908"/>
    <mergeCell ref="D907:D909"/>
    <mergeCell ref="E907:E908"/>
    <mergeCell ref="F907:F909"/>
    <mergeCell ref="A898:A900"/>
    <mergeCell ref="B898:B900"/>
    <mergeCell ref="D898:D900"/>
    <mergeCell ref="E898:E900"/>
    <mergeCell ref="F898:F900"/>
    <mergeCell ref="G898:G900"/>
    <mergeCell ref="H898:H900"/>
    <mergeCell ref="I898:I900"/>
    <mergeCell ref="I895:I897"/>
    <mergeCell ref="J895:J897"/>
    <mergeCell ref="K895:K897"/>
    <mergeCell ref="L895:L897"/>
    <mergeCell ref="M895:M897"/>
    <mergeCell ref="N895:N897"/>
    <mergeCell ref="O892:O894"/>
    <mergeCell ref="Q892:Q894"/>
    <mergeCell ref="D904:D906"/>
    <mergeCell ref="E904:E905"/>
    <mergeCell ref="F904:F906"/>
    <mergeCell ref="G904:G906"/>
    <mergeCell ref="K901:K903"/>
    <mergeCell ref="L901:L903"/>
    <mergeCell ref="M901:M903"/>
    <mergeCell ref="N901:N903"/>
    <mergeCell ref="O901:O903"/>
    <mergeCell ref="Q901:Q903"/>
    <mergeCell ref="Q898:Q900"/>
    <mergeCell ref="A901:A903"/>
    <mergeCell ref="B901:B903"/>
    <mergeCell ref="D901:D903"/>
    <mergeCell ref="E901:E903"/>
    <mergeCell ref="F901:F903"/>
    <mergeCell ref="R892:R894"/>
    <mergeCell ref="A895:A897"/>
    <mergeCell ref="B895:B897"/>
    <mergeCell ref="D895:D897"/>
    <mergeCell ref="E895:E897"/>
    <mergeCell ref="F895:F897"/>
    <mergeCell ref="G895:G897"/>
    <mergeCell ref="H895:H897"/>
    <mergeCell ref="I892:I894"/>
    <mergeCell ref="J892:J894"/>
    <mergeCell ref="K892:K894"/>
    <mergeCell ref="L892:L894"/>
    <mergeCell ref="M892:M894"/>
    <mergeCell ref="N892:N894"/>
    <mergeCell ref="O888:O890"/>
    <mergeCell ref="Q888:Q890"/>
    <mergeCell ref="A891:Q891"/>
    <mergeCell ref="A892:A894"/>
    <mergeCell ref="B892:B894"/>
    <mergeCell ref="D892:D894"/>
    <mergeCell ref="E892:E894"/>
    <mergeCell ref="F892:F894"/>
    <mergeCell ref="G892:G894"/>
    <mergeCell ref="H892:H894"/>
    <mergeCell ref="I888:I890"/>
    <mergeCell ref="J888:J890"/>
    <mergeCell ref="K888:K890"/>
    <mergeCell ref="L888:L890"/>
    <mergeCell ref="M888:M890"/>
    <mergeCell ref="N888:N890"/>
    <mergeCell ref="O895:O897"/>
    <mergeCell ref="Q895:Q897"/>
    <mergeCell ref="N885:N887"/>
    <mergeCell ref="O885:O887"/>
    <mergeCell ref="Q885:Q887"/>
    <mergeCell ref="A888:A890"/>
    <mergeCell ref="B888:B890"/>
    <mergeCell ref="D888:D890"/>
    <mergeCell ref="E888:E890"/>
    <mergeCell ref="F888:F890"/>
    <mergeCell ref="G888:G890"/>
    <mergeCell ref="H888:H890"/>
    <mergeCell ref="H885:H887"/>
    <mergeCell ref="I885:I887"/>
    <mergeCell ref="J885:J887"/>
    <mergeCell ref="K885:K887"/>
    <mergeCell ref="L885:L887"/>
    <mergeCell ref="M885:M887"/>
    <mergeCell ref="A885:A887"/>
    <mergeCell ref="B885:B887"/>
    <mergeCell ref="D885:D887"/>
    <mergeCell ref="E885:E887"/>
    <mergeCell ref="F885:F887"/>
    <mergeCell ref="G885:G887"/>
    <mergeCell ref="K882:K884"/>
    <mergeCell ref="L882:L884"/>
    <mergeCell ref="M882:M884"/>
    <mergeCell ref="N882:N884"/>
    <mergeCell ref="O882:O884"/>
    <mergeCell ref="Q882:Q884"/>
    <mergeCell ref="A881:Q881"/>
    <mergeCell ref="A882:A884"/>
    <mergeCell ref="B882:B884"/>
    <mergeCell ref="D882:D884"/>
    <mergeCell ref="E882:E884"/>
    <mergeCell ref="F882:F884"/>
    <mergeCell ref="G882:G884"/>
    <mergeCell ref="H882:H884"/>
    <mergeCell ref="I882:I884"/>
    <mergeCell ref="J882:J884"/>
    <mergeCell ref="K878:K880"/>
    <mergeCell ref="L878:L880"/>
    <mergeCell ref="M878:M880"/>
    <mergeCell ref="N878:N880"/>
    <mergeCell ref="O878:O880"/>
    <mergeCell ref="Q878:Q880"/>
    <mergeCell ref="R877:R879"/>
    <mergeCell ref="A878:A880"/>
    <mergeCell ref="B878:B880"/>
    <mergeCell ref="D878:D880"/>
    <mergeCell ref="E878:E880"/>
    <mergeCell ref="F878:F880"/>
    <mergeCell ref="G878:G880"/>
    <mergeCell ref="H878:H880"/>
    <mergeCell ref="I878:I880"/>
    <mergeCell ref="J878:J880"/>
    <mergeCell ref="K875:K877"/>
    <mergeCell ref="L875:L877"/>
    <mergeCell ref="M875:M877"/>
    <mergeCell ref="N875:N877"/>
    <mergeCell ref="O875:O877"/>
    <mergeCell ref="Q875:Q877"/>
    <mergeCell ref="R874:R876"/>
    <mergeCell ref="A875:A877"/>
    <mergeCell ref="B875:B877"/>
    <mergeCell ref="D875:D877"/>
    <mergeCell ref="E875:E877"/>
    <mergeCell ref="F875:F877"/>
    <mergeCell ref="G875:G877"/>
    <mergeCell ref="H875:H877"/>
    <mergeCell ref="I875:I877"/>
    <mergeCell ref="J875:J877"/>
    <mergeCell ref="K872:K874"/>
    <mergeCell ref="L872:L874"/>
    <mergeCell ref="M872:M874"/>
    <mergeCell ref="N872:N874"/>
    <mergeCell ref="O872:O874"/>
    <mergeCell ref="Q872:Q874"/>
    <mergeCell ref="R869:R870"/>
    <mergeCell ref="A872:A874"/>
    <mergeCell ref="B872:B874"/>
    <mergeCell ref="D872:D874"/>
    <mergeCell ref="E872:E874"/>
    <mergeCell ref="F872:F874"/>
    <mergeCell ref="G872:G874"/>
    <mergeCell ref="H872:H874"/>
    <mergeCell ref="I872:I874"/>
    <mergeCell ref="J872:J874"/>
    <mergeCell ref="K869:K871"/>
    <mergeCell ref="L869:L871"/>
    <mergeCell ref="M869:M871"/>
    <mergeCell ref="N869:N871"/>
    <mergeCell ref="O869:O871"/>
    <mergeCell ref="Q869:Q871"/>
    <mergeCell ref="Q866:Q868"/>
    <mergeCell ref="A869:A871"/>
    <mergeCell ref="B869:B871"/>
    <mergeCell ref="D869:D871"/>
    <mergeCell ref="E869:E870"/>
    <mergeCell ref="F869:F871"/>
    <mergeCell ref="G869:G871"/>
    <mergeCell ref="H869:H871"/>
    <mergeCell ref="I869:I870"/>
    <mergeCell ref="J869:J870"/>
    <mergeCell ref="J866:J868"/>
    <mergeCell ref="K866:K868"/>
    <mergeCell ref="L866:L868"/>
    <mergeCell ref="M866:M868"/>
    <mergeCell ref="N866:N868"/>
    <mergeCell ref="O866:O868"/>
    <mergeCell ref="O863:O865"/>
    <mergeCell ref="Q863:Q865"/>
    <mergeCell ref="A866:A868"/>
    <mergeCell ref="B866:B868"/>
    <mergeCell ref="D866:D868"/>
    <mergeCell ref="E866:E868"/>
    <mergeCell ref="F866:F868"/>
    <mergeCell ref="G866:G868"/>
    <mergeCell ref="H866:H868"/>
    <mergeCell ref="I866:I868"/>
    <mergeCell ref="I863:I865"/>
    <mergeCell ref="J863:J865"/>
    <mergeCell ref="K863:K865"/>
    <mergeCell ref="L863:L865"/>
    <mergeCell ref="M863:M865"/>
    <mergeCell ref="N863:N865"/>
    <mergeCell ref="N860:N862"/>
    <mergeCell ref="O860:O862"/>
    <mergeCell ref="Q860:Q862"/>
    <mergeCell ref="A863:A865"/>
    <mergeCell ref="B863:B865"/>
    <mergeCell ref="D863:D865"/>
    <mergeCell ref="E863:E865"/>
    <mergeCell ref="F863:F865"/>
    <mergeCell ref="G863:G865"/>
    <mergeCell ref="H863:H865"/>
    <mergeCell ref="H860:H862"/>
    <mergeCell ref="I860:I862"/>
    <mergeCell ref="J860:J862"/>
    <mergeCell ref="K860:K862"/>
    <mergeCell ref="L860:L862"/>
    <mergeCell ref="M860:M862"/>
    <mergeCell ref="A860:A862"/>
    <mergeCell ref="B860:B862"/>
    <mergeCell ref="D860:D862"/>
    <mergeCell ref="E860:E862"/>
    <mergeCell ref="F860:F862"/>
    <mergeCell ref="G860:G862"/>
    <mergeCell ref="K857:K859"/>
    <mergeCell ref="L857:L859"/>
    <mergeCell ref="M857:M859"/>
    <mergeCell ref="N857:N859"/>
    <mergeCell ref="O857:O859"/>
    <mergeCell ref="Q857:Q859"/>
    <mergeCell ref="Q854:Q856"/>
    <mergeCell ref="A857:A859"/>
    <mergeCell ref="B857:B859"/>
    <mergeCell ref="D857:D859"/>
    <mergeCell ref="E857:E859"/>
    <mergeCell ref="F857:F859"/>
    <mergeCell ref="G857:G859"/>
    <mergeCell ref="H857:H859"/>
    <mergeCell ref="I857:I859"/>
    <mergeCell ref="J857:J859"/>
    <mergeCell ref="J854:J856"/>
    <mergeCell ref="K854:K856"/>
    <mergeCell ref="L854:L856"/>
    <mergeCell ref="M854:M856"/>
    <mergeCell ref="N854:N856"/>
    <mergeCell ref="O854:O856"/>
    <mergeCell ref="O851:O853"/>
    <mergeCell ref="Q851:Q853"/>
    <mergeCell ref="A854:A856"/>
    <mergeCell ref="B854:B856"/>
    <mergeCell ref="D854:D856"/>
    <mergeCell ref="E854:E856"/>
    <mergeCell ref="F854:F856"/>
    <mergeCell ref="G854:G856"/>
    <mergeCell ref="H854:H856"/>
    <mergeCell ref="I854:I856"/>
    <mergeCell ref="I851:I853"/>
    <mergeCell ref="J851:J853"/>
    <mergeCell ref="K851:K853"/>
    <mergeCell ref="L851:L853"/>
    <mergeCell ref="M851:M853"/>
    <mergeCell ref="N851:N853"/>
    <mergeCell ref="N848:N850"/>
    <mergeCell ref="O848:O850"/>
    <mergeCell ref="Q848:Q850"/>
    <mergeCell ref="A851:A853"/>
    <mergeCell ref="B851:B853"/>
    <mergeCell ref="D851:D853"/>
    <mergeCell ref="E851:E853"/>
    <mergeCell ref="F851:F853"/>
    <mergeCell ref="G851:G853"/>
    <mergeCell ref="H851:H853"/>
    <mergeCell ref="H848:H850"/>
    <mergeCell ref="I848:I850"/>
    <mergeCell ref="J848:J850"/>
    <mergeCell ref="K848:K850"/>
    <mergeCell ref="L848:L850"/>
    <mergeCell ref="M848:M850"/>
    <mergeCell ref="A848:A850"/>
    <mergeCell ref="B848:B850"/>
    <mergeCell ref="D848:D850"/>
    <mergeCell ref="E848:E850"/>
    <mergeCell ref="F848:F850"/>
    <mergeCell ref="G848:G850"/>
    <mergeCell ref="K845:K847"/>
    <mergeCell ref="L845:L847"/>
    <mergeCell ref="M845:M847"/>
    <mergeCell ref="N845:N847"/>
    <mergeCell ref="O845:O847"/>
    <mergeCell ref="Q845:Q847"/>
    <mergeCell ref="Q842:Q844"/>
    <mergeCell ref="A845:A847"/>
    <mergeCell ref="B845:B847"/>
    <mergeCell ref="D845:D847"/>
    <mergeCell ref="E845:E847"/>
    <mergeCell ref="F845:F847"/>
    <mergeCell ref="G845:G847"/>
    <mergeCell ref="H845:H847"/>
    <mergeCell ref="I845:I847"/>
    <mergeCell ref="J845:J847"/>
    <mergeCell ref="J842:J844"/>
    <mergeCell ref="K842:K844"/>
    <mergeCell ref="L842:L844"/>
    <mergeCell ref="M842:M844"/>
    <mergeCell ref="N842:N844"/>
    <mergeCell ref="O842:O844"/>
    <mergeCell ref="O839:O841"/>
    <mergeCell ref="Q839:Q841"/>
    <mergeCell ref="A842:A844"/>
    <mergeCell ref="B842:B844"/>
    <mergeCell ref="D842:D844"/>
    <mergeCell ref="E842:E844"/>
    <mergeCell ref="F842:F844"/>
    <mergeCell ref="G842:G844"/>
    <mergeCell ref="H842:H844"/>
    <mergeCell ref="I842:I844"/>
    <mergeCell ref="I839:I841"/>
    <mergeCell ref="J839:J841"/>
    <mergeCell ref="K839:K841"/>
    <mergeCell ref="L839:L841"/>
    <mergeCell ref="M839:M841"/>
    <mergeCell ref="N839:N841"/>
    <mergeCell ref="N836:N838"/>
    <mergeCell ref="O836:O838"/>
    <mergeCell ref="Q836:Q838"/>
    <mergeCell ref="A839:A841"/>
    <mergeCell ref="B839:B841"/>
    <mergeCell ref="D839:D841"/>
    <mergeCell ref="E839:E841"/>
    <mergeCell ref="F839:F841"/>
    <mergeCell ref="G839:G841"/>
    <mergeCell ref="H839:H841"/>
    <mergeCell ref="H836:H838"/>
    <mergeCell ref="I836:I838"/>
    <mergeCell ref="J836:J838"/>
    <mergeCell ref="K836:K838"/>
    <mergeCell ref="L836:L838"/>
    <mergeCell ref="M836:M838"/>
    <mergeCell ref="A836:A838"/>
    <mergeCell ref="B836:B838"/>
    <mergeCell ref="D836:D838"/>
    <mergeCell ref="E836:E838"/>
    <mergeCell ref="F836:F838"/>
    <mergeCell ref="G836:G838"/>
    <mergeCell ref="K833:K835"/>
    <mergeCell ref="L833:L835"/>
    <mergeCell ref="M833:M835"/>
    <mergeCell ref="N833:N835"/>
    <mergeCell ref="O833:O835"/>
    <mergeCell ref="Q833:Q835"/>
    <mergeCell ref="Q830:Q832"/>
    <mergeCell ref="A833:A835"/>
    <mergeCell ref="B833:B835"/>
    <mergeCell ref="D833:D835"/>
    <mergeCell ref="E833:E835"/>
    <mergeCell ref="F833:F835"/>
    <mergeCell ref="G833:G835"/>
    <mergeCell ref="H833:H835"/>
    <mergeCell ref="I833:I835"/>
    <mergeCell ref="J833:J835"/>
    <mergeCell ref="J830:J832"/>
    <mergeCell ref="K830:K832"/>
    <mergeCell ref="L830:L832"/>
    <mergeCell ref="M830:M832"/>
    <mergeCell ref="N830:N832"/>
    <mergeCell ref="O830:O832"/>
    <mergeCell ref="O827:O829"/>
    <mergeCell ref="Q827:Q829"/>
    <mergeCell ref="A830:A832"/>
    <mergeCell ref="B830:B832"/>
    <mergeCell ref="D830:D832"/>
    <mergeCell ref="E830:E832"/>
    <mergeCell ref="F830:F832"/>
    <mergeCell ref="G830:G832"/>
    <mergeCell ref="H830:H832"/>
    <mergeCell ref="I830:I832"/>
    <mergeCell ref="I827:I829"/>
    <mergeCell ref="J827:J829"/>
    <mergeCell ref="K827:K829"/>
    <mergeCell ref="L827:L829"/>
    <mergeCell ref="M827:M829"/>
    <mergeCell ref="N827:N829"/>
    <mergeCell ref="N824:N826"/>
    <mergeCell ref="O824:O826"/>
    <mergeCell ref="Q824:Q826"/>
    <mergeCell ref="A827:A829"/>
    <mergeCell ref="B827:B829"/>
    <mergeCell ref="D827:D829"/>
    <mergeCell ref="E827:E829"/>
    <mergeCell ref="F827:F829"/>
    <mergeCell ref="G827:G829"/>
    <mergeCell ref="H827:H829"/>
    <mergeCell ref="H824:H826"/>
    <mergeCell ref="I824:I826"/>
    <mergeCell ref="J824:J826"/>
    <mergeCell ref="K824:K826"/>
    <mergeCell ref="L824:L826"/>
    <mergeCell ref="M824:M826"/>
    <mergeCell ref="A824:A826"/>
    <mergeCell ref="B824:B826"/>
    <mergeCell ref="D824:D826"/>
    <mergeCell ref="E824:E826"/>
    <mergeCell ref="F824:F826"/>
    <mergeCell ref="G824:G826"/>
    <mergeCell ref="K821:K823"/>
    <mergeCell ref="L821:L823"/>
    <mergeCell ref="M821:M823"/>
    <mergeCell ref="N821:N823"/>
    <mergeCell ref="O821:O823"/>
    <mergeCell ref="Q821:Q823"/>
    <mergeCell ref="Q818:Q820"/>
    <mergeCell ref="A821:A823"/>
    <mergeCell ref="B821:B823"/>
    <mergeCell ref="D821:D823"/>
    <mergeCell ref="E821:E823"/>
    <mergeCell ref="F821:F823"/>
    <mergeCell ref="G821:G823"/>
    <mergeCell ref="H821:H823"/>
    <mergeCell ref="I821:I823"/>
    <mergeCell ref="J821:J823"/>
    <mergeCell ref="J818:J820"/>
    <mergeCell ref="K818:K820"/>
    <mergeCell ref="L818:L820"/>
    <mergeCell ref="M818:M820"/>
    <mergeCell ref="N818:N820"/>
    <mergeCell ref="O818:O820"/>
    <mergeCell ref="O815:O817"/>
    <mergeCell ref="Q815:Q817"/>
    <mergeCell ref="A818:A820"/>
    <mergeCell ref="B818:B820"/>
    <mergeCell ref="D818:D820"/>
    <mergeCell ref="E818:E820"/>
    <mergeCell ref="F818:F820"/>
    <mergeCell ref="G818:G820"/>
    <mergeCell ref="H818:H820"/>
    <mergeCell ref="I818:I820"/>
    <mergeCell ref="I815:I817"/>
    <mergeCell ref="J815:J817"/>
    <mergeCell ref="K815:K817"/>
    <mergeCell ref="L815:L817"/>
    <mergeCell ref="M815:M817"/>
    <mergeCell ref="N815:N817"/>
    <mergeCell ref="O811:O813"/>
    <mergeCell ref="Q811:Q813"/>
    <mergeCell ref="A814:Q814"/>
    <mergeCell ref="A815:A817"/>
    <mergeCell ref="B815:B817"/>
    <mergeCell ref="D815:D817"/>
    <mergeCell ref="E815:E817"/>
    <mergeCell ref="F815:F817"/>
    <mergeCell ref="G815:G817"/>
    <mergeCell ref="H815:H817"/>
    <mergeCell ref="O806:O810"/>
    <mergeCell ref="Q806:Q810"/>
    <mergeCell ref="A811:A813"/>
    <mergeCell ref="D811:D813"/>
    <mergeCell ref="F811:F813"/>
    <mergeCell ref="G811:G813"/>
    <mergeCell ref="K811:K813"/>
    <mergeCell ref="L811:L813"/>
    <mergeCell ref="M811:M813"/>
    <mergeCell ref="N811:N813"/>
    <mergeCell ref="Q803:Q805"/>
    <mergeCell ref="A806:A810"/>
    <mergeCell ref="D806:D810"/>
    <mergeCell ref="F806:F810"/>
    <mergeCell ref="G806:G810"/>
    <mergeCell ref="H806:H810"/>
    <mergeCell ref="K806:K810"/>
    <mergeCell ref="L806:L810"/>
    <mergeCell ref="M806:M810"/>
    <mergeCell ref="N806:N810"/>
    <mergeCell ref="J803:J804"/>
    <mergeCell ref="K803:K805"/>
    <mergeCell ref="L803:L805"/>
    <mergeCell ref="M803:M805"/>
    <mergeCell ref="N803:N805"/>
    <mergeCell ref="O803:O805"/>
    <mergeCell ref="O800:O802"/>
    <mergeCell ref="Q800:Q802"/>
    <mergeCell ref="A803:A805"/>
    <mergeCell ref="B803:B804"/>
    <mergeCell ref="D803:D805"/>
    <mergeCell ref="E803:E804"/>
    <mergeCell ref="F803:F805"/>
    <mergeCell ref="G803:G805"/>
    <mergeCell ref="H803:H805"/>
    <mergeCell ref="I803:I804"/>
    <mergeCell ref="I800:I802"/>
    <mergeCell ref="J800:J802"/>
    <mergeCell ref="K800:K802"/>
    <mergeCell ref="L800:L802"/>
    <mergeCell ref="M800:M802"/>
    <mergeCell ref="N800:N802"/>
    <mergeCell ref="N797:N799"/>
    <mergeCell ref="O797:O799"/>
    <mergeCell ref="Q797:Q799"/>
    <mergeCell ref="A800:A802"/>
    <mergeCell ref="B800:B802"/>
    <mergeCell ref="D800:D802"/>
    <mergeCell ref="E800:E802"/>
    <mergeCell ref="F800:F802"/>
    <mergeCell ref="G800:G802"/>
    <mergeCell ref="H800:H802"/>
    <mergeCell ref="H797:H799"/>
    <mergeCell ref="I797:I799"/>
    <mergeCell ref="J797:J799"/>
    <mergeCell ref="K797:K799"/>
    <mergeCell ref="L797:L799"/>
    <mergeCell ref="M797:M799"/>
    <mergeCell ref="A797:A799"/>
    <mergeCell ref="B797:B799"/>
    <mergeCell ref="D797:D799"/>
    <mergeCell ref="E797:E799"/>
    <mergeCell ref="F797:F799"/>
    <mergeCell ref="G797:G799"/>
    <mergeCell ref="K794:K796"/>
    <mergeCell ref="L794:L796"/>
    <mergeCell ref="M794:M796"/>
    <mergeCell ref="N794:N796"/>
    <mergeCell ref="O794:O796"/>
    <mergeCell ref="Q794:Q796"/>
    <mergeCell ref="Q791:Q793"/>
    <mergeCell ref="A794:A796"/>
    <mergeCell ref="B794:B796"/>
    <mergeCell ref="D794:D796"/>
    <mergeCell ref="E794:E796"/>
    <mergeCell ref="F794:F796"/>
    <mergeCell ref="G794:G796"/>
    <mergeCell ref="H794:H796"/>
    <mergeCell ref="I794:I796"/>
    <mergeCell ref="J794:J796"/>
    <mergeCell ref="J791:J793"/>
    <mergeCell ref="K791:K793"/>
    <mergeCell ref="L791:L793"/>
    <mergeCell ref="M791:M793"/>
    <mergeCell ref="N791:N793"/>
    <mergeCell ref="O791:O793"/>
    <mergeCell ref="O788:O790"/>
    <mergeCell ref="Q788:Q790"/>
    <mergeCell ref="A791:A793"/>
    <mergeCell ref="B791:B793"/>
    <mergeCell ref="D791:D793"/>
    <mergeCell ref="E791:E793"/>
    <mergeCell ref="F791:F793"/>
    <mergeCell ref="G791:G793"/>
    <mergeCell ref="H791:H793"/>
    <mergeCell ref="I791:I793"/>
    <mergeCell ref="I788:I790"/>
    <mergeCell ref="J788:J790"/>
    <mergeCell ref="K788:K790"/>
    <mergeCell ref="L788:L790"/>
    <mergeCell ref="M788:M790"/>
    <mergeCell ref="N788:N790"/>
    <mergeCell ref="N785:N787"/>
    <mergeCell ref="O785:O787"/>
    <mergeCell ref="Q785:Q787"/>
    <mergeCell ref="A788:A790"/>
    <mergeCell ref="B788:B790"/>
    <mergeCell ref="D788:D790"/>
    <mergeCell ref="E788:E790"/>
    <mergeCell ref="F788:F790"/>
    <mergeCell ref="G788:G790"/>
    <mergeCell ref="H788:H790"/>
    <mergeCell ref="H785:H787"/>
    <mergeCell ref="I785:I787"/>
    <mergeCell ref="J785:J787"/>
    <mergeCell ref="K785:K787"/>
    <mergeCell ref="L785:L787"/>
    <mergeCell ref="M785:M787"/>
    <mergeCell ref="A785:A787"/>
    <mergeCell ref="B785:B787"/>
    <mergeCell ref="D785:D787"/>
    <mergeCell ref="E785:E787"/>
    <mergeCell ref="F785:F787"/>
    <mergeCell ref="G785:G787"/>
    <mergeCell ref="K782:K784"/>
    <mergeCell ref="L782:L784"/>
    <mergeCell ref="M782:M784"/>
    <mergeCell ref="N782:N784"/>
    <mergeCell ref="O782:O784"/>
    <mergeCell ref="Q782:Q784"/>
    <mergeCell ref="Q779:Q781"/>
    <mergeCell ref="A782:A784"/>
    <mergeCell ref="B782:B784"/>
    <mergeCell ref="D782:D784"/>
    <mergeCell ref="E782:E784"/>
    <mergeCell ref="F782:F784"/>
    <mergeCell ref="G782:G784"/>
    <mergeCell ref="H782:H784"/>
    <mergeCell ref="I782:I784"/>
    <mergeCell ref="J782:J784"/>
    <mergeCell ref="J779:J781"/>
    <mergeCell ref="K779:K781"/>
    <mergeCell ref="L779:L781"/>
    <mergeCell ref="M779:M781"/>
    <mergeCell ref="N779:N781"/>
    <mergeCell ref="O779:O781"/>
    <mergeCell ref="O776:O778"/>
    <mergeCell ref="Q776:Q778"/>
    <mergeCell ref="A779:A781"/>
    <mergeCell ref="B779:B781"/>
    <mergeCell ref="D779:D781"/>
    <mergeCell ref="E779:E781"/>
    <mergeCell ref="F779:F781"/>
    <mergeCell ref="G779:G781"/>
    <mergeCell ref="H779:H781"/>
    <mergeCell ref="I779:I781"/>
    <mergeCell ref="I776:I778"/>
    <mergeCell ref="J776:J778"/>
    <mergeCell ref="K776:K778"/>
    <mergeCell ref="L776:L778"/>
    <mergeCell ref="M776:M778"/>
    <mergeCell ref="N776:N778"/>
    <mergeCell ref="N773:N775"/>
    <mergeCell ref="O773:O775"/>
    <mergeCell ref="Q773:Q775"/>
    <mergeCell ref="A776:A778"/>
    <mergeCell ref="B776:B778"/>
    <mergeCell ref="D776:D778"/>
    <mergeCell ref="E776:E778"/>
    <mergeCell ref="F776:F778"/>
    <mergeCell ref="G776:G778"/>
    <mergeCell ref="H776:H778"/>
    <mergeCell ref="H773:H775"/>
    <mergeCell ref="I773:I775"/>
    <mergeCell ref="J773:J775"/>
    <mergeCell ref="K773:K775"/>
    <mergeCell ref="L773:L775"/>
    <mergeCell ref="M773:M775"/>
    <mergeCell ref="A773:A775"/>
    <mergeCell ref="B773:B775"/>
    <mergeCell ref="D773:D775"/>
    <mergeCell ref="E773:E775"/>
    <mergeCell ref="F773:F775"/>
    <mergeCell ref="G773:G775"/>
    <mergeCell ref="K770:K772"/>
    <mergeCell ref="L770:L772"/>
    <mergeCell ref="M770:M772"/>
    <mergeCell ref="N770:N772"/>
    <mergeCell ref="O770:O772"/>
    <mergeCell ref="Q770:Q772"/>
    <mergeCell ref="Q767:Q769"/>
    <mergeCell ref="A770:A772"/>
    <mergeCell ref="B770:B772"/>
    <mergeCell ref="D770:D772"/>
    <mergeCell ref="E770:E772"/>
    <mergeCell ref="F770:F772"/>
    <mergeCell ref="G770:G772"/>
    <mergeCell ref="H770:H772"/>
    <mergeCell ref="I770:I772"/>
    <mergeCell ref="J770:J772"/>
    <mergeCell ref="J767:J769"/>
    <mergeCell ref="K767:K769"/>
    <mergeCell ref="L767:L769"/>
    <mergeCell ref="M767:M769"/>
    <mergeCell ref="N767:N769"/>
    <mergeCell ref="O767:O769"/>
    <mergeCell ref="O764:O766"/>
    <mergeCell ref="Q764:Q766"/>
    <mergeCell ref="A767:A769"/>
    <mergeCell ref="B767:B769"/>
    <mergeCell ref="D767:D769"/>
    <mergeCell ref="E767:E769"/>
    <mergeCell ref="F767:F769"/>
    <mergeCell ref="G767:G769"/>
    <mergeCell ref="H767:H769"/>
    <mergeCell ref="I767:I769"/>
    <mergeCell ref="I764:I766"/>
    <mergeCell ref="J764:J766"/>
    <mergeCell ref="K764:K766"/>
    <mergeCell ref="L764:L766"/>
    <mergeCell ref="M764:M766"/>
    <mergeCell ref="N764:N766"/>
    <mergeCell ref="N761:N763"/>
    <mergeCell ref="O761:O763"/>
    <mergeCell ref="Q761:Q763"/>
    <mergeCell ref="A764:A766"/>
    <mergeCell ref="B764:B766"/>
    <mergeCell ref="D764:D766"/>
    <mergeCell ref="E764:E766"/>
    <mergeCell ref="F764:F766"/>
    <mergeCell ref="G764:G766"/>
    <mergeCell ref="H764:H766"/>
    <mergeCell ref="H761:H763"/>
    <mergeCell ref="I761:I763"/>
    <mergeCell ref="J761:J763"/>
    <mergeCell ref="K761:K763"/>
    <mergeCell ref="L761:L763"/>
    <mergeCell ref="M761:M763"/>
    <mergeCell ref="A761:A763"/>
    <mergeCell ref="B761:B763"/>
    <mergeCell ref="D761:D763"/>
    <mergeCell ref="E761:E763"/>
    <mergeCell ref="F761:F763"/>
    <mergeCell ref="G761:G763"/>
    <mergeCell ref="K758:K760"/>
    <mergeCell ref="L758:L760"/>
    <mergeCell ref="M758:M760"/>
    <mergeCell ref="N758:N760"/>
    <mergeCell ref="O758:O760"/>
    <mergeCell ref="Q758:Q760"/>
    <mergeCell ref="Q755:Q757"/>
    <mergeCell ref="A758:A760"/>
    <mergeCell ref="B758:B760"/>
    <mergeCell ref="D758:D760"/>
    <mergeCell ref="E758:E760"/>
    <mergeCell ref="F758:F760"/>
    <mergeCell ref="G758:G760"/>
    <mergeCell ref="H758:H760"/>
    <mergeCell ref="I758:I760"/>
    <mergeCell ref="J758:J760"/>
    <mergeCell ref="J755:J757"/>
    <mergeCell ref="K755:K757"/>
    <mergeCell ref="L755:L757"/>
    <mergeCell ref="M755:M757"/>
    <mergeCell ref="N755:N757"/>
    <mergeCell ref="O755:O757"/>
    <mergeCell ref="O752:O754"/>
    <mergeCell ref="Q752:Q754"/>
    <mergeCell ref="A755:A757"/>
    <mergeCell ref="B755:B757"/>
    <mergeCell ref="D755:D757"/>
    <mergeCell ref="E755:E757"/>
    <mergeCell ref="F755:F757"/>
    <mergeCell ref="G755:G757"/>
    <mergeCell ref="H755:H757"/>
    <mergeCell ref="I755:I757"/>
    <mergeCell ref="I752:I754"/>
    <mergeCell ref="J752:J754"/>
    <mergeCell ref="K752:K754"/>
    <mergeCell ref="L752:L754"/>
    <mergeCell ref="M752:M754"/>
    <mergeCell ref="N752:N754"/>
    <mergeCell ref="N749:N751"/>
    <mergeCell ref="O749:O751"/>
    <mergeCell ref="Q749:Q751"/>
    <mergeCell ref="A752:A754"/>
    <mergeCell ref="B752:B754"/>
    <mergeCell ref="D752:D754"/>
    <mergeCell ref="E752:E754"/>
    <mergeCell ref="F752:F754"/>
    <mergeCell ref="G752:G754"/>
    <mergeCell ref="H752:H754"/>
    <mergeCell ref="H749:H751"/>
    <mergeCell ref="I749:I751"/>
    <mergeCell ref="J749:J751"/>
    <mergeCell ref="K749:K751"/>
    <mergeCell ref="L749:L751"/>
    <mergeCell ref="M749:M751"/>
    <mergeCell ref="A749:A751"/>
    <mergeCell ref="B749:B751"/>
    <mergeCell ref="D749:D751"/>
    <mergeCell ref="E749:E751"/>
    <mergeCell ref="F749:F751"/>
    <mergeCell ref="G749:G751"/>
    <mergeCell ref="K746:K748"/>
    <mergeCell ref="L746:L748"/>
    <mergeCell ref="M746:M748"/>
    <mergeCell ref="N746:N748"/>
    <mergeCell ref="O746:O748"/>
    <mergeCell ref="Q746:Q748"/>
    <mergeCell ref="Q743:Q745"/>
    <mergeCell ref="A746:A748"/>
    <mergeCell ref="B746:B748"/>
    <mergeCell ref="D746:D748"/>
    <mergeCell ref="E746:E748"/>
    <mergeCell ref="F746:F748"/>
    <mergeCell ref="G746:G748"/>
    <mergeCell ref="H746:H748"/>
    <mergeCell ref="I746:I748"/>
    <mergeCell ref="J746:J748"/>
    <mergeCell ref="J743:J745"/>
    <mergeCell ref="K743:K745"/>
    <mergeCell ref="L743:L745"/>
    <mergeCell ref="M743:M745"/>
    <mergeCell ref="N743:N745"/>
    <mergeCell ref="O743:O745"/>
    <mergeCell ref="Q739:Q741"/>
    <mergeCell ref="A742:Q742"/>
    <mergeCell ref="A743:A745"/>
    <mergeCell ref="B743:B745"/>
    <mergeCell ref="D743:D745"/>
    <mergeCell ref="E743:E745"/>
    <mergeCell ref="F743:F745"/>
    <mergeCell ref="G743:G745"/>
    <mergeCell ref="H743:H745"/>
    <mergeCell ref="I743:I745"/>
    <mergeCell ref="J739:J741"/>
    <mergeCell ref="K739:K741"/>
    <mergeCell ref="L739:L741"/>
    <mergeCell ref="M739:M741"/>
    <mergeCell ref="N739:N741"/>
    <mergeCell ref="O739:O741"/>
    <mergeCell ref="O736:O738"/>
    <mergeCell ref="Q736:Q738"/>
    <mergeCell ref="A739:A741"/>
    <mergeCell ref="B739:B741"/>
    <mergeCell ref="D739:D741"/>
    <mergeCell ref="E739:E741"/>
    <mergeCell ref="F739:F741"/>
    <mergeCell ref="G739:G741"/>
    <mergeCell ref="H739:H741"/>
    <mergeCell ref="I739:I741"/>
    <mergeCell ref="I736:I738"/>
    <mergeCell ref="J736:J738"/>
    <mergeCell ref="K736:K738"/>
    <mergeCell ref="L736:L738"/>
    <mergeCell ref="M736:M738"/>
    <mergeCell ref="N736:N738"/>
    <mergeCell ref="N733:N735"/>
    <mergeCell ref="O733:O735"/>
    <mergeCell ref="Q733:Q735"/>
    <mergeCell ref="A736:A738"/>
    <mergeCell ref="B736:B738"/>
    <mergeCell ref="D736:D738"/>
    <mergeCell ref="E736:E738"/>
    <mergeCell ref="F736:F738"/>
    <mergeCell ref="G736:G738"/>
    <mergeCell ref="H736:H738"/>
    <mergeCell ref="H733:H735"/>
    <mergeCell ref="I733:I735"/>
    <mergeCell ref="J733:J735"/>
    <mergeCell ref="K733:K735"/>
    <mergeCell ref="L733:L735"/>
    <mergeCell ref="M733:M735"/>
    <mergeCell ref="A733:A735"/>
    <mergeCell ref="B733:B735"/>
    <mergeCell ref="D733:D735"/>
    <mergeCell ref="E733:E735"/>
    <mergeCell ref="F733:F735"/>
    <mergeCell ref="G733:G735"/>
    <mergeCell ref="K730:K732"/>
    <mergeCell ref="L730:L732"/>
    <mergeCell ref="M730:M732"/>
    <mergeCell ref="N730:N732"/>
    <mergeCell ref="O730:O732"/>
    <mergeCell ref="Q730:Q732"/>
    <mergeCell ref="Q727:Q729"/>
    <mergeCell ref="A730:A732"/>
    <mergeCell ref="B730:B732"/>
    <mergeCell ref="D730:D732"/>
    <mergeCell ref="E730:E732"/>
    <mergeCell ref="F730:F732"/>
    <mergeCell ref="G730:G732"/>
    <mergeCell ref="H730:H732"/>
    <mergeCell ref="I730:I732"/>
    <mergeCell ref="J730:J732"/>
    <mergeCell ref="J727:J729"/>
    <mergeCell ref="K727:K729"/>
    <mergeCell ref="L727:L729"/>
    <mergeCell ref="M727:M729"/>
    <mergeCell ref="N727:N729"/>
    <mergeCell ref="O727:O729"/>
    <mergeCell ref="O724:O726"/>
    <mergeCell ref="Q724:Q726"/>
    <mergeCell ref="A727:A729"/>
    <mergeCell ref="B727:B729"/>
    <mergeCell ref="D727:D729"/>
    <mergeCell ref="E727:E729"/>
    <mergeCell ref="F727:F729"/>
    <mergeCell ref="G727:G729"/>
    <mergeCell ref="H727:H729"/>
    <mergeCell ref="I727:I729"/>
    <mergeCell ref="I724:I726"/>
    <mergeCell ref="J724:J726"/>
    <mergeCell ref="K724:K726"/>
    <mergeCell ref="L724:L726"/>
    <mergeCell ref="M724:M726"/>
    <mergeCell ref="N724:N726"/>
    <mergeCell ref="N721:N723"/>
    <mergeCell ref="O721:O723"/>
    <mergeCell ref="Q721:Q723"/>
    <mergeCell ref="A724:A726"/>
    <mergeCell ref="B724:B726"/>
    <mergeCell ref="D724:D726"/>
    <mergeCell ref="E724:E726"/>
    <mergeCell ref="F724:F726"/>
    <mergeCell ref="G724:G726"/>
    <mergeCell ref="H724:H726"/>
    <mergeCell ref="H721:H723"/>
    <mergeCell ref="I721:I723"/>
    <mergeCell ref="J721:J723"/>
    <mergeCell ref="K721:K723"/>
    <mergeCell ref="L721:L723"/>
    <mergeCell ref="M721:M723"/>
    <mergeCell ref="A721:A723"/>
    <mergeCell ref="B721:B723"/>
    <mergeCell ref="D721:D723"/>
    <mergeCell ref="E721:E723"/>
    <mergeCell ref="F721:F723"/>
    <mergeCell ref="G721:G723"/>
    <mergeCell ref="K718:K720"/>
    <mergeCell ref="L718:L720"/>
    <mergeCell ref="M718:M720"/>
    <mergeCell ref="N718:N720"/>
    <mergeCell ref="O718:O720"/>
    <mergeCell ref="Q718:Q720"/>
    <mergeCell ref="Q715:Q717"/>
    <mergeCell ref="A718:A720"/>
    <mergeCell ref="B718:B720"/>
    <mergeCell ref="D718:D720"/>
    <mergeCell ref="E718:E720"/>
    <mergeCell ref="F718:F720"/>
    <mergeCell ref="G718:G720"/>
    <mergeCell ref="H718:H720"/>
    <mergeCell ref="I718:I720"/>
    <mergeCell ref="J718:J720"/>
    <mergeCell ref="J715:J717"/>
    <mergeCell ref="K715:K717"/>
    <mergeCell ref="L715:L717"/>
    <mergeCell ref="M715:M717"/>
    <mergeCell ref="N715:N717"/>
    <mergeCell ref="O715:O717"/>
    <mergeCell ref="O712:O714"/>
    <mergeCell ref="Q712:Q714"/>
    <mergeCell ref="A715:A717"/>
    <mergeCell ref="B715:B717"/>
    <mergeCell ref="D715:D717"/>
    <mergeCell ref="E715:E717"/>
    <mergeCell ref="F715:F717"/>
    <mergeCell ref="G715:G717"/>
    <mergeCell ref="H715:H717"/>
    <mergeCell ref="I715:I717"/>
    <mergeCell ref="I712:I714"/>
    <mergeCell ref="J712:J714"/>
    <mergeCell ref="K712:K714"/>
    <mergeCell ref="L712:L714"/>
    <mergeCell ref="M712:M714"/>
    <mergeCell ref="N712:N714"/>
    <mergeCell ref="B710:B711"/>
    <mergeCell ref="E710:E711"/>
    <mergeCell ref="I710:I711"/>
    <mergeCell ref="A712:A714"/>
    <mergeCell ref="B712:B714"/>
    <mergeCell ref="D712:D714"/>
    <mergeCell ref="E712:E714"/>
    <mergeCell ref="F712:F714"/>
    <mergeCell ref="G712:G714"/>
    <mergeCell ref="H712:H714"/>
    <mergeCell ref="N701:N711"/>
    <mergeCell ref="O701:O711"/>
    <mergeCell ref="Q701:Q711"/>
    <mergeCell ref="C704:C711"/>
    <mergeCell ref="B706:B707"/>
    <mergeCell ref="E706:E707"/>
    <mergeCell ref="I706:I707"/>
    <mergeCell ref="B708:B709"/>
    <mergeCell ref="E708:E709"/>
    <mergeCell ref="I708:I709"/>
    <mergeCell ref="O698:O700"/>
    <mergeCell ref="Q698:Q700"/>
    <mergeCell ref="A701:A711"/>
    <mergeCell ref="D701:D711"/>
    <mergeCell ref="F701:F711"/>
    <mergeCell ref="G701:G711"/>
    <mergeCell ref="H701:H711"/>
    <mergeCell ref="K701:K711"/>
    <mergeCell ref="L701:L711"/>
    <mergeCell ref="M701:M711"/>
    <mergeCell ref="I698:I700"/>
    <mergeCell ref="J698:J700"/>
    <mergeCell ref="K698:K700"/>
    <mergeCell ref="L698:L700"/>
    <mergeCell ref="M698:M700"/>
    <mergeCell ref="N698:N700"/>
    <mergeCell ref="N695:N697"/>
    <mergeCell ref="O695:O697"/>
    <mergeCell ref="Q695:Q697"/>
    <mergeCell ref="A698:A700"/>
    <mergeCell ref="B698:B700"/>
    <mergeCell ref="D698:D700"/>
    <mergeCell ref="E698:E700"/>
    <mergeCell ref="F698:F700"/>
    <mergeCell ref="G698:G700"/>
    <mergeCell ref="H698:H700"/>
    <mergeCell ref="H695:H697"/>
    <mergeCell ref="I695:I697"/>
    <mergeCell ref="J695:J697"/>
    <mergeCell ref="K695:K697"/>
    <mergeCell ref="L695:L697"/>
    <mergeCell ref="M695:M697"/>
    <mergeCell ref="A695:A697"/>
    <mergeCell ref="B695:B697"/>
    <mergeCell ref="D695:D697"/>
    <mergeCell ref="E695:E697"/>
    <mergeCell ref="F695:F697"/>
    <mergeCell ref="G695:G697"/>
    <mergeCell ref="K692:K694"/>
    <mergeCell ref="L692:L694"/>
    <mergeCell ref="M692:M694"/>
    <mergeCell ref="N692:N694"/>
    <mergeCell ref="O692:O694"/>
    <mergeCell ref="Q692:Q694"/>
    <mergeCell ref="Q689:Q691"/>
    <mergeCell ref="A692:A694"/>
    <mergeCell ref="B692:B694"/>
    <mergeCell ref="D692:D694"/>
    <mergeCell ref="E692:E694"/>
    <mergeCell ref="F692:F694"/>
    <mergeCell ref="G692:G694"/>
    <mergeCell ref="H692:H694"/>
    <mergeCell ref="I692:I694"/>
    <mergeCell ref="J692:J694"/>
    <mergeCell ref="J689:J691"/>
    <mergeCell ref="K689:K691"/>
    <mergeCell ref="L689:L691"/>
    <mergeCell ref="M689:M691"/>
    <mergeCell ref="N689:N691"/>
    <mergeCell ref="O689:O691"/>
    <mergeCell ref="O686:O688"/>
    <mergeCell ref="Q686:Q688"/>
    <mergeCell ref="A689:A691"/>
    <mergeCell ref="B689:B691"/>
    <mergeCell ref="D689:D691"/>
    <mergeCell ref="E689:E691"/>
    <mergeCell ref="F689:F691"/>
    <mergeCell ref="G689:G691"/>
    <mergeCell ref="H689:H691"/>
    <mergeCell ref="I689:I691"/>
    <mergeCell ref="I686:I688"/>
    <mergeCell ref="J686:J688"/>
    <mergeCell ref="K686:K688"/>
    <mergeCell ref="L686:L688"/>
    <mergeCell ref="M686:M688"/>
    <mergeCell ref="N686:N688"/>
    <mergeCell ref="N683:N685"/>
    <mergeCell ref="O683:O685"/>
    <mergeCell ref="Q683:Q685"/>
    <mergeCell ref="A686:A688"/>
    <mergeCell ref="B686:B688"/>
    <mergeCell ref="D686:D688"/>
    <mergeCell ref="E686:E688"/>
    <mergeCell ref="F686:F688"/>
    <mergeCell ref="G686:G688"/>
    <mergeCell ref="H686:H688"/>
    <mergeCell ref="H683:H685"/>
    <mergeCell ref="I683:I685"/>
    <mergeCell ref="J683:J685"/>
    <mergeCell ref="K683:K685"/>
    <mergeCell ref="L683:L685"/>
    <mergeCell ref="M683:M685"/>
    <mergeCell ref="A683:A685"/>
    <mergeCell ref="B683:B685"/>
    <mergeCell ref="D683:D685"/>
    <mergeCell ref="E683:E685"/>
    <mergeCell ref="F683:F685"/>
    <mergeCell ref="G683:G685"/>
    <mergeCell ref="K680:K682"/>
    <mergeCell ref="L680:L682"/>
    <mergeCell ref="M680:M682"/>
    <mergeCell ref="N680:N682"/>
    <mergeCell ref="O680:O682"/>
    <mergeCell ref="Q680:Q682"/>
    <mergeCell ref="A679:Q679"/>
    <mergeCell ref="A680:A682"/>
    <mergeCell ref="B680:B682"/>
    <mergeCell ref="D680:D682"/>
    <mergeCell ref="E680:E682"/>
    <mergeCell ref="F680:F682"/>
    <mergeCell ref="G680:G682"/>
    <mergeCell ref="H680:H682"/>
    <mergeCell ref="I680:I682"/>
    <mergeCell ref="J680:J682"/>
    <mergeCell ref="K676:K678"/>
    <mergeCell ref="L676:L678"/>
    <mergeCell ref="M676:M678"/>
    <mergeCell ref="N676:N678"/>
    <mergeCell ref="O676:O678"/>
    <mergeCell ref="Q676:Q678"/>
    <mergeCell ref="Q673:Q675"/>
    <mergeCell ref="A676:A678"/>
    <mergeCell ref="B676:B678"/>
    <mergeCell ref="D676:D678"/>
    <mergeCell ref="E676:E678"/>
    <mergeCell ref="F676:F678"/>
    <mergeCell ref="G676:G678"/>
    <mergeCell ref="H676:H678"/>
    <mergeCell ref="I676:I678"/>
    <mergeCell ref="J676:J678"/>
    <mergeCell ref="J673:J675"/>
    <mergeCell ref="K673:K675"/>
    <mergeCell ref="L673:L675"/>
    <mergeCell ref="M673:M675"/>
    <mergeCell ref="N673:N675"/>
    <mergeCell ref="O673:O675"/>
    <mergeCell ref="O670:O672"/>
    <mergeCell ref="Q670:Q672"/>
    <mergeCell ref="A673:A675"/>
    <mergeCell ref="B673:B675"/>
    <mergeCell ref="D673:D675"/>
    <mergeCell ref="E673:E675"/>
    <mergeCell ref="F673:F675"/>
    <mergeCell ref="G673:G675"/>
    <mergeCell ref="H673:H675"/>
    <mergeCell ref="I673:I675"/>
    <mergeCell ref="I670:I672"/>
    <mergeCell ref="J670:J672"/>
    <mergeCell ref="K670:K672"/>
    <mergeCell ref="L670:L672"/>
    <mergeCell ref="M670:M672"/>
    <mergeCell ref="N670:N672"/>
    <mergeCell ref="N667:N669"/>
    <mergeCell ref="O667:O669"/>
    <mergeCell ref="Q667:Q669"/>
    <mergeCell ref="A670:A672"/>
    <mergeCell ref="B670:B672"/>
    <mergeCell ref="D670:D672"/>
    <mergeCell ref="E670:E672"/>
    <mergeCell ref="F670:F672"/>
    <mergeCell ref="G670:G672"/>
    <mergeCell ref="H670:H672"/>
    <mergeCell ref="H667:H669"/>
    <mergeCell ref="I667:I669"/>
    <mergeCell ref="J667:J669"/>
    <mergeCell ref="K667:K669"/>
    <mergeCell ref="L667:L669"/>
    <mergeCell ref="M667:M669"/>
    <mergeCell ref="A667:A669"/>
    <mergeCell ref="B667:B669"/>
    <mergeCell ref="D667:D669"/>
    <mergeCell ref="E667:E669"/>
    <mergeCell ref="F667:F669"/>
    <mergeCell ref="G667:G669"/>
    <mergeCell ref="K664:K666"/>
    <mergeCell ref="L664:L666"/>
    <mergeCell ref="M664:M666"/>
    <mergeCell ref="N664:N666"/>
    <mergeCell ref="O664:O666"/>
    <mergeCell ref="Q664:Q666"/>
    <mergeCell ref="Q661:Q663"/>
    <mergeCell ref="A664:A666"/>
    <mergeCell ref="B664:B666"/>
    <mergeCell ref="D664:D666"/>
    <mergeCell ref="E664:E666"/>
    <mergeCell ref="F664:F666"/>
    <mergeCell ref="G664:G666"/>
    <mergeCell ref="H664:H666"/>
    <mergeCell ref="I664:I666"/>
    <mergeCell ref="J664:J666"/>
    <mergeCell ref="J661:J663"/>
    <mergeCell ref="K661:K663"/>
    <mergeCell ref="L661:L663"/>
    <mergeCell ref="M661:M663"/>
    <mergeCell ref="N661:N663"/>
    <mergeCell ref="O661:O663"/>
    <mergeCell ref="O658:O660"/>
    <mergeCell ref="Q658:Q660"/>
    <mergeCell ref="A661:A663"/>
    <mergeCell ref="B661:B663"/>
    <mergeCell ref="D661:D663"/>
    <mergeCell ref="E661:E663"/>
    <mergeCell ref="F661:F663"/>
    <mergeCell ref="G661:G663"/>
    <mergeCell ref="H661:H663"/>
    <mergeCell ref="I661:I663"/>
    <mergeCell ref="I658:I660"/>
    <mergeCell ref="J658:J660"/>
    <mergeCell ref="K658:K660"/>
    <mergeCell ref="L658:L660"/>
    <mergeCell ref="M658:M660"/>
    <mergeCell ref="N658:N660"/>
    <mergeCell ref="N655:N657"/>
    <mergeCell ref="O655:O657"/>
    <mergeCell ref="Q655:Q657"/>
    <mergeCell ref="A658:A660"/>
    <mergeCell ref="B658:B660"/>
    <mergeCell ref="D658:D660"/>
    <mergeCell ref="E658:E660"/>
    <mergeCell ref="F658:F660"/>
    <mergeCell ref="G658:G660"/>
    <mergeCell ref="H658:H660"/>
    <mergeCell ref="H655:H657"/>
    <mergeCell ref="I655:I657"/>
    <mergeCell ref="J655:J657"/>
    <mergeCell ref="K655:K657"/>
    <mergeCell ref="L655:L657"/>
    <mergeCell ref="M655:M657"/>
    <mergeCell ref="A655:A657"/>
    <mergeCell ref="B655:B657"/>
    <mergeCell ref="D655:D657"/>
    <mergeCell ref="E655:E657"/>
    <mergeCell ref="F655:F657"/>
    <mergeCell ref="G655:G657"/>
    <mergeCell ref="K652:K654"/>
    <mergeCell ref="L652:L654"/>
    <mergeCell ref="M652:M654"/>
    <mergeCell ref="N652:N654"/>
    <mergeCell ref="O652:O654"/>
    <mergeCell ref="Q652:Q654"/>
    <mergeCell ref="Q649:Q651"/>
    <mergeCell ref="A652:A654"/>
    <mergeCell ref="B652:B654"/>
    <mergeCell ref="D652:D654"/>
    <mergeCell ref="E652:E654"/>
    <mergeCell ref="F652:F654"/>
    <mergeCell ref="G652:G654"/>
    <mergeCell ref="H652:H654"/>
    <mergeCell ref="I652:I654"/>
    <mergeCell ref="J652:J654"/>
    <mergeCell ref="J649:J651"/>
    <mergeCell ref="K649:K651"/>
    <mergeCell ref="L649:L651"/>
    <mergeCell ref="M649:M651"/>
    <mergeCell ref="N649:N651"/>
    <mergeCell ref="O649:O651"/>
    <mergeCell ref="O646:O648"/>
    <mergeCell ref="Q646:Q648"/>
    <mergeCell ref="A649:A651"/>
    <mergeCell ref="B649:B651"/>
    <mergeCell ref="D649:D651"/>
    <mergeCell ref="E649:E651"/>
    <mergeCell ref="F649:F651"/>
    <mergeCell ref="G649:G651"/>
    <mergeCell ref="H649:H651"/>
    <mergeCell ref="I649:I651"/>
    <mergeCell ref="I646:I648"/>
    <mergeCell ref="J646:J648"/>
    <mergeCell ref="K646:K648"/>
    <mergeCell ref="L646:L648"/>
    <mergeCell ref="M646:M648"/>
    <mergeCell ref="N646:N648"/>
    <mergeCell ref="N643:N645"/>
    <mergeCell ref="O643:O645"/>
    <mergeCell ref="Q643:Q645"/>
    <mergeCell ref="A646:A648"/>
    <mergeCell ref="B646:B648"/>
    <mergeCell ref="D646:D648"/>
    <mergeCell ref="E646:E648"/>
    <mergeCell ref="F646:F648"/>
    <mergeCell ref="G646:G648"/>
    <mergeCell ref="H646:H648"/>
    <mergeCell ref="H643:H645"/>
    <mergeCell ref="I643:I645"/>
    <mergeCell ref="J643:J645"/>
    <mergeCell ref="K643:K645"/>
    <mergeCell ref="L643:L645"/>
    <mergeCell ref="M643:M645"/>
    <mergeCell ref="A643:A645"/>
    <mergeCell ref="B643:B645"/>
    <mergeCell ref="D643:D645"/>
    <mergeCell ref="E643:E645"/>
    <mergeCell ref="F643:F645"/>
    <mergeCell ref="G643:G645"/>
    <mergeCell ref="K640:K642"/>
    <mergeCell ref="L640:L642"/>
    <mergeCell ref="M640:M642"/>
    <mergeCell ref="N640:N642"/>
    <mergeCell ref="O640:O642"/>
    <mergeCell ref="Q640:Q642"/>
    <mergeCell ref="Q637:Q639"/>
    <mergeCell ref="A640:A642"/>
    <mergeCell ref="B640:B642"/>
    <mergeCell ref="D640:D642"/>
    <mergeCell ref="E640:E642"/>
    <mergeCell ref="F640:F642"/>
    <mergeCell ref="G640:G642"/>
    <mergeCell ref="H640:H642"/>
    <mergeCell ref="I640:I642"/>
    <mergeCell ref="J640:J642"/>
    <mergeCell ref="J637:J639"/>
    <mergeCell ref="K637:K639"/>
    <mergeCell ref="L637:L639"/>
    <mergeCell ref="M637:M639"/>
    <mergeCell ref="N637:N639"/>
    <mergeCell ref="O637:O639"/>
    <mergeCell ref="O634:O636"/>
    <mergeCell ref="Q634:Q636"/>
    <mergeCell ref="A637:A639"/>
    <mergeCell ref="B637:B639"/>
    <mergeCell ref="D637:D639"/>
    <mergeCell ref="E637:E639"/>
    <mergeCell ref="F637:F639"/>
    <mergeCell ref="G637:G639"/>
    <mergeCell ref="H637:H639"/>
    <mergeCell ref="I637:I639"/>
    <mergeCell ref="I634:I636"/>
    <mergeCell ref="J634:J636"/>
    <mergeCell ref="K634:K636"/>
    <mergeCell ref="L634:L636"/>
    <mergeCell ref="M634:M636"/>
    <mergeCell ref="N634:N636"/>
    <mergeCell ref="N631:N633"/>
    <mergeCell ref="O631:O633"/>
    <mergeCell ref="Q631:Q633"/>
    <mergeCell ref="A634:A636"/>
    <mergeCell ref="B634:B636"/>
    <mergeCell ref="D634:D636"/>
    <mergeCell ref="E634:E636"/>
    <mergeCell ref="F634:F636"/>
    <mergeCell ref="G634:G636"/>
    <mergeCell ref="H634:H636"/>
    <mergeCell ref="H631:H633"/>
    <mergeCell ref="I631:I633"/>
    <mergeCell ref="J631:J633"/>
    <mergeCell ref="K631:K633"/>
    <mergeCell ref="L631:L633"/>
    <mergeCell ref="M631:M633"/>
    <mergeCell ref="A631:A633"/>
    <mergeCell ref="B631:B633"/>
    <mergeCell ref="D631:D633"/>
    <mergeCell ref="E631:E633"/>
    <mergeCell ref="F631:F633"/>
    <mergeCell ref="G631:G633"/>
    <mergeCell ref="K628:K630"/>
    <mergeCell ref="L628:L630"/>
    <mergeCell ref="M628:M630"/>
    <mergeCell ref="N628:N630"/>
    <mergeCell ref="O628:O630"/>
    <mergeCell ref="Q628:Q630"/>
    <mergeCell ref="Q625:Q627"/>
    <mergeCell ref="A628:A630"/>
    <mergeCell ref="B628:B629"/>
    <mergeCell ref="D628:D630"/>
    <mergeCell ref="E628:E629"/>
    <mergeCell ref="F628:F630"/>
    <mergeCell ref="G628:G630"/>
    <mergeCell ref="H628:H630"/>
    <mergeCell ref="I628:I629"/>
    <mergeCell ref="J628:J629"/>
    <mergeCell ref="J625:J627"/>
    <mergeCell ref="K625:K627"/>
    <mergeCell ref="L625:L627"/>
    <mergeCell ref="M625:M627"/>
    <mergeCell ref="N625:N627"/>
    <mergeCell ref="O625:O627"/>
    <mergeCell ref="O622:O624"/>
    <mergeCell ref="Q622:Q624"/>
    <mergeCell ref="A625:A627"/>
    <mergeCell ref="B625:B627"/>
    <mergeCell ref="D625:D627"/>
    <mergeCell ref="E625:E627"/>
    <mergeCell ref="F625:F627"/>
    <mergeCell ref="G625:G627"/>
    <mergeCell ref="H625:H627"/>
    <mergeCell ref="I625:I627"/>
    <mergeCell ref="I622:I624"/>
    <mergeCell ref="J622:J624"/>
    <mergeCell ref="K622:K624"/>
    <mergeCell ref="L622:L624"/>
    <mergeCell ref="M622:M624"/>
    <mergeCell ref="N622:N624"/>
    <mergeCell ref="N619:N621"/>
    <mergeCell ref="O619:O621"/>
    <mergeCell ref="Q619:Q621"/>
    <mergeCell ref="A622:A624"/>
    <mergeCell ref="B622:B624"/>
    <mergeCell ref="D622:D624"/>
    <mergeCell ref="E622:E624"/>
    <mergeCell ref="F622:F624"/>
    <mergeCell ref="G622:G624"/>
    <mergeCell ref="H622:H624"/>
    <mergeCell ref="H619:H621"/>
    <mergeCell ref="I619:I621"/>
    <mergeCell ref="J619:J621"/>
    <mergeCell ref="K619:K621"/>
    <mergeCell ref="L619:L621"/>
    <mergeCell ref="M619:M621"/>
    <mergeCell ref="A619:A621"/>
    <mergeCell ref="B619:B621"/>
    <mergeCell ref="D619:D621"/>
    <mergeCell ref="E619:E621"/>
    <mergeCell ref="F619:F621"/>
    <mergeCell ref="G619:G621"/>
    <mergeCell ref="K616:K618"/>
    <mergeCell ref="L616:L618"/>
    <mergeCell ref="M616:M618"/>
    <mergeCell ref="N616:N618"/>
    <mergeCell ref="O616:O618"/>
    <mergeCell ref="Q616:Q618"/>
    <mergeCell ref="Q613:Q615"/>
    <mergeCell ref="A616:A618"/>
    <mergeCell ref="B616:B618"/>
    <mergeCell ref="D616:D618"/>
    <mergeCell ref="E616:E618"/>
    <mergeCell ref="F616:F618"/>
    <mergeCell ref="G616:G618"/>
    <mergeCell ref="H616:H618"/>
    <mergeCell ref="I616:I618"/>
    <mergeCell ref="J616:J618"/>
    <mergeCell ref="J613:J614"/>
    <mergeCell ref="K613:K615"/>
    <mergeCell ref="L613:L615"/>
    <mergeCell ref="M613:M615"/>
    <mergeCell ref="N613:N615"/>
    <mergeCell ref="O613:O615"/>
    <mergeCell ref="O610:O612"/>
    <mergeCell ref="Q610:Q612"/>
    <mergeCell ref="A613:A615"/>
    <mergeCell ref="B613:B614"/>
    <mergeCell ref="D613:D615"/>
    <mergeCell ref="E613:E614"/>
    <mergeCell ref="F613:F615"/>
    <mergeCell ref="G613:G615"/>
    <mergeCell ref="H613:H615"/>
    <mergeCell ref="I613:I614"/>
    <mergeCell ref="I610:I612"/>
    <mergeCell ref="J610:J612"/>
    <mergeCell ref="K610:K612"/>
    <mergeCell ref="L610:L612"/>
    <mergeCell ref="M610:M612"/>
    <mergeCell ref="N610:N612"/>
    <mergeCell ref="N607:N609"/>
    <mergeCell ref="O607:O609"/>
    <mergeCell ref="Q607:Q609"/>
    <mergeCell ref="A610:A612"/>
    <mergeCell ref="B610:B612"/>
    <mergeCell ref="D610:D612"/>
    <mergeCell ref="E610:E612"/>
    <mergeCell ref="F610:F612"/>
    <mergeCell ref="G610:G612"/>
    <mergeCell ref="H610:H612"/>
    <mergeCell ref="H607:H609"/>
    <mergeCell ref="I607:I609"/>
    <mergeCell ref="J607:J609"/>
    <mergeCell ref="K607:K609"/>
    <mergeCell ref="L607:L609"/>
    <mergeCell ref="M607:M609"/>
    <mergeCell ref="A607:A609"/>
    <mergeCell ref="B607:B609"/>
    <mergeCell ref="D607:D609"/>
    <mergeCell ref="E607:E609"/>
    <mergeCell ref="F607:F609"/>
    <mergeCell ref="G607:G609"/>
    <mergeCell ref="K604:K606"/>
    <mergeCell ref="L604:L606"/>
    <mergeCell ref="M604:M606"/>
    <mergeCell ref="N604:N606"/>
    <mergeCell ref="O604:O606"/>
    <mergeCell ref="Q604:Q606"/>
    <mergeCell ref="Q601:Q603"/>
    <mergeCell ref="A604:A606"/>
    <mergeCell ref="B604:B606"/>
    <mergeCell ref="D604:D606"/>
    <mergeCell ref="E604:E606"/>
    <mergeCell ref="F604:F606"/>
    <mergeCell ref="G604:G606"/>
    <mergeCell ref="H604:H606"/>
    <mergeCell ref="I604:I606"/>
    <mergeCell ref="J604:J606"/>
    <mergeCell ref="J601:J603"/>
    <mergeCell ref="K601:K603"/>
    <mergeCell ref="L601:L603"/>
    <mergeCell ref="M601:M603"/>
    <mergeCell ref="N601:N603"/>
    <mergeCell ref="O601:O603"/>
    <mergeCell ref="O598:O600"/>
    <mergeCell ref="Q598:Q600"/>
    <mergeCell ref="A601:A603"/>
    <mergeCell ref="B601:B603"/>
    <mergeCell ref="D601:D603"/>
    <mergeCell ref="E601:E603"/>
    <mergeCell ref="F601:F603"/>
    <mergeCell ref="G601:G603"/>
    <mergeCell ref="H601:H603"/>
    <mergeCell ref="I601:I603"/>
    <mergeCell ref="I598:I600"/>
    <mergeCell ref="J598:J600"/>
    <mergeCell ref="K598:K600"/>
    <mergeCell ref="L598:L600"/>
    <mergeCell ref="M598:M600"/>
    <mergeCell ref="N598:N600"/>
    <mergeCell ref="N595:N597"/>
    <mergeCell ref="O595:O597"/>
    <mergeCell ref="Q595:Q597"/>
    <mergeCell ref="A598:A600"/>
    <mergeCell ref="B598:B600"/>
    <mergeCell ref="D598:D600"/>
    <mergeCell ref="E598:E600"/>
    <mergeCell ref="F598:F600"/>
    <mergeCell ref="G598:G600"/>
    <mergeCell ref="H598:H600"/>
    <mergeCell ref="H595:H597"/>
    <mergeCell ref="I595:I597"/>
    <mergeCell ref="J595:J597"/>
    <mergeCell ref="K595:K597"/>
    <mergeCell ref="L595:L597"/>
    <mergeCell ref="M595:M597"/>
    <mergeCell ref="A595:A597"/>
    <mergeCell ref="B595:B597"/>
    <mergeCell ref="D595:D597"/>
    <mergeCell ref="E595:E597"/>
    <mergeCell ref="F595:F597"/>
    <mergeCell ref="G595:G597"/>
    <mergeCell ref="K592:K594"/>
    <mergeCell ref="L592:L594"/>
    <mergeCell ref="M592:M594"/>
    <mergeCell ref="N592:N594"/>
    <mergeCell ref="O592:O594"/>
    <mergeCell ref="Q592:Q594"/>
    <mergeCell ref="Q589:Q591"/>
    <mergeCell ref="A592:A594"/>
    <mergeCell ref="B592:B594"/>
    <mergeCell ref="D592:D594"/>
    <mergeCell ref="E592:E594"/>
    <mergeCell ref="F592:F594"/>
    <mergeCell ref="G592:G594"/>
    <mergeCell ref="H592:H594"/>
    <mergeCell ref="I592:I594"/>
    <mergeCell ref="J592:J594"/>
    <mergeCell ref="J589:J591"/>
    <mergeCell ref="K589:K591"/>
    <mergeCell ref="L589:L591"/>
    <mergeCell ref="M589:M591"/>
    <mergeCell ref="N589:N591"/>
    <mergeCell ref="O589:O591"/>
    <mergeCell ref="O586:O588"/>
    <mergeCell ref="Q586:Q588"/>
    <mergeCell ref="A589:A591"/>
    <mergeCell ref="B589:B591"/>
    <mergeCell ref="D589:D591"/>
    <mergeCell ref="E589:E591"/>
    <mergeCell ref="F589:F591"/>
    <mergeCell ref="G589:G591"/>
    <mergeCell ref="H589:H591"/>
    <mergeCell ref="I589:I591"/>
    <mergeCell ref="I586:I588"/>
    <mergeCell ref="J586:J588"/>
    <mergeCell ref="K586:K588"/>
    <mergeCell ref="L586:L588"/>
    <mergeCell ref="M586:M588"/>
    <mergeCell ref="N586:N588"/>
    <mergeCell ref="N583:N585"/>
    <mergeCell ref="O583:O585"/>
    <mergeCell ref="Q583:Q585"/>
    <mergeCell ref="A586:A588"/>
    <mergeCell ref="B586:B588"/>
    <mergeCell ref="D586:D588"/>
    <mergeCell ref="E586:E588"/>
    <mergeCell ref="F586:F588"/>
    <mergeCell ref="G586:G588"/>
    <mergeCell ref="H586:H588"/>
    <mergeCell ref="H583:H585"/>
    <mergeCell ref="I583:I585"/>
    <mergeCell ref="J583:J585"/>
    <mergeCell ref="K583:K585"/>
    <mergeCell ref="L583:L585"/>
    <mergeCell ref="M583:M585"/>
    <mergeCell ref="A583:A585"/>
    <mergeCell ref="B583:B585"/>
    <mergeCell ref="D583:D585"/>
    <mergeCell ref="E583:E585"/>
    <mergeCell ref="F583:F585"/>
    <mergeCell ref="G583:G585"/>
    <mergeCell ref="K580:K582"/>
    <mergeCell ref="L580:L582"/>
    <mergeCell ref="M580:M582"/>
    <mergeCell ref="N580:N582"/>
    <mergeCell ref="O580:O582"/>
    <mergeCell ref="Q580:Q582"/>
    <mergeCell ref="Q577:Q579"/>
    <mergeCell ref="A580:A582"/>
    <mergeCell ref="B580:B582"/>
    <mergeCell ref="D580:D582"/>
    <mergeCell ref="E580:E582"/>
    <mergeCell ref="F580:F582"/>
    <mergeCell ref="G580:G582"/>
    <mergeCell ref="H580:H582"/>
    <mergeCell ref="I580:I582"/>
    <mergeCell ref="J580:J582"/>
    <mergeCell ref="J577:J579"/>
    <mergeCell ref="K577:K579"/>
    <mergeCell ref="L577:L579"/>
    <mergeCell ref="M577:M579"/>
    <mergeCell ref="N577:N579"/>
    <mergeCell ref="O577:O579"/>
    <mergeCell ref="O574:O576"/>
    <mergeCell ref="Q574:Q576"/>
    <mergeCell ref="A577:A579"/>
    <mergeCell ref="B577:B579"/>
    <mergeCell ref="D577:D579"/>
    <mergeCell ref="E577:E579"/>
    <mergeCell ref="F577:F579"/>
    <mergeCell ref="G577:G579"/>
    <mergeCell ref="H577:H579"/>
    <mergeCell ref="I577:I579"/>
    <mergeCell ref="I574:I576"/>
    <mergeCell ref="J574:J576"/>
    <mergeCell ref="K574:K576"/>
    <mergeCell ref="L574:L576"/>
    <mergeCell ref="M574:M576"/>
    <mergeCell ref="N574:N576"/>
    <mergeCell ref="O571:O573"/>
    <mergeCell ref="Q571:Q573"/>
    <mergeCell ref="R573:R575"/>
    <mergeCell ref="A574:A576"/>
    <mergeCell ref="B574:B576"/>
    <mergeCell ref="D574:D576"/>
    <mergeCell ref="E574:E576"/>
    <mergeCell ref="F574:F576"/>
    <mergeCell ref="G574:G576"/>
    <mergeCell ref="H574:H576"/>
    <mergeCell ref="I571:I573"/>
    <mergeCell ref="J571:J573"/>
    <mergeCell ref="K571:K573"/>
    <mergeCell ref="L571:L573"/>
    <mergeCell ref="M571:M573"/>
    <mergeCell ref="N571:N573"/>
    <mergeCell ref="N568:N570"/>
    <mergeCell ref="O568:O570"/>
    <mergeCell ref="Q568:Q570"/>
    <mergeCell ref="A571:A573"/>
    <mergeCell ref="B571:B573"/>
    <mergeCell ref="D571:D573"/>
    <mergeCell ref="E571:E573"/>
    <mergeCell ref="F571:F573"/>
    <mergeCell ref="G571:G573"/>
    <mergeCell ref="H571:H573"/>
    <mergeCell ref="H568:H570"/>
    <mergeCell ref="I568:I570"/>
    <mergeCell ref="J568:J570"/>
    <mergeCell ref="K568:K570"/>
    <mergeCell ref="L568:L570"/>
    <mergeCell ref="M568:M570"/>
    <mergeCell ref="A568:A570"/>
    <mergeCell ref="B568:B570"/>
    <mergeCell ref="D568:D570"/>
    <mergeCell ref="E568:E570"/>
    <mergeCell ref="F568:F570"/>
    <mergeCell ref="G568:G570"/>
    <mergeCell ref="K565:K567"/>
    <mergeCell ref="L565:L567"/>
    <mergeCell ref="M565:M567"/>
    <mergeCell ref="N565:N567"/>
    <mergeCell ref="O565:O567"/>
    <mergeCell ref="Q565:Q567"/>
    <mergeCell ref="Q562:Q564"/>
    <mergeCell ref="A565:A567"/>
    <mergeCell ref="B565:B567"/>
    <mergeCell ref="D565:D567"/>
    <mergeCell ref="E565:E567"/>
    <mergeCell ref="F565:F567"/>
    <mergeCell ref="G565:G567"/>
    <mergeCell ref="H565:H567"/>
    <mergeCell ref="I565:I567"/>
    <mergeCell ref="J565:J567"/>
    <mergeCell ref="J562:J564"/>
    <mergeCell ref="K562:K564"/>
    <mergeCell ref="L562:L564"/>
    <mergeCell ref="M562:M564"/>
    <mergeCell ref="N562:N564"/>
    <mergeCell ref="O562:O564"/>
    <mergeCell ref="O559:O561"/>
    <mergeCell ref="Q559:Q561"/>
    <mergeCell ref="A562:A564"/>
    <mergeCell ref="B562:B564"/>
    <mergeCell ref="D562:D564"/>
    <mergeCell ref="E562:E564"/>
    <mergeCell ref="F562:F564"/>
    <mergeCell ref="G562:G564"/>
    <mergeCell ref="H562:H564"/>
    <mergeCell ref="I562:I564"/>
    <mergeCell ref="I559:I561"/>
    <mergeCell ref="J559:J561"/>
    <mergeCell ref="K559:K561"/>
    <mergeCell ref="L559:L561"/>
    <mergeCell ref="M559:M561"/>
    <mergeCell ref="N559:N561"/>
    <mergeCell ref="N556:N558"/>
    <mergeCell ref="O556:O558"/>
    <mergeCell ref="Q556:Q558"/>
    <mergeCell ref="A559:A561"/>
    <mergeCell ref="B559:B561"/>
    <mergeCell ref="D559:D561"/>
    <mergeCell ref="E559:E561"/>
    <mergeCell ref="F559:F561"/>
    <mergeCell ref="G559:G561"/>
    <mergeCell ref="H559:H561"/>
    <mergeCell ref="H556:H558"/>
    <mergeCell ref="I556:I558"/>
    <mergeCell ref="J556:J558"/>
    <mergeCell ref="K556:K558"/>
    <mergeCell ref="L556:L558"/>
    <mergeCell ref="M556:M558"/>
    <mergeCell ref="A556:A558"/>
    <mergeCell ref="B556:B558"/>
    <mergeCell ref="D556:D558"/>
    <mergeCell ref="E556:E558"/>
    <mergeCell ref="F556:F558"/>
    <mergeCell ref="G556:G558"/>
    <mergeCell ref="K553:K555"/>
    <mergeCell ref="L553:L555"/>
    <mergeCell ref="M553:M555"/>
    <mergeCell ref="N553:N555"/>
    <mergeCell ref="O553:O555"/>
    <mergeCell ref="Q553:Q555"/>
    <mergeCell ref="Q550:Q552"/>
    <mergeCell ref="A553:A555"/>
    <mergeCell ref="B553:B555"/>
    <mergeCell ref="D553:D555"/>
    <mergeCell ref="E553:E555"/>
    <mergeCell ref="F553:F555"/>
    <mergeCell ref="G553:G555"/>
    <mergeCell ref="H553:H555"/>
    <mergeCell ref="I553:I555"/>
    <mergeCell ref="J553:J555"/>
    <mergeCell ref="J550:J552"/>
    <mergeCell ref="K550:K552"/>
    <mergeCell ref="L550:L552"/>
    <mergeCell ref="M550:M552"/>
    <mergeCell ref="N550:N552"/>
    <mergeCell ref="O550:O552"/>
    <mergeCell ref="O547:O549"/>
    <mergeCell ref="Q547:Q549"/>
    <mergeCell ref="A550:A552"/>
    <mergeCell ref="B550:B552"/>
    <mergeCell ref="D550:D552"/>
    <mergeCell ref="E550:E552"/>
    <mergeCell ref="F550:F552"/>
    <mergeCell ref="G550:G552"/>
    <mergeCell ref="H550:H552"/>
    <mergeCell ref="I550:I552"/>
    <mergeCell ref="I547:I549"/>
    <mergeCell ref="J547:J549"/>
    <mergeCell ref="K547:K549"/>
    <mergeCell ref="L547:L549"/>
    <mergeCell ref="M547:M549"/>
    <mergeCell ref="N547:N549"/>
    <mergeCell ref="N544:N546"/>
    <mergeCell ref="O544:O546"/>
    <mergeCell ref="Q544:Q546"/>
    <mergeCell ref="A547:A549"/>
    <mergeCell ref="B547:B549"/>
    <mergeCell ref="D547:D549"/>
    <mergeCell ref="E547:E549"/>
    <mergeCell ref="F547:F549"/>
    <mergeCell ref="G547:G549"/>
    <mergeCell ref="H547:H549"/>
    <mergeCell ref="H544:H546"/>
    <mergeCell ref="I544:I546"/>
    <mergeCell ref="J544:J546"/>
    <mergeCell ref="K544:K546"/>
    <mergeCell ref="L544:L546"/>
    <mergeCell ref="M544:M546"/>
    <mergeCell ref="A544:A546"/>
    <mergeCell ref="B544:B546"/>
    <mergeCell ref="D544:D546"/>
    <mergeCell ref="E544:E546"/>
    <mergeCell ref="F544:F546"/>
    <mergeCell ref="G544:G546"/>
    <mergeCell ref="K541:K543"/>
    <mergeCell ref="L541:L543"/>
    <mergeCell ref="M541:M543"/>
    <mergeCell ref="N541:N543"/>
    <mergeCell ref="O541:O543"/>
    <mergeCell ref="Q541:Q543"/>
    <mergeCell ref="Q538:Q540"/>
    <mergeCell ref="A541:A543"/>
    <mergeCell ref="B541:B543"/>
    <mergeCell ref="D541:D543"/>
    <mergeCell ref="E541:E543"/>
    <mergeCell ref="F541:F543"/>
    <mergeCell ref="G541:G543"/>
    <mergeCell ref="H541:H543"/>
    <mergeCell ref="I541:I543"/>
    <mergeCell ref="J541:J543"/>
    <mergeCell ref="J538:J540"/>
    <mergeCell ref="K538:K540"/>
    <mergeCell ref="L538:L540"/>
    <mergeCell ref="M538:M540"/>
    <mergeCell ref="N538:N540"/>
    <mergeCell ref="O538:O540"/>
    <mergeCell ref="O535:O537"/>
    <mergeCell ref="Q535:Q537"/>
    <mergeCell ref="A538:A540"/>
    <mergeCell ref="B538:B540"/>
    <mergeCell ref="D538:D540"/>
    <mergeCell ref="E538:E540"/>
    <mergeCell ref="F538:F540"/>
    <mergeCell ref="G538:G540"/>
    <mergeCell ref="H538:H540"/>
    <mergeCell ref="I538:I540"/>
    <mergeCell ref="I535:I537"/>
    <mergeCell ref="J535:J537"/>
    <mergeCell ref="K535:K537"/>
    <mergeCell ref="L535:L537"/>
    <mergeCell ref="M535:M537"/>
    <mergeCell ref="N535:N537"/>
    <mergeCell ref="N532:N534"/>
    <mergeCell ref="O532:O534"/>
    <mergeCell ref="Q532:Q534"/>
    <mergeCell ref="A535:A537"/>
    <mergeCell ref="B535:B537"/>
    <mergeCell ref="D535:D537"/>
    <mergeCell ref="E535:E537"/>
    <mergeCell ref="F535:F537"/>
    <mergeCell ref="G535:G537"/>
    <mergeCell ref="H535:H537"/>
    <mergeCell ref="H532:H534"/>
    <mergeCell ref="I532:I534"/>
    <mergeCell ref="J532:J534"/>
    <mergeCell ref="K532:K534"/>
    <mergeCell ref="L532:L534"/>
    <mergeCell ref="M532:M534"/>
    <mergeCell ref="A532:A534"/>
    <mergeCell ref="B532:B534"/>
    <mergeCell ref="D532:D534"/>
    <mergeCell ref="E532:E534"/>
    <mergeCell ref="F532:F534"/>
    <mergeCell ref="G532:G534"/>
    <mergeCell ref="K529:K531"/>
    <mergeCell ref="L529:L531"/>
    <mergeCell ref="M529:M531"/>
    <mergeCell ref="N529:N531"/>
    <mergeCell ref="O529:O531"/>
    <mergeCell ref="Q529:Q531"/>
    <mergeCell ref="Q526:Q528"/>
    <mergeCell ref="A529:A531"/>
    <mergeCell ref="B529:B531"/>
    <mergeCell ref="D529:D531"/>
    <mergeCell ref="E529:E531"/>
    <mergeCell ref="F529:F531"/>
    <mergeCell ref="G529:G531"/>
    <mergeCell ref="H529:H531"/>
    <mergeCell ref="I529:I531"/>
    <mergeCell ref="J529:J531"/>
    <mergeCell ref="J526:J528"/>
    <mergeCell ref="K526:K528"/>
    <mergeCell ref="L526:L528"/>
    <mergeCell ref="M526:M528"/>
    <mergeCell ref="N526:N528"/>
    <mergeCell ref="O526:O528"/>
    <mergeCell ref="O523:O525"/>
    <mergeCell ref="Q523:Q525"/>
    <mergeCell ref="A526:A528"/>
    <mergeCell ref="B526:B528"/>
    <mergeCell ref="D526:D528"/>
    <mergeCell ref="E526:E528"/>
    <mergeCell ref="F526:F528"/>
    <mergeCell ref="G526:G528"/>
    <mergeCell ref="H526:H528"/>
    <mergeCell ref="I526:I528"/>
    <mergeCell ref="I523:I525"/>
    <mergeCell ref="J523:J525"/>
    <mergeCell ref="K523:K525"/>
    <mergeCell ref="L523:L525"/>
    <mergeCell ref="M523:M525"/>
    <mergeCell ref="N523:N525"/>
    <mergeCell ref="N520:N522"/>
    <mergeCell ref="O520:O522"/>
    <mergeCell ref="Q520:Q522"/>
    <mergeCell ref="A523:A525"/>
    <mergeCell ref="B523:B525"/>
    <mergeCell ref="D523:D525"/>
    <mergeCell ref="E523:E525"/>
    <mergeCell ref="F523:F525"/>
    <mergeCell ref="G523:G525"/>
    <mergeCell ref="H523:H525"/>
    <mergeCell ref="H520:H522"/>
    <mergeCell ref="I520:I522"/>
    <mergeCell ref="J520:J522"/>
    <mergeCell ref="K520:K522"/>
    <mergeCell ref="L520:L522"/>
    <mergeCell ref="M520:M522"/>
    <mergeCell ref="A520:A522"/>
    <mergeCell ref="B520:B522"/>
    <mergeCell ref="D520:D522"/>
    <mergeCell ref="E520:E522"/>
    <mergeCell ref="F520:F522"/>
    <mergeCell ref="G520:G522"/>
    <mergeCell ref="K517:K519"/>
    <mergeCell ref="L517:L519"/>
    <mergeCell ref="M517:M519"/>
    <mergeCell ref="N517:N519"/>
    <mergeCell ref="O517:O519"/>
    <mergeCell ref="Q517:Q519"/>
    <mergeCell ref="Q514:Q516"/>
    <mergeCell ref="A517:A519"/>
    <mergeCell ref="B517:B519"/>
    <mergeCell ref="D517:D519"/>
    <mergeCell ref="E517:E519"/>
    <mergeCell ref="F517:F519"/>
    <mergeCell ref="G517:G519"/>
    <mergeCell ref="H517:H519"/>
    <mergeCell ref="I517:I519"/>
    <mergeCell ref="J517:J519"/>
    <mergeCell ref="J514:J516"/>
    <mergeCell ref="K514:K516"/>
    <mergeCell ref="L514:L516"/>
    <mergeCell ref="M514:M516"/>
    <mergeCell ref="N514:N516"/>
    <mergeCell ref="O514:O516"/>
    <mergeCell ref="O511:O513"/>
    <mergeCell ref="Q511:Q513"/>
    <mergeCell ref="A514:A516"/>
    <mergeCell ref="B514:B516"/>
    <mergeCell ref="D514:D516"/>
    <mergeCell ref="E514:E516"/>
    <mergeCell ref="F514:F516"/>
    <mergeCell ref="G514:G516"/>
    <mergeCell ref="H514:H516"/>
    <mergeCell ref="I514:I516"/>
    <mergeCell ref="I511:I513"/>
    <mergeCell ref="J511:J513"/>
    <mergeCell ref="K511:K513"/>
    <mergeCell ref="L511:L513"/>
    <mergeCell ref="M511:M513"/>
    <mergeCell ref="N511:N513"/>
    <mergeCell ref="N508:N510"/>
    <mergeCell ref="O508:O510"/>
    <mergeCell ref="Q508:Q510"/>
    <mergeCell ref="A511:A513"/>
    <mergeCell ref="B511:B513"/>
    <mergeCell ref="D511:D513"/>
    <mergeCell ref="E511:E513"/>
    <mergeCell ref="F511:F513"/>
    <mergeCell ref="G511:G513"/>
    <mergeCell ref="H511:H513"/>
    <mergeCell ref="H508:H510"/>
    <mergeCell ref="I508:I510"/>
    <mergeCell ref="J508:J510"/>
    <mergeCell ref="K508:K510"/>
    <mergeCell ref="L508:L510"/>
    <mergeCell ref="M508:M510"/>
    <mergeCell ref="A508:A510"/>
    <mergeCell ref="B508:B510"/>
    <mergeCell ref="D508:D510"/>
    <mergeCell ref="E508:E510"/>
    <mergeCell ref="F508:F510"/>
    <mergeCell ref="G508:G510"/>
    <mergeCell ref="K505:K507"/>
    <mergeCell ref="L505:L507"/>
    <mergeCell ref="M505:M507"/>
    <mergeCell ref="N505:N507"/>
    <mergeCell ref="O505:O507"/>
    <mergeCell ref="Q505:Q507"/>
    <mergeCell ref="Q502:Q504"/>
    <mergeCell ref="A505:A507"/>
    <mergeCell ref="B505:B507"/>
    <mergeCell ref="D505:D507"/>
    <mergeCell ref="E505:E507"/>
    <mergeCell ref="F505:F507"/>
    <mergeCell ref="G505:G507"/>
    <mergeCell ref="H505:H507"/>
    <mergeCell ref="I505:I507"/>
    <mergeCell ref="J505:J507"/>
    <mergeCell ref="J502:J504"/>
    <mergeCell ref="K502:K504"/>
    <mergeCell ref="L502:L504"/>
    <mergeCell ref="M502:M504"/>
    <mergeCell ref="N502:N504"/>
    <mergeCell ref="O502:O504"/>
    <mergeCell ref="O499:O501"/>
    <mergeCell ref="Q499:Q501"/>
    <mergeCell ref="A502:A504"/>
    <mergeCell ref="B502:B504"/>
    <mergeCell ref="D502:D504"/>
    <mergeCell ref="E502:E504"/>
    <mergeCell ref="F502:F504"/>
    <mergeCell ref="G502:G504"/>
    <mergeCell ref="H502:H504"/>
    <mergeCell ref="I502:I504"/>
    <mergeCell ref="I499:I501"/>
    <mergeCell ref="J499:J501"/>
    <mergeCell ref="K499:K501"/>
    <mergeCell ref="L499:L501"/>
    <mergeCell ref="M499:M501"/>
    <mergeCell ref="N499:N501"/>
    <mergeCell ref="N496:N498"/>
    <mergeCell ref="O496:O498"/>
    <mergeCell ref="Q496:Q498"/>
    <mergeCell ref="A499:A501"/>
    <mergeCell ref="B499:B501"/>
    <mergeCell ref="D499:D501"/>
    <mergeCell ref="E499:E501"/>
    <mergeCell ref="F499:F501"/>
    <mergeCell ref="G499:G501"/>
    <mergeCell ref="H499:H501"/>
    <mergeCell ref="H496:H498"/>
    <mergeCell ref="I496:I498"/>
    <mergeCell ref="J496:J498"/>
    <mergeCell ref="K496:K498"/>
    <mergeCell ref="L496:L498"/>
    <mergeCell ref="M496:M498"/>
    <mergeCell ref="A496:A498"/>
    <mergeCell ref="B496:B498"/>
    <mergeCell ref="D496:D498"/>
    <mergeCell ref="E496:E498"/>
    <mergeCell ref="F496:F498"/>
    <mergeCell ref="G496:G498"/>
    <mergeCell ref="K493:K495"/>
    <mergeCell ref="L493:L495"/>
    <mergeCell ref="M493:M495"/>
    <mergeCell ref="N493:N495"/>
    <mergeCell ref="O493:O495"/>
    <mergeCell ref="Q493:Q495"/>
    <mergeCell ref="Q490:Q492"/>
    <mergeCell ref="A493:A495"/>
    <mergeCell ref="B493:B495"/>
    <mergeCell ref="D493:D495"/>
    <mergeCell ref="E493:E495"/>
    <mergeCell ref="F493:F495"/>
    <mergeCell ref="G493:G495"/>
    <mergeCell ref="H493:H495"/>
    <mergeCell ref="I493:I495"/>
    <mergeCell ref="J493:J495"/>
    <mergeCell ref="J490:J492"/>
    <mergeCell ref="K490:K492"/>
    <mergeCell ref="L490:L492"/>
    <mergeCell ref="M490:M492"/>
    <mergeCell ref="N490:N492"/>
    <mergeCell ref="O490:O492"/>
    <mergeCell ref="O487:O489"/>
    <mergeCell ref="Q487:Q489"/>
    <mergeCell ref="A490:A492"/>
    <mergeCell ref="B490:B492"/>
    <mergeCell ref="D490:D492"/>
    <mergeCell ref="E490:E492"/>
    <mergeCell ref="F490:F492"/>
    <mergeCell ref="G490:G492"/>
    <mergeCell ref="H490:H492"/>
    <mergeCell ref="I490:I492"/>
    <mergeCell ref="I487:I488"/>
    <mergeCell ref="J487:J488"/>
    <mergeCell ref="K487:K488"/>
    <mergeCell ref="L487:L489"/>
    <mergeCell ref="M487:M489"/>
    <mergeCell ref="N487:N489"/>
    <mergeCell ref="N484:N486"/>
    <mergeCell ref="O484:O486"/>
    <mergeCell ref="Q484:Q486"/>
    <mergeCell ref="A487:A489"/>
    <mergeCell ref="B487:B488"/>
    <mergeCell ref="D487:D489"/>
    <mergeCell ref="E487:E488"/>
    <mergeCell ref="F487:F489"/>
    <mergeCell ref="G487:G489"/>
    <mergeCell ref="H487:H489"/>
    <mergeCell ref="H484:H486"/>
    <mergeCell ref="I484:I486"/>
    <mergeCell ref="J484:J486"/>
    <mergeCell ref="K484:K486"/>
    <mergeCell ref="L484:L486"/>
    <mergeCell ref="M484:M486"/>
    <mergeCell ref="A484:A486"/>
    <mergeCell ref="B484:B486"/>
    <mergeCell ref="D484:D486"/>
    <mergeCell ref="E484:E486"/>
    <mergeCell ref="F484:F486"/>
    <mergeCell ref="G484:G486"/>
    <mergeCell ref="K481:K483"/>
    <mergeCell ref="L481:L483"/>
    <mergeCell ref="M481:M483"/>
    <mergeCell ref="N481:N483"/>
    <mergeCell ref="O481:O483"/>
    <mergeCell ref="Q481:Q483"/>
    <mergeCell ref="Q478:Q480"/>
    <mergeCell ref="A481:A483"/>
    <mergeCell ref="B481:B483"/>
    <mergeCell ref="D481:D483"/>
    <mergeCell ref="E481:E483"/>
    <mergeCell ref="F481:F483"/>
    <mergeCell ref="G481:G483"/>
    <mergeCell ref="H481:H483"/>
    <mergeCell ref="I481:I483"/>
    <mergeCell ref="J481:J483"/>
    <mergeCell ref="J478:J480"/>
    <mergeCell ref="K478:K480"/>
    <mergeCell ref="L478:L480"/>
    <mergeCell ref="M478:M480"/>
    <mergeCell ref="N478:N480"/>
    <mergeCell ref="O478:O480"/>
    <mergeCell ref="O475:O477"/>
    <mergeCell ref="Q475:Q477"/>
    <mergeCell ref="A478:A480"/>
    <mergeCell ref="B478:B480"/>
    <mergeCell ref="D478:D480"/>
    <mergeCell ref="E478:E480"/>
    <mergeCell ref="F478:F480"/>
    <mergeCell ref="G478:G480"/>
    <mergeCell ref="H478:H480"/>
    <mergeCell ref="I478:I480"/>
    <mergeCell ref="I475:I477"/>
    <mergeCell ref="J475:J477"/>
    <mergeCell ref="K475:K477"/>
    <mergeCell ref="L475:L477"/>
    <mergeCell ref="M475:M477"/>
    <mergeCell ref="N475:N477"/>
    <mergeCell ref="N472:N474"/>
    <mergeCell ref="O472:O474"/>
    <mergeCell ref="Q472:Q474"/>
    <mergeCell ref="A475:A477"/>
    <mergeCell ref="B475:B477"/>
    <mergeCell ref="D475:D477"/>
    <mergeCell ref="E475:E477"/>
    <mergeCell ref="F475:F477"/>
    <mergeCell ref="G475:G477"/>
    <mergeCell ref="H475:H477"/>
    <mergeCell ref="H472:H474"/>
    <mergeCell ref="I472:I474"/>
    <mergeCell ref="J472:J474"/>
    <mergeCell ref="K472:K474"/>
    <mergeCell ref="L472:L474"/>
    <mergeCell ref="M472:M474"/>
    <mergeCell ref="A472:A474"/>
    <mergeCell ref="B472:B474"/>
    <mergeCell ref="D472:D474"/>
    <mergeCell ref="E472:E474"/>
    <mergeCell ref="F472:F474"/>
    <mergeCell ref="G472:G474"/>
    <mergeCell ref="K469:K471"/>
    <mergeCell ref="L469:L471"/>
    <mergeCell ref="M469:M471"/>
    <mergeCell ref="N469:N471"/>
    <mergeCell ref="O469:O471"/>
    <mergeCell ref="Q469:Q471"/>
    <mergeCell ref="Q466:Q468"/>
    <mergeCell ref="A469:A471"/>
    <mergeCell ref="B469:B471"/>
    <mergeCell ref="D469:D471"/>
    <mergeCell ref="E469:E471"/>
    <mergeCell ref="F469:F471"/>
    <mergeCell ref="G469:G471"/>
    <mergeCell ref="H469:H471"/>
    <mergeCell ref="I469:I471"/>
    <mergeCell ref="J469:J471"/>
    <mergeCell ref="J466:J468"/>
    <mergeCell ref="K466:K468"/>
    <mergeCell ref="L466:L468"/>
    <mergeCell ref="M466:M468"/>
    <mergeCell ref="N466:N468"/>
    <mergeCell ref="O466:O468"/>
    <mergeCell ref="O463:O465"/>
    <mergeCell ref="Q463:Q465"/>
    <mergeCell ref="A466:A468"/>
    <mergeCell ref="B466:B468"/>
    <mergeCell ref="D466:D468"/>
    <mergeCell ref="E466:E468"/>
    <mergeCell ref="F466:F468"/>
    <mergeCell ref="G466:G468"/>
    <mergeCell ref="H466:H468"/>
    <mergeCell ref="I466:I468"/>
    <mergeCell ref="I463:I465"/>
    <mergeCell ref="J463:J465"/>
    <mergeCell ref="K463:K465"/>
    <mergeCell ref="L463:L465"/>
    <mergeCell ref="M463:M465"/>
    <mergeCell ref="N463:N465"/>
    <mergeCell ref="N460:N462"/>
    <mergeCell ref="O460:O462"/>
    <mergeCell ref="Q460:Q462"/>
    <mergeCell ref="A463:A465"/>
    <mergeCell ref="B463:B465"/>
    <mergeCell ref="D463:D465"/>
    <mergeCell ref="E463:E465"/>
    <mergeCell ref="F463:F465"/>
    <mergeCell ref="G463:G465"/>
    <mergeCell ref="H463:H465"/>
    <mergeCell ref="H460:H462"/>
    <mergeCell ref="I460:I462"/>
    <mergeCell ref="J460:J462"/>
    <mergeCell ref="K460:K462"/>
    <mergeCell ref="L460:L462"/>
    <mergeCell ref="M460:M462"/>
    <mergeCell ref="A460:A462"/>
    <mergeCell ref="B460:B462"/>
    <mergeCell ref="D460:D462"/>
    <mergeCell ref="E460:E462"/>
    <mergeCell ref="F460:F462"/>
    <mergeCell ref="G460:G462"/>
    <mergeCell ref="K457:K459"/>
    <mergeCell ref="L457:L459"/>
    <mergeCell ref="M457:M459"/>
    <mergeCell ref="N457:N459"/>
    <mergeCell ref="O457:O459"/>
    <mergeCell ref="Q457:Q459"/>
    <mergeCell ref="Q454:Q456"/>
    <mergeCell ref="A457:A459"/>
    <mergeCell ref="B457:B459"/>
    <mergeCell ref="D457:D459"/>
    <mergeCell ref="E457:E459"/>
    <mergeCell ref="F457:F459"/>
    <mergeCell ref="G457:G459"/>
    <mergeCell ref="H457:H459"/>
    <mergeCell ref="I457:I459"/>
    <mergeCell ref="J457:J459"/>
    <mergeCell ref="J454:J456"/>
    <mergeCell ref="K454:K456"/>
    <mergeCell ref="L454:L456"/>
    <mergeCell ref="M454:M456"/>
    <mergeCell ref="N454:N456"/>
    <mergeCell ref="O454:O456"/>
    <mergeCell ref="O451:O453"/>
    <mergeCell ref="Q451:Q453"/>
    <mergeCell ref="A454:A456"/>
    <mergeCell ref="B454:B456"/>
    <mergeCell ref="D454:D456"/>
    <mergeCell ref="E454:E456"/>
    <mergeCell ref="F454:F456"/>
    <mergeCell ref="G454:G456"/>
    <mergeCell ref="H454:H456"/>
    <mergeCell ref="I454:I456"/>
    <mergeCell ref="I451:I453"/>
    <mergeCell ref="J451:J453"/>
    <mergeCell ref="K451:K453"/>
    <mergeCell ref="L451:L453"/>
    <mergeCell ref="M451:M453"/>
    <mergeCell ref="N451:N453"/>
    <mergeCell ref="N448:N450"/>
    <mergeCell ref="O448:O450"/>
    <mergeCell ref="Q448:Q450"/>
    <mergeCell ref="A451:A453"/>
    <mergeCell ref="B451:B453"/>
    <mergeCell ref="D451:D453"/>
    <mergeCell ref="E451:E453"/>
    <mergeCell ref="F451:F453"/>
    <mergeCell ref="G451:G453"/>
    <mergeCell ref="H451:H453"/>
    <mergeCell ref="H448:H450"/>
    <mergeCell ref="I448:I450"/>
    <mergeCell ref="J448:J450"/>
    <mergeCell ref="K448:K450"/>
    <mergeCell ref="L448:L450"/>
    <mergeCell ref="M448:M450"/>
    <mergeCell ref="A448:A450"/>
    <mergeCell ref="B448:B450"/>
    <mergeCell ref="D448:D450"/>
    <mergeCell ref="E448:E450"/>
    <mergeCell ref="F448:F450"/>
    <mergeCell ref="G448:G450"/>
    <mergeCell ref="K445:K447"/>
    <mergeCell ref="L445:L447"/>
    <mergeCell ref="M445:M447"/>
    <mergeCell ref="N445:N447"/>
    <mergeCell ref="O445:O447"/>
    <mergeCell ref="Q445:Q447"/>
    <mergeCell ref="Q442:Q444"/>
    <mergeCell ref="A445:A447"/>
    <mergeCell ref="B445:B447"/>
    <mergeCell ref="D445:D447"/>
    <mergeCell ref="E445:E447"/>
    <mergeCell ref="F445:F447"/>
    <mergeCell ref="G445:G447"/>
    <mergeCell ref="H445:H447"/>
    <mergeCell ref="I445:I447"/>
    <mergeCell ref="J445:J447"/>
    <mergeCell ref="J442:J444"/>
    <mergeCell ref="K442:K444"/>
    <mergeCell ref="L442:L444"/>
    <mergeCell ref="M442:M444"/>
    <mergeCell ref="N442:N444"/>
    <mergeCell ref="O442:O444"/>
    <mergeCell ref="O439:O441"/>
    <mergeCell ref="Q439:Q441"/>
    <mergeCell ref="A442:A444"/>
    <mergeCell ref="B442:B444"/>
    <mergeCell ref="D442:D444"/>
    <mergeCell ref="E442:E444"/>
    <mergeCell ref="F442:F444"/>
    <mergeCell ref="G442:G444"/>
    <mergeCell ref="H442:H444"/>
    <mergeCell ref="I442:I444"/>
    <mergeCell ref="I439:I440"/>
    <mergeCell ref="J439:J440"/>
    <mergeCell ref="K439:K441"/>
    <mergeCell ref="L439:L441"/>
    <mergeCell ref="M439:M441"/>
    <mergeCell ref="N439:N441"/>
    <mergeCell ref="N436:N438"/>
    <mergeCell ref="O436:O438"/>
    <mergeCell ref="Q436:Q438"/>
    <mergeCell ref="A439:A441"/>
    <mergeCell ref="B439:B440"/>
    <mergeCell ref="D439:D441"/>
    <mergeCell ref="E439:E440"/>
    <mergeCell ref="F439:F441"/>
    <mergeCell ref="G439:G441"/>
    <mergeCell ref="H439:H441"/>
    <mergeCell ref="H436:H438"/>
    <mergeCell ref="I436:I438"/>
    <mergeCell ref="J436:J438"/>
    <mergeCell ref="K436:K438"/>
    <mergeCell ref="L436:L438"/>
    <mergeCell ref="M436:M438"/>
    <mergeCell ref="A436:A438"/>
    <mergeCell ref="B436:B438"/>
    <mergeCell ref="D436:D438"/>
    <mergeCell ref="E436:E438"/>
    <mergeCell ref="F436:F438"/>
    <mergeCell ref="G436:G438"/>
    <mergeCell ref="K433:K435"/>
    <mergeCell ref="L433:L435"/>
    <mergeCell ref="M433:M435"/>
    <mergeCell ref="N433:N435"/>
    <mergeCell ref="O433:O435"/>
    <mergeCell ref="Q433:Q435"/>
    <mergeCell ref="Q430:Q432"/>
    <mergeCell ref="A433:A435"/>
    <mergeCell ref="B433:B435"/>
    <mergeCell ref="D433:D435"/>
    <mergeCell ref="E433:E435"/>
    <mergeCell ref="F433:F435"/>
    <mergeCell ref="G433:G435"/>
    <mergeCell ref="H433:H435"/>
    <mergeCell ref="I433:I435"/>
    <mergeCell ref="J433:J435"/>
    <mergeCell ref="J430:J432"/>
    <mergeCell ref="K430:K432"/>
    <mergeCell ref="L430:L432"/>
    <mergeCell ref="M430:M432"/>
    <mergeCell ref="N430:N432"/>
    <mergeCell ref="O430:O432"/>
    <mergeCell ref="O427:O429"/>
    <mergeCell ref="Q427:Q429"/>
    <mergeCell ref="A430:A432"/>
    <mergeCell ref="B430:B432"/>
    <mergeCell ref="D430:D432"/>
    <mergeCell ref="E430:E432"/>
    <mergeCell ref="F430:F432"/>
    <mergeCell ref="G430:G432"/>
    <mergeCell ref="H430:H432"/>
    <mergeCell ref="I430:I432"/>
    <mergeCell ref="I427:I429"/>
    <mergeCell ref="J427:J429"/>
    <mergeCell ref="K427:K429"/>
    <mergeCell ref="L427:L429"/>
    <mergeCell ref="M427:M429"/>
    <mergeCell ref="N427:N429"/>
    <mergeCell ref="N424:N426"/>
    <mergeCell ref="O424:O426"/>
    <mergeCell ref="Q424:Q426"/>
    <mergeCell ref="A427:A429"/>
    <mergeCell ref="B427:B429"/>
    <mergeCell ref="D427:D429"/>
    <mergeCell ref="E427:E429"/>
    <mergeCell ref="F427:F429"/>
    <mergeCell ref="G427:G429"/>
    <mergeCell ref="H427:H429"/>
    <mergeCell ref="H424:H426"/>
    <mergeCell ref="I424:I426"/>
    <mergeCell ref="J424:J426"/>
    <mergeCell ref="K424:K426"/>
    <mergeCell ref="L424:L426"/>
    <mergeCell ref="M424:M426"/>
    <mergeCell ref="A424:A426"/>
    <mergeCell ref="B424:B426"/>
    <mergeCell ref="D424:D426"/>
    <mergeCell ref="E424:E426"/>
    <mergeCell ref="F424:F426"/>
    <mergeCell ref="G424:G426"/>
    <mergeCell ref="K421:K423"/>
    <mergeCell ref="L421:L423"/>
    <mergeCell ref="M421:M423"/>
    <mergeCell ref="N421:N423"/>
    <mergeCell ref="O421:O423"/>
    <mergeCell ref="Q421:Q423"/>
    <mergeCell ref="Q418:Q419"/>
    <mergeCell ref="A421:A423"/>
    <mergeCell ref="B421:B423"/>
    <mergeCell ref="D421:D423"/>
    <mergeCell ref="E421:E423"/>
    <mergeCell ref="F421:F423"/>
    <mergeCell ref="G421:G423"/>
    <mergeCell ref="H421:H423"/>
    <mergeCell ref="I421:I423"/>
    <mergeCell ref="J421:J423"/>
    <mergeCell ref="J418:J419"/>
    <mergeCell ref="K418:K419"/>
    <mergeCell ref="L418:L420"/>
    <mergeCell ref="M418:M420"/>
    <mergeCell ref="N418:N420"/>
    <mergeCell ref="O418:O420"/>
    <mergeCell ref="O415:O417"/>
    <mergeCell ref="Q415:Q417"/>
    <mergeCell ref="A418:A420"/>
    <mergeCell ref="B418:B419"/>
    <mergeCell ref="D418:D420"/>
    <mergeCell ref="E418:E419"/>
    <mergeCell ref="F418:F420"/>
    <mergeCell ref="G418:G420"/>
    <mergeCell ref="H418:H420"/>
    <mergeCell ref="I418:I419"/>
    <mergeCell ref="I415:I417"/>
    <mergeCell ref="J415:J417"/>
    <mergeCell ref="K415:K417"/>
    <mergeCell ref="L415:L417"/>
    <mergeCell ref="M415:M417"/>
    <mergeCell ref="N415:N417"/>
    <mergeCell ref="N412:N414"/>
    <mergeCell ref="O412:O414"/>
    <mergeCell ref="Q412:Q414"/>
    <mergeCell ref="A415:A417"/>
    <mergeCell ref="B415:B417"/>
    <mergeCell ref="D415:D417"/>
    <mergeCell ref="E415:E417"/>
    <mergeCell ref="F415:F417"/>
    <mergeCell ref="G415:G417"/>
    <mergeCell ref="H415:H417"/>
    <mergeCell ref="H412:H414"/>
    <mergeCell ref="I412:I414"/>
    <mergeCell ref="J412:J414"/>
    <mergeCell ref="K412:K414"/>
    <mergeCell ref="L412:L414"/>
    <mergeCell ref="M412:M414"/>
    <mergeCell ref="A412:A414"/>
    <mergeCell ref="B412:B414"/>
    <mergeCell ref="D412:D414"/>
    <mergeCell ref="E412:E414"/>
    <mergeCell ref="F412:F414"/>
    <mergeCell ref="G412:G414"/>
    <mergeCell ref="K409:K411"/>
    <mergeCell ref="L409:L411"/>
    <mergeCell ref="M409:M411"/>
    <mergeCell ref="N409:N411"/>
    <mergeCell ref="O409:O411"/>
    <mergeCell ref="Q409:Q411"/>
    <mergeCell ref="Q406:Q408"/>
    <mergeCell ref="A409:A411"/>
    <mergeCell ref="B409:B411"/>
    <mergeCell ref="D409:D411"/>
    <mergeCell ref="E409:E411"/>
    <mergeCell ref="F409:F411"/>
    <mergeCell ref="G409:G411"/>
    <mergeCell ref="H409:H411"/>
    <mergeCell ref="I409:I411"/>
    <mergeCell ref="J409:J411"/>
    <mergeCell ref="J406:J408"/>
    <mergeCell ref="K406:K408"/>
    <mergeCell ref="L406:L408"/>
    <mergeCell ref="M406:M408"/>
    <mergeCell ref="N406:N408"/>
    <mergeCell ref="O406:O408"/>
    <mergeCell ref="O403:O405"/>
    <mergeCell ref="Q403:Q405"/>
    <mergeCell ref="A406:A408"/>
    <mergeCell ref="B406:B408"/>
    <mergeCell ref="D406:D408"/>
    <mergeCell ref="E406:E408"/>
    <mergeCell ref="F406:F408"/>
    <mergeCell ref="G406:G408"/>
    <mergeCell ref="H406:H408"/>
    <mergeCell ref="I406:I408"/>
    <mergeCell ref="Q400:Q402"/>
    <mergeCell ref="A403:A405"/>
    <mergeCell ref="D403:D405"/>
    <mergeCell ref="F403:F405"/>
    <mergeCell ref="G403:G405"/>
    <mergeCell ref="H403:H405"/>
    <mergeCell ref="K403:K405"/>
    <mergeCell ref="L403:L405"/>
    <mergeCell ref="M403:M405"/>
    <mergeCell ref="N403:N405"/>
    <mergeCell ref="J400:J402"/>
    <mergeCell ref="K400:K402"/>
    <mergeCell ref="L400:L402"/>
    <mergeCell ref="M400:M402"/>
    <mergeCell ref="N400:N402"/>
    <mergeCell ref="O400:O402"/>
    <mergeCell ref="Q397:Q399"/>
    <mergeCell ref="R397:R406"/>
    <mergeCell ref="A400:A402"/>
    <mergeCell ref="B400:B402"/>
    <mergeCell ref="D400:D402"/>
    <mergeCell ref="E400:E402"/>
    <mergeCell ref="F400:F402"/>
    <mergeCell ref="G400:G402"/>
    <mergeCell ref="H400:H402"/>
    <mergeCell ref="I400:I402"/>
    <mergeCell ref="J397:J399"/>
    <mergeCell ref="K397:K399"/>
    <mergeCell ref="L397:L399"/>
    <mergeCell ref="M397:M399"/>
    <mergeCell ref="N397:N399"/>
    <mergeCell ref="O397:O399"/>
    <mergeCell ref="O394:O396"/>
    <mergeCell ref="Q394:Q396"/>
    <mergeCell ref="A397:A399"/>
    <mergeCell ref="B397:B399"/>
    <mergeCell ref="D397:D399"/>
    <mergeCell ref="E397:E399"/>
    <mergeCell ref="F397:F399"/>
    <mergeCell ref="G397:G399"/>
    <mergeCell ref="H397:H399"/>
    <mergeCell ref="I397:I399"/>
    <mergeCell ref="I394:I396"/>
    <mergeCell ref="J394:J396"/>
    <mergeCell ref="K394:K396"/>
    <mergeCell ref="L394:L396"/>
    <mergeCell ref="M394:M396"/>
    <mergeCell ref="N394:N396"/>
    <mergeCell ref="N391:N393"/>
    <mergeCell ref="O391:O393"/>
    <mergeCell ref="Q391:Q393"/>
    <mergeCell ref="A394:A396"/>
    <mergeCell ref="B394:B396"/>
    <mergeCell ref="D394:D396"/>
    <mergeCell ref="E394:E396"/>
    <mergeCell ref="F394:F396"/>
    <mergeCell ref="G394:G396"/>
    <mergeCell ref="H394:H396"/>
    <mergeCell ref="H391:H393"/>
    <mergeCell ref="I391:I393"/>
    <mergeCell ref="J391:J393"/>
    <mergeCell ref="K391:K393"/>
    <mergeCell ref="L391:L393"/>
    <mergeCell ref="M391:M393"/>
    <mergeCell ref="A391:A393"/>
    <mergeCell ref="B391:B393"/>
    <mergeCell ref="D391:D393"/>
    <mergeCell ref="E391:E393"/>
    <mergeCell ref="F391:F393"/>
    <mergeCell ref="G391:G393"/>
    <mergeCell ref="K388:K390"/>
    <mergeCell ref="L388:L390"/>
    <mergeCell ref="M388:M390"/>
    <mergeCell ref="N388:N390"/>
    <mergeCell ref="O388:O390"/>
    <mergeCell ref="Q388:Q390"/>
    <mergeCell ref="Q385:Q387"/>
    <mergeCell ref="A388:A390"/>
    <mergeCell ref="B388:B390"/>
    <mergeCell ref="D388:D390"/>
    <mergeCell ref="E388:E390"/>
    <mergeCell ref="F388:F390"/>
    <mergeCell ref="G388:G390"/>
    <mergeCell ref="H388:H390"/>
    <mergeCell ref="I388:I390"/>
    <mergeCell ref="J388:J390"/>
    <mergeCell ref="J385:J387"/>
    <mergeCell ref="K385:K387"/>
    <mergeCell ref="L385:L387"/>
    <mergeCell ref="M385:M387"/>
    <mergeCell ref="N385:N387"/>
    <mergeCell ref="O385:O387"/>
    <mergeCell ref="O382:O384"/>
    <mergeCell ref="Q382:Q384"/>
    <mergeCell ref="A385:A387"/>
    <mergeCell ref="B385:B387"/>
    <mergeCell ref="D385:D387"/>
    <mergeCell ref="E385:E387"/>
    <mergeCell ref="F385:F387"/>
    <mergeCell ref="G385:G387"/>
    <mergeCell ref="H385:H387"/>
    <mergeCell ref="I385:I387"/>
    <mergeCell ref="I382:I384"/>
    <mergeCell ref="J382:J384"/>
    <mergeCell ref="K382:K384"/>
    <mergeCell ref="L382:L384"/>
    <mergeCell ref="M382:M384"/>
    <mergeCell ref="N382:N384"/>
    <mergeCell ref="N379:N381"/>
    <mergeCell ref="O379:O381"/>
    <mergeCell ref="Q379:Q381"/>
    <mergeCell ref="A382:A384"/>
    <mergeCell ref="B382:B384"/>
    <mergeCell ref="D382:D384"/>
    <mergeCell ref="E382:E384"/>
    <mergeCell ref="F382:F384"/>
    <mergeCell ref="G382:G384"/>
    <mergeCell ref="H382:H384"/>
    <mergeCell ref="H379:H381"/>
    <mergeCell ref="I379:I381"/>
    <mergeCell ref="J379:J381"/>
    <mergeCell ref="K379:K381"/>
    <mergeCell ref="L379:L381"/>
    <mergeCell ref="M379:M381"/>
    <mergeCell ref="A379:A381"/>
    <mergeCell ref="B379:B381"/>
    <mergeCell ref="D379:D381"/>
    <mergeCell ref="E379:E381"/>
    <mergeCell ref="F379:F381"/>
    <mergeCell ref="G379:G381"/>
    <mergeCell ref="K376:K378"/>
    <mergeCell ref="L376:L378"/>
    <mergeCell ref="M376:M378"/>
    <mergeCell ref="N376:N378"/>
    <mergeCell ref="O376:O378"/>
    <mergeCell ref="Q376:Q378"/>
    <mergeCell ref="Q373:Q375"/>
    <mergeCell ref="A376:A378"/>
    <mergeCell ref="B376:B378"/>
    <mergeCell ref="D376:D378"/>
    <mergeCell ref="E376:E378"/>
    <mergeCell ref="F376:F378"/>
    <mergeCell ref="G376:G378"/>
    <mergeCell ref="H376:H378"/>
    <mergeCell ref="I376:I378"/>
    <mergeCell ref="J376:J378"/>
    <mergeCell ref="J373:J375"/>
    <mergeCell ref="K373:K375"/>
    <mergeCell ref="L373:L375"/>
    <mergeCell ref="M373:M375"/>
    <mergeCell ref="N373:N375"/>
    <mergeCell ref="O373:O375"/>
    <mergeCell ref="O370:O372"/>
    <mergeCell ref="Q370:Q372"/>
    <mergeCell ref="A373:A375"/>
    <mergeCell ref="B373:B375"/>
    <mergeCell ref="D373:D375"/>
    <mergeCell ref="E373:E375"/>
    <mergeCell ref="F373:F375"/>
    <mergeCell ref="G373:G375"/>
    <mergeCell ref="H373:H375"/>
    <mergeCell ref="I373:I375"/>
    <mergeCell ref="I370:I372"/>
    <mergeCell ref="J370:J372"/>
    <mergeCell ref="K370:K372"/>
    <mergeCell ref="L370:L372"/>
    <mergeCell ref="M370:M372"/>
    <mergeCell ref="N370:N372"/>
    <mergeCell ref="N367:N369"/>
    <mergeCell ref="O367:O369"/>
    <mergeCell ref="Q367:Q369"/>
    <mergeCell ref="A370:A372"/>
    <mergeCell ref="B370:B372"/>
    <mergeCell ref="D370:D372"/>
    <mergeCell ref="E370:E372"/>
    <mergeCell ref="F370:F372"/>
    <mergeCell ref="G370:G372"/>
    <mergeCell ref="H370:H372"/>
    <mergeCell ref="H367:H369"/>
    <mergeCell ref="I367:I369"/>
    <mergeCell ref="J367:J369"/>
    <mergeCell ref="K367:K369"/>
    <mergeCell ref="L367:L369"/>
    <mergeCell ref="M367:M369"/>
    <mergeCell ref="A367:A369"/>
    <mergeCell ref="B367:B369"/>
    <mergeCell ref="D367:D369"/>
    <mergeCell ref="E367:E369"/>
    <mergeCell ref="F367:F369"/>
    <mergeCell ref="G367:G369"/>
    <mergeCell ref="K364:K366"/>
    <mergeCell ref="L364:L366"/>
    <mergeCell ref="M364:M366"/>
    <mergeCell ref="N364:N366"/>
    <mergeCell ref="O364:O366"/>
    <mergeCell ref="Q364:Q366"/>
    <mergeCell ref="Q361:Q363"/>
    <mergeCell ref="A364:A366"/>
    <mergeCell ref="B364:B366"/>
    <mergeCell ref="D364:D366"/>
    <mergeCell ref="E364:E366"/>
    <mergeCell ref="F364:F366"/>
    <mergeCell ref="G364:G366"/>
    <mergeCell ref="H364:H366"/>
    <mergeCell ref="I364:I366"/>
    <mergeCell ref="J364:J366"/>
    <mergeCell ref="J361:J363"/>
    <mergeCell ref="K361:K363"/>
    <mergeCell ref="L361:L363"/>
    <mergeCell ref="M361:M363"/>
    <mergeCell ref="N361:N363"/>
    <mergeCell ref="O361:O363"/>
    <mergeCell ref="O358:O360"/>
    <mergeCell ref="Q358:Q360"/>
    <mergeCell ref="A361:A363"/>
    <mergeCell ref="B361:B363"/>
    <mergeCell ref="D361:D363"/>
    <mergeCell ref="E361:E363"/>
    <mergeCell ref="F361:F363"/>
    <mergeCell ref="G361:G363"/>
    <mergeCell ref="H361:H363"/>
    <mergeCell ref="I361:I363"/>
    <mergeCell ref="I358:I360"/>
    <mergeCell ref="J358:J360"/>
    <mergeCell ref="K358:K360"/>
    <mergeCell ref="L358:L360"/>
    <mergeCell ref="M358:M360"/>
    <mergeCell ref="N358:N360"/>
    <mergeCell ref="N355:N357"/>
    <mergeCell ref="O355:O357"/>
    <mergeCell ref="Q355:Q357"/>
    <mergeCell ref="A358:A360"/>
    <mergeCell ref="B358:B360"/>
    <mergeCell ref="D358:D360"/>
    <mergeCell ref="E358:E360"/>
    <mergeCell ref="F358:F360"/>
    <mergeCell ref="G358:G360"/>
    <mergeCell ref="H358:H360"/>
    <mergeCell ref="H355:H357"/>
    <mergeCell ref="I355:I357"/>
    <mergeCell ref="J355:J357"/>
    <mergeCell ref="K355:K357"/>
    <mergeCell ref="L355:L357"/>
    <mergeCell ref="M355:M357"/>
    <mergeCell ref="A355:A357"/>
    <mergeCell ref="B355:B357"/>
    <mergeCell ref="D355:D357"/>
    <mergeCell ref="E355:E357"/>
    <mergeCell ref="F355:F357"/>
    <mergeCell ref="G355:G357"/>
    <mergeCell ref="K352:K354"/>
    <mergeCell ref="L352:L354"/>
    <mergeCell ref="M352:M354"/>
    <mergeCell ref="N352:N354"/>
    <mergeCell ref="O352:O354"/>
    <mergeCell ref="Q352:Q354"/>
    <mergeCell ref="A351:Q351"/>
    <mergeCell ref="A352:A354"/>
    <mergeCell ref="B352:B354"/>
    <mergeCell ref="D352:D354"/>
    <mergeCell ref="E352:E354"/>
    <mergeCell ref="F352:F354"/>
    <mergeCell ref="G352:G354"/>
    <mergeCell ref="H352:H354"/>
    <mergeCell ref="I352:I354"/>
    <mergeCell ref="J352:J354"/>
    <mergeCell ref="K348:K350"/>
    <mergeCell ref="L348:L350"/>
    <mergeCell ref="M348:M350"/>
    <mergeCell ref="N348:N350"/>
    <mergeCell ref="O348:O350"/>
    <mergeCell ref="Q348:Q350"/>
    <mergeCell ref="Q345:Q347"/>
    <mergeCell ref="A348:A350"/>
    <mergeCell ref="B348:B350"/>
    <mergeCell ref="D348:D350"/>
    <mergeCell ref="E348:E350"/>
    <mergeCell ref="F348:F350"/>
    <mergeCell ref="G348:G350"/>
    <mergeCell ref="H348:H350"/>
    <mergeCell ref="I348:I350"/>
    <mergeCell ref="J348:J350"/>
    <mergeCell ref="J345:J347"/>
    <mergeCell ref="K345:K347"/>
    <mergeCell ref="L345:L347"/>
    <mergeCell ref="M345:M347"/>
    <mergeCell ref="N345:N347"/>
    <mergeCell ref="O345:O347"/>
    <mergeCell ref="O342:O344"/>
    <mergeCell ref="Q342:Q344"/>
    <mergeCell ref="A345:A347"/>
    <mergeCell ref="B345:B347"/>
    <mergeCell ref="D345:D347"/>
    <mergeCell ref="E345:E347"/>
    <mergeCell ref="F345:F347"/>
    <mergeCell ref="G345:G347"/>
    <mergeCell ref="H345:H347"/>
    <mergeCell ref="I345:I347"/>
    <mergeCell ref="I342:I344"/>
    <mergeCell ref="J342:J344"/>
    <mergeCell ref="K342:K344"/>
    <mergeCell ref="L342:L344"/>
    <mergeCell ref="M342:M344"/>
    <mergeCell ref="N342:N344"/>
    <mergeCell ref="N339:N341"/>
    <mergeCell ref="O339:O341"/>
    <mergeCell ref="Q339:Q341"/>
    <mergeCell ref="A342:A344"/>
    <mergeCell ref="B342:B344"/>
    <mergeCell ref="D342:D344"/>
    <mergeCell ref="E342:E344"/>
    <mergeCell ref="F342:F344"/>
    <mergeCell ref="G342:G344"/>
    <mergeCell ref="H342:H344"/>
    <mergeCell ref="H339:H341"/>
    <mergeCell ref="I339:I341"/>
    <mergeCell ref="J339:J341"/>
    <mergeCell ref="K339:K341"/>
    <mergeCell ref="L339:L341"/>
    <mergeCell ref="M339:M341"/>
    <mergeCell ref="A339:A341"/>
    <mergeCell ref="B339:B341"/>
    <mergeCell ref="D339:D341"/>
    <mergeCell ref="E339:E341"/>
    <mergeCell ref="F339:F341"/>
    <mergeCell ref="G339:G341"/>
    <mergeCell ref="K336:K338"/>
    <mergeCell ref="L336:L338"/>
    <mergeCell ref="M336:M338"/>
    <mergeCell ref="N336:N338"/>
    <mergeCell ref="O336:O338"/>
    <mergeCell ref="Q336:Q338"/>
    <mergeCell ref="Q333:Q335"/>
    <mergeCell ref="A336:A338"/>
    <mergeCell ref="B336:B337"/>
    <mergeCell ref="D336:D338"/>
    <mergeCell ref="E336:E337"/>
    <mergeCell ref="F336:F338"/>
    <mergeCell ref="G336:G338"/>
    <mergeCell ref="H336:H338"/>
    <mergeCell ref="I336:I337"/>
    <mergeCell ref="J336:J337"/>
    <mergeCell ref="J333:J335"/>
    <mergeCell ref="K333:K335"/>
    <mergeCell ref="L333:L335"/>
    <mergeCell ref="M333:M335"/>
    <mergeCell ref="N333:N335"/>
    <mergeCell ref="O333:O335"/>
    <mergeCell ref="O330:O332"/>
    <mergeCell ref="Q330:Q332"/>
    <mergeCell ref="A333:A335"/>
    <mergeCell ref="B333:B335"/>
    <mergeCell ref="D333:D335"/>
    <mergeCell ref="E333:E335"/>
    <mergeCell ref="F333:F335"/>
    <mergeCell ref="G333:G335"/>
    <mergeCell ref="H333:H335"/>
    <mergeCell ref="I333:I335"/>
    <mergeCell ref="I330:I332"/>
    <mergeCell ref="J330:J332"/>
    <mergeCell ref="K330:K332"/>
    <mergeCell ref="L330:L332"/>
    <mergeCell ref="M330:M332"/>
    <mergeCell ref="N330:N332"/>
    <mergeCell ref="N327:N329"/>
    <mergeCell ref="O327:O329"/>
    <mergeCell ref="Q327:Q329"/>
    <mergeCell ref="A330:A332"/>
    <mergeCell ref="B330:B332"/>
    <mergeCell ref="D330:D332"/>
    <mergeCell ref="E330:E332"/>
    <mergeCell ref="F330:F332"/>
    <mergeCell ref="G330:G332"/>
    <mergeCell ref="H330:H332"/>
    <mergeCell ref="H327:H329"/>
    <mergeCell ref="I327:I329"/>
    <mergeCell ref="J327:J329"/>
    <mergeCell ref="K327:K329"/>
    <mergeCell ref="L327:L329"/>
    <mergeCell ref="M327:M329"/>
    <mergeCell ref="A327:A329"/>
    <mergeCell ref="B327:B329"/>
    <mergeCell ref="D327:D329"/>
    <mergeCell ref="E327:E329"/>
    <mergeCell ref="F327:F329"/>
    <mergeCell ref="G327:G329"/>
    <mergeCell ref="K324:K326"/>
    <mergeCell ref="L324:L326"/>
    <mergeCell ref="M324:M326"/>
    <mergeCell ref="N324:N326"/>
    <mergeCell ref="O324:O326"/>
    <mergeCell ref="Q324:Q326"/>
    <mergeCell ref="Q321:Q323"/>
    <mergeCell ref="A324:A326"/>
    <mergeCell ref="B324:B326"/>
    <mergeCell ref="D324:D326"/>
    <mergeCell ref="E324:E326"/>
    <mergeCell ref="F324:F326"/>
    <mergeCell ref="G324:G326"/>
    <mergeCell ref="H324:H326"/>
    <mergeCell ref="I324:I326"/>
    <mergeCell ref="J324:J326"/>
    <mergeCell ref="J321:J323"/>
    <mergeCell ref="K321:K323"/>
    <mergeCell ref="L321:L323"/>
    <mergeCell ref="M321:M323"/>
    <mergeCell ref="N321:N323"/>
    <mergeCell ref="O321:O323"/>
    <mergeCell ref="O318:O320"/>
    <mergeCell ref="Q318:Q320"/>
    <mergeCell ref="A321:A323"/>
    <mergeCell ref="B321:B323"/>
    <mergeCell ref="D321:D323"/>
    <mergeCell ref="E321:E323"/>
    <mergeCell ref="F321:F323"/>
    <mergeCell ref="G321:G323"/>
    <mergeCell ref="H321:H323"/>
    <mergeCell ref="I321:I323"/>
    <mergeCell ref="I318:I320"/>
    <mergeCell ref="J318:J320"/>
    <mergeCell ref="K318:K320"/>
    <mergeCell ref="L318:L320"/>
    <mergeCell ref="M318:M320"/>
    <mergeCell ref="N318:N320"/>
    <mergeCell ref="N315:N317"/>
    <mergeCell ref="O315:O317"/>
    <mergeCell ref="Q315:Q317"/>
    <mergeCell ref="A318:A320"/>
    <mergeCell ref="B318:B320"/>
    <mergeCell ref="D318:D320"/>
    <mergeCell ref="E318:E320"/>
    <mergeCell ref="F318:F320"/>
    <mergeCell ref="G318:G320"/>
    <mergeCell ref="H318:H320"/>
    <mergeCell ref="H315:H317"/>
    <mergeCell ref="I315:I317"/>
    <mergeCell ref="J315:J317"/>
    <mergeCell ref="K315:K317"/>
    <mergeCell ref="L315:L317"/>
    <mergeCell ref="M315:M317"/>
    <mergeCell ref="N311:N313"/>
    <mergeCell ref="O311:O313"/>
    <mergeCell ref="Q311:Q313"/>
    <mergeCell ref="A314:Q314"/>
    <mergeCell ref="A315:A317"/>
    <mergeCell ref="B315:B317"/>
    <mergeCell ref="D315:D317"/>
    <mergeCell ref="E315:E317"/>
    <mergeCell ref="F315:F317"/>
    <mergeCell ref="G315:G317"/>
    <mergeCell ref="H311:H313"/>
    <mergeCell ref="I311:I313"/>
    <mergeCell ref="J311:J313"/>
    <mergeCell ref="K311:K313"/>
    <mergeCell ref="L311:L313"/>
    <mergeCell ref="M311:M313"/>
    <mergeCell ref="A311:A313"/>
    <mergeCell ref="B311:B313"/>
    <mergeCell ref="D311:D313"/>
    <mergeCell ref="E311:E313"/>
    <mergeCell ref="F311:F313"/>
    <mergeCell ref="G311:G313"/>
    <mergeCell ref="K308:K310"/>
    <mergeCell ref="L308:L310"/>
    <mergeCell ref="M308:M310"/>
    <mergeCell ref="N308:N310"/>
    <mergeCell ref="O308:O310"/>
    <mergeCell ref="Q308:Q310"/>
    <mergeCell ref="Q305:Q307"/>
    <mergeCell ref="A308:A310"/>
    <mergeCell ref="B308:B310"/>
    <mergeCell ref="D308:D310"/>
    <mergeCell ref="E308:E310"/>
    <mergeCell ref="F308:F310"/>
    <mergeCell ref="G308:G310"/>
    <mergeCell ref="H308:H310"/>
    <mergeCell ref="I308:I310"/>
    <mergeCell ref="J308:J310"/>
    <mergeCell ref="J305:J307"/>
    <mergeCell ref="K305:K307"/>
    <mergeCell ref="L305:L307"/>
    <mergeCell ref="M305:M307"/>
    <mergeCell ref="N305:N307"/>
    <mergeCell ref="O305:O307"/>
    <mergeCell ref="O302:O304"/>
    <mergeCell ref="Q302:Q304"/>
    <mergeCell ref="A305:A307"/>
    <mergeCell ref="B305:B307"/>
    <mergeCell ref="D305:D307"/>
    <mergeCell ref="E305:E307"/>
    <mergeCell ref="F305:F307"/>
    <mergeCell ref="G305:G307"/>
    <mergeCell ref="H305:H307"/>
    <mergeCell ref="I305:I307"/>
    <mergeCell ref="I302:I304"/>
    <mergeCell ref="J302:J304"/>
    <mergeCell ref="K302:K304"/>
    <mergeCell ref="L302:L304"/>
    <mergeCell ref="M302:M304"/>
    <mergeCell ref="N302:N304"/>
    <mergeCell ref="N299:N301"/>
    <mergeCell ref="O299:O301"/>
    <mergeCell ref="Q299:Q301"/>
    <mergeCell ref="A302:A304"/>
    <mergeCell ref="B302:B304"/>
    <mergeCell ref="D302:D304"/>
    <mergeCell ref="E302:E304"/>
    <mergeCell ref="F302:F304"/>
    <mergeCell ref="G302:G304"/>
    <mergeCell ref="H302:H304"/>
    <mergeCell ref="H299:H301"/>
    <mergeCell ref="I299:I301"/>
    <mergeCell ref="J299:J301"/>
    <mergeCell ref="K299:K301"/>
    <mergeCell ref="L299:L301"/>
    <mergeCell ref="M299:M301"/>
    <mergeCell ref="A299:A301"/>
    <mergeCell ref="B299:B301"/>
    <mergeCell ref="D299:D301"/>
    <mergeCell ref="E299:E301"/>
    <mergeCell ref="F299:F301"/>
    <mergeCell ref="G299:G301"/>
    <mergeCell ref="K296:K298"/>
    <mergeCell ref="L296:L298"/>
    <mergeCell ref="M296:M298"/>
    <mergeCell ref="N296:N298"/>
    <mergeCell ref="O296:O298"/>
    <mergeCell ref="Q296:Q298"/>
    <mergeCell ref="Q293:Q295"/>
    <mergeCell ref="A296:A298"/>
    <mergeCell ref="B296:B298"/>
    <mergeCell ref="D296:D298"/>
    <mergeCell ref="E296:E298"/>
    <mergeCell ref="F296:F298"/>
    <mergeCell ref="G296:G298"/>
    <mergeCell ref="H296:H298"/>
    <mergeCell ref="I296:I298"/>
    <mergeCell ref="J296:J298"/>
    <mergeCell ref="J293:J295"/>
    <mergeCell ref="K293:K295"/>
    <mergeCell ref="L293:L295"/>
    <mergeCell ref="M293:M295"/>
    <mergeCell ref="N293:N295"/>
    <mergeCell ref="O293:O295"/>
    <mergeCell ref="O290:O292"/>
    <mergeCell ref="Q290:Q292"/>
    <mergeCell ref="A293:A295"/>
    <mergeCell ref="B293:B295"/>
    <mergeCell ref="D293:D295"/>
    <mergeCell ref="E293:E295"/>
    <mergeCell ref="F293:F295"/>
    <mergeCell ref="G293:G295"/>
    <mergeCell ref="H293:H295"/>
    <mergeCell ref="I293:I295"/>
    <mergeCell ref="I290:I292"/>
    <mergeCell ref="J290:J292"/>
    <mergeCell ref="K290:K292"/>
    <mergeCell ref="L290:L292"/>
    <mergeCell ref="M290:M292"/>
    <mergeCell ref="N290:N292"/>
    <mergeCell ref="N287:N289"/>
    <mergeCell ref="O287:O289"/>
    <mergeCell ref="Q287:Q289"/>
    <mergeCell ref="A290:A292"/>
    <mergeCell ref="B290:B292"/>
    <mergeCell ref="D290:D292"/>
    <mergeCell ref="E290:E292"/>
    <mergeCell ref="F290:F292"/>
    <mergeCell ref="G290:G292"/>
    <mergeCell ref="H290:H292"/>
    <mergeCell ref="H287:H289"/>
    <mergeCell ref="I287:I289"/>
    <mergeCell ref="J287:J289"/>
    <mergeCell ref="K287:K289"/>
    <mergeCell ref="L287:L289"/>
    <mergeCell ref="M287:M289"/>
    <mergeCell ref="A287:A289"/>
    <mergeCell ref="B287:B289"/>
    <mergeCell ref="D287:D289"/>
    <mergeCell ref="E287:E289"/>
    <mergeCell ref="F287:F289"/>
    <mergeCell ref="G287:G289"/>
    <mergeCell ref="K284:K286"/>
    <mergeCell ref="L284:L286"/>
    <mergeCell ref="M284:M286"/>
    <mergeCell ref="N284:N286"/>
    <mergeCell ref="O284:O286"/>
    <mergeCell ref="Q284:Q286"/>
    <mergeCell ref="Q281:Q283"/>
    <mergeCell ref="A284:A286"/>
    <mergeCell ref="B284:B286"/>
    <mergeCell ref="D284:D286"/>
    <mergeCell ref="E284:E286"/>
    <mergeCell ref="F284:F286"/>
    <mergeCell ref="G284:G286"/>
    <mergeCell ref="H284:H286"/>
    <mergeCell ref="I284:I286"/>
    <mergeCell ref="J284:J286"/>
    <mergeCell ref="J281:J283"/>
    <mergeCell ref="K281:K283"/>
    <mergeCell ref="L281:L283"/>
    <mergeCell ref="M281:M283"/>
    <mergeCell ref="N281:N283"/>
    <mergeCell ref="O281:O283"/>
    <mergeCell ref="Q277:Q279"/>
    <mergeCell ref="A280:Q280"/>
    <mergeCell ref="A281:A283"/>
    <mergeCell ref="B281:B283"/>
    <mergeCell ref="D281:D283"/>
    <mergeCell ref="E281:E283"/>
    <mergeCell ref="F281:F283"/>
    <mergeCell ref="G281:G283"/>
    <mergeCell ref="H281:H283"/>
    <mergeCell ref="I281:I283"/>
    <mergeCell ref="J277:J279"/>
    <mergeCell ref="K277:K279"/>
    <mergeCell ref="L277:L279"/>
    <mergeCell ref="M277:M279"/>
    <mergeCell ref="N277:N279"/>
    <mergeCell ref="O277:O279"/>
    <mergeCell ref="O274:O276"/>
    <mergeCell ref="Q274:Q276"/>
    <mergeCell ref="A277:A279"/>
    <mergeCell ref="B277:B279"/>
    <mergeCell ref="D277:D279"/>
    <mergeCell ref="E277:E279"/>
    <mergeCell ref="F277:F279"/>
    <mergeCell ref="G277:G279"/>
    <mergeCell ref="H277:H279"/>
    <mergeCell ref="I277:I279"/>
    <mergeCell ref="I274:I276"/>
    <mergeCell ref="J274:J276"/>
    <mergeCell ref="K274:K276"/>
    <mergeCell ref="L274:L276"/>
    <mergeCell ref="M274:M276"/>
    <mergeCell ref="N274:N276"/>
    <mergeCell ref="N271:N273"/>
    <mergeCell ref="O271:O273"/>
    <mergeCell ref="Q271:Q273"/>
    <mergeCell ref="A274:A276"/>
    <mergeCell ref="B274:B276"/>
    <mergeCell ref="D274:D276"/>
    <mergeCell ref="E274:E276"/>
    <mergeCell ref="F274:F276"/>
    <mergeCell ref="G274:G276"/>
    <mergeCell ref="H274:H276"/>
    <mergeCell ref="H271:H273"/>
    <mergeCell ref="I271:I273"/>
    <mergeCell ref="J271:J273"/>
    <mergeCell ref="K271:K273"/>
    <mergeCell ref="L271:L273"/>
    <mergeCell ref="M271:M273"/>
    <mergeCell ref="A271:A273"/>
    <mergeCell ref="B271:B273"/>
    <mergeCell ref="D271:D273"/>
    <mergeCell ref="E271:E273"/>
    <mergeCell ref="F271:F273"/>
    <mergeCell ref="G271:G273"/>
    <mergeCell ref="K268:K270"/>
    <mergeCell ref="L268:L270"/>
    <mergeCell ref="M268:M270"/>
    <mergeCell ref="N268:N270"/>
    <mergeCell ref="O268:O270"/>
    <mergeCell ref="Q268:Q270"/>
    <mergeCell ref="Q265:Q267"/>
    <mergeCell ref="A268:A270"/>
    <mergeCell ref="B268:B270"/>
    <mergeCell ref="D268:D270"/>
    <mergeCell ref="E268:E270"/>
    <mergeCell ref="F268:F270"/>
    <mergeCell ref="G268:G270"/>
    <mergeCell ref="H268:H270"/>
    <mergeCell ref="I268:I270"/>
    <mergeCell ref="J268:J270"/>
    <mergeCell ref="J265:J267"/>
    <mergeCell ref="K265:K267"/>
    <mergeCell ref="L265:L267"/>
    <mergeCell ref="M265:M267"/>
    <mergeCell ref="N265:N267"/>
    <mergeCell ref="O265:O267"/>
    <mergeCell ref="O262:O264"/>
    <mergeCell ref="Q262:Q264"/>
    <mergeCell ref="A265:A267"/>
    <mergeCell ref="B265:B267"/>
    <mergeCell ref="D265:D267"/>
    <mergeCell ref="E265:E267"/>
    <mergeCell ref="F265:F267"/>
    <mergeCell ref="G265:G267"/>
    <mergeCell ref="H265:H267"/>
    <mergeCell ref="I265:I267"/>
    <mergeCell ref="I262:I264"/>
    <mergeCell ref="J262:J264"/>
    <mergeCell ref="K262:K264"/>
    <mergeCell ref="L262:L264"/>
    <mergeCell ref="M262:M264"/>
    <mergeCell ref="N262:N264"/>
    <mergeCell ref="N259:N261"/>
    <mergeCell ref="O259:O261"/>
    <mergeCell ref="Q259:Q261"/>
    <mergeCell ref="A262:A264"/>
    <mergeCell ref="B262:B264"/>
    <mergeCell ref="D262:D264"/>
    <mergeCell ref="E262:E264"/>
    <mergeCell ref="F262:F264"/>
    <mergeCell ref="G262:G264"/>
    <mergeCell ref="H262:H264"/>
    <mergeCell ref="H259:H261"/>
    <mergeCell ref="I259:I261"/>
    <mergeCell ref="J259:J261"/>
    <mergeCell ref="K259:K261"/>
    <mergeCell ref="L259:L261"/>
    <mergeCell ref="M259:M261"/>
    <mergeCell ref="N255:N257"/>
    <mergeCell ref="O255:O257"/>
    <mergeCell ref="Q255:Q257"/>
    <mergeCell ref="A258:Q258"/>
    <mergeCell ref="A259:A261"/>
    <mergeCell ref="B259:B261"/>
    <mergeCell ref="D259:D261"/>
    <mergeCell ref="E259:E261"/>
    <mergeCell ref="F259:F261"/>
    <mergeCell ref="G259:G261"/>
    <mergeCell ref="H255:H257"/>
    <mergeCell ref="I255:I257"/>
    <mergeCell ref="J255:J257"/>
    <mergeCell ref="K255:K257"/>
    <mergeCell ref="L255:L257"/>
    <mergeCell ref="M255:M257"/>
    <mergeCell ref="N251:N253"/>
    <mergeCell ref="O251:O253"/>
    <mergeCell ref="Q251:Q253"/>
    <mergeCell ref="A254:Q254"/>
    <mergeCell ref="A255:A257"/>
    <mergeCell ref="B255:B257"/>
    <mergeCell ref="D255:D257"/>
    <mergeCell ref="E255:E257"/>
    <mergeCell ref="F255:F257"/>
    <mergeCell ref="G255:G257"/>
    <mergeCell ref="H251:H253"/>
    <mergeCell ref="I251:I253"/>
    <mergeCell ref="J251:J253"/>
    <mergeCell ref="K251:K253"/>
    <mergeCell ref="L251:L253"/>
    <mergeCell ref="M251:M253"/>
    <mergeCell ref="A251:A253"/>
    <mergeCell ref="B251:B253"/>
    <mergeCell ref="D251:D253"/>
    <mergeCell ref="E251:E253"/>
    <mergeCell ref="F251:F253"/>
    <mergeCell ref="G251:G253"/>
    <mergeCell ref="K248:K250"/>
    <mergeCell ref="L248:L250"/>
    <mergeCell ref="M248:M250"/>
    <mergeCell ref="N248:N250"/>
    <mergeCell ref="O248:O250"/>
    <mergeCell ref="Q248:Q250"/>
    <mergeCell ref="Q245:Q247"/>
    <mergeCell ref="A248:A250"/>
    <mergeCell ref="B248:B250"/>
    <mergeCell ref="D248:D250"/>
    <mergeCell ref="E248:E250"/>
    <mergeCell ref="F248:F250"/>
    <mergeCell ref="G248:G250"/>
    <mergeCell ref="H248:H250"/>
    <mergeCell ref="I248:I250"/>
    <mergeCell ref="J248:J250"/>
    <mergeCell ref="J245:J247"/>
    <mergeCell ref="K245:K247"/>
    <mergeCell ref="L245:L247"/>
    <mergeCell ref="M245:M247"/>
    <mergeCell ref="N245:N247"/>
    <mergeCell ref="O245:O247"/>
    <mergeCell ref="O242:O244"/>
    <mergeCell ref="Q242:Q244"/>
    <mergeCell ref="A245:A247"/>
    <mergeCell ref="B245:B247"/>
    <mergeCell ref="D245:D247"/>
    <mergeCell ref="E245:E247"/>
    <mergeCell ref="F245:F247"/>
    <mergeCell ref="G245:G247"/>
    <mergeCell ref="H245:H247"/>
    <mergeCell ref="I245:I247"/>
    <mergeCell ref="I242:I244"/>
    <mergeCell ref="J242:J244"/>
    <mergeCell ref="K242:K244"/>
    <mergeCell ref="L242:L244"/>
    <mergeCell ref="M242:M244"/>
    <mergeCell ref="N242:N244"/>
    <mergeCell ref="N239:N241"/>
    <mergeCell ref="O239:O241"/>
    <mergeCell ref="Q239:Q241"/>
    <mergeCell ref="A242:A244"/>
    <mergeCell ref="B242:B244"/>
    <mergeCell ref="D242:D244"/>
    <mergeCell ref="E242:E244"/>
    <mergeCell ref="F242:F244"/>
    <mergeCell ref="G242:G244"/>
    <mergeCell ref="H242:H244"/>
    <mergeCell ref="H239:H241"/>
    <mergeCell ref="I239:I241"/>
    <mergeCell ref="J239:J241"/>
    <mergeCell ref="K239:K241"/>
    <mergeCell ref="L239:L241"/>
    <mergeCell ref="M239:M241"/>
    <mergeCell ref="A239:A241"/>
    <mergeCell ref="B239:B241"/>
    <mergeCell ref="D239:D241"/>
    <mergeCell ref="E239:E241"/>
    <mergeCell ref="F239:F241"/>
    <mergeCell ref="G239:G241"/>
    <mergeCell ref="K236:K238"/>
    <mergeCell ref="L236:L238"/>
    <mergeCell ref="M236:M238"/>
    <mergeCell ref="N236:N238"/>
    <mergeCell ref="O236:O238"/>
    <mergeCell ref="Q236:Q238"/>
    <mergeCell ref="Q233:Q235"/>
    <mergeCell ref="A236:A238"/>
    <mergeCell ref="B236:B238"/>
    <mergeCell ref="D236:D238"/>
    <mergeCell ref="E236:E238"/>
    <mergeCell ref="F236:F238"/>
    <mergeCell ref="G236:G238"/>
    <mergeCell ref="H236:H238"/>
    <mergeCell ref="I236:I238"/>
    <mergeCell ref="J236:J238"/>
    <mergeCell ref="J233:J235"/>
    <mergeCell ref="K233:K235"/>
    <mergeCell ref="L233:L235"/>
    <mergeCell ref="M233:M235"/>
    <mergeCell ref="N233:N235"/>
    <mergeCell ref="O233:O235"/>
    <mergeCell ref="O230:O232"/>
    <mergeCell ref="Q230:Q232"/>
    <mergeCell ref="A233:A235"/>
    <mergeCell ref="B233:B235"/>
    <mergeCell ref="D233:D235"/>
    <mergeCell ref="E233:E235"/>
    <mergeCell ref="F233:F235"/>
    <mergeCell ref="G233:G235"/>
    <mergeCell ref="H233:H235"/>
    <mergeCell ref="I233:I235"/>
    <mergeCell ref="I230:I232"/>
    <mergeCell ref="J230:J232"/>
    <mergeCell ref="K230:K232"/>
    <mergeCell ref="L230:L232"/>
    <mergeCell ref="M230:M232"/>
    <mergeCell ref="N230:N232"/>
    <mergeCell ref="O226:O228"/>
    <mergeCell ref="Q226:Q228"/>
    <mergeCell ref="A229:Q229"/>
    <mergeCell ref="A230:A232"/>
    <mergeCell ref="B230:B232"/>
    <mergeCell ref="D230:D232"/>
    <mergeCell ref="E230:E232"/>
    <mergeCell ref="F230:F232"/>
    <mergeCell ref="G230:G232"/>
    <mergeCell ref="H230:H232"/>
    <mergeCell ref="I226:I228"/>
    <mergeCell ref="J226:J228"/>
    <mergeCell ref="K226:K228"/>
    <mergeCell ref="L226:L228"/>
    <mergeCell ref="M226:M228"/>
    <mergeCell ref="N226:N228"/>
    <mergeCell ref="N223:N225"/>
    <mergeCell ref="O223:O225"/>
    <mergeCell ref="Q223:Q225"/>
    <mergeCell ref="A226:A228"/>
    <mergeCell ref="B226:B228"/>
    <mergeCell ref="D226:D228"/>
    <mergeCell ref="E226:E228"/>
    <mergeCell ref="F226:F228"/>
    <mergeCell ref="G226:G228"/>
    <mergeCell ref="H226:H228"/>
    <mergeCell ref="H223:H225"/>
    <mergeCell ref="I223:I225"/>
    <mergeCell ref="J223:J225"/>
    <mergeCell ref="K223:K225"/>
    <mergeCell ref="L223:L225"/>
    <mergeCell ref="M223:M225"/>
    <mergeCell ref="A223:A225"/>
    <mergeCell ref="B223:B225"/>
    <mergeCell ref="D223:D225"/>
    <mergeCell ref="E223:E225"/>
    <mergeCell ref="F223:F225"/>
    <mergeCell ref="G223:G225"/>
    <mergeCell ref="K220:K222"/>
    <mergeCell ref="L220:L222"/>
    <mergeCell ref="M220:M222"/>
    <mergeCell ref="N220:N222"/>
    <mergeCell ref="O220:O222"/>
    <mergeCell ref="Q220:Q222"/>
    <mergeCell ref="Q217:Q219"/>
    <mergeCell ref="A220:A222"/>
    <mergeCell ref="B220:B222"/>
    <mergeCell ref="D220:D222"/>
    <mergeCell ref="E220:E222"/>
    <mergeCell ref="F220:F222"/>
    <mergeCell ref="G220:G222"/>
    <mergeCell ref="H220:H222"/>
    <mergeCell ref="I220:I222"/>
    <mergeCell ref="J220:J222"/>
    <mergeCell ref="J217:J219"/>
    <mergeCell ref="K217:K219"/>
    <mergeCell ref="L217:L219"/>
    <mergeCell ref="M217:M219"/>
    <mergeCell ref="N217:N219"/>
    <mergeCell ref="O217:O219"/>
    <mergeCell ref="O214:O216"/>
    <mergeCell ref="Q214:Q216"/>
    <mergeCell ref="A217:A219"/>
    <mergeCell ref="B217:B219"/>
    <mergeCell ref="D217:D219"/>
    <mergeCell ref="E217:E219"/>
    <mergeCell ref="F217:F219"/>
    <mergeCell ref="G217:G219"/>
    <mergeCell ref="H217:H219"/>
    <mergeCell ref="I217:I219"/>
    <mergeCell ref="I214:I216"/>
    <mergeCell ref="J214:J216"/>
    <mergeCell ref="K214:K216"/>
    <mergeCell ref="L214:L216"/>
    <mergeCell ref="M214:M216"/>
    <mergeCell ref="N214:N216"/>
    <mergeCell ref="N211:N213"/>
    <mergeCell ref="O211:O213"/>
    <mergeCell ref="Q211:Q213"/>
    <mergeCell ref="A214:A216"/>
    <mergeCell ref="B214:B216"/>
    <mergeCell ref="D214:D216"/>
    <mergeCell ref="E214:E216"/>
    <mergeCell ref="F214:F216"/>
    <mergeCell ref="G214:G216"/>
    <mergeCell ref="H214:H216"/>
    <mergeCell ref="H211:H213"/>
    <mergeCell ref="I211:I213"/>
    <mergeCell ref="J211:J213"/>
    <mergeCell ref="K211:K213"/>
    <mergeCell ref="L211:L213"/>
    <mergeCell ref="M211:M213"/>
    <mergeCell ref="A211:A213"/>
    <mergeCell ref="B211:B213"/>
    <mergeCell ref="D211:D213"/>
    <mergeCell ref="E211:E213"/>
    <mergeCell ref="F211:F213"/>
    <mergeCell ref="G211:G213"/>
    <mergeCell ref="K208:K210"/>
    <mergeCell ref="L208:L210"/>
    <mergeCell ref="M208:M210"/>
    <mergeCell ref="N208:N210"/>
    <mergeCell ref="O208:O210"/>
    <mergeCell ref="Q208:Q210"/>
    <mergeCell ref="Q205:Q207"/>
    <mergeCell ref="A208:A210"/>
    <mergeCell ref="B208:B210"/>
    <mergeCell ref="D208:D210"/>
    <mergeCell ref="E208:E210"/>
    <mergeCell ref="F208:F210"/>
    <mergeCell ref="G208:G210"/>
    <mergeCell ref="H208:H210"/>
    <mergeCell ref="I208:I210"/>
    <mergeCell ref="J208:J210"/>
    <mergeCell ref="J205:J207"/>
    <mergeCell ref="K205:K207"/>
    <mergeCell ref="L205:L207"/>
    <mergeCell ref="M205:M207"/>
    <mergeCell ref="N205:N207"/>
    <mergeCell ref="O205:O207"/>
    <mergeCell ref="A203:Q203"/>
    <mergeCell ref="A204:Q204"/>
    <mergeCell ref="A205:A207"/>
    <mergeCell ref="B205:B207"/>
    <mergeCell ref="D205:D207"/>
    <mergeCell ref="E205:E207"/>
    <mergeCell ref="F205:F207"/>
    <mergeCell ref="G205:G207"/>
    <mergeCell ref="H205:H207"/>
    <mergeCell ref="I205:I207"/>
    <mergeCell ref="K200:K202"/>
    <mergeCell ref="L200:L202"/>
    <mergeCell ref="M200:M202"/>
    <mergeCell ref="N200:N202"/>
    <mergeCell ref="O200:O202"/>
    <mergeCell ref="Q200:Q202"/>
    <mergeCell ref="A199:Q199"/>
    <mergeCell ref="A200:A202"/>
    <mergeCell ref="B200:B202"/>
    <mergeCell ref="D200:D202"/>
    <mergeCell ref="E200:E202"/>
    <mergeCell ref="F200:F202"/>
    <mergeCell ref="G200:G202"/>
    <mergeCell ref="H200:H202"/>
    <mergeCell ref="I200:I202"/>
    <mergeCell ref="J200:J202"/>
    <mergeCell ref="K196:K198"/>
    <mergeCell ref="L196:L198"/>
    <mergeCell ref="M196:M198"/>
    <mergeCell ref="N196:N198"/>
    <mergeCell ref="O196:O198"/>
    <mergeCell ref="Q196:Q198"/>
    <mergeCell ref="Q193:Q195"/>
    <mergeCell ref="A196:A198"/>
    <mergeCell ref="B196:B198"/>
    <mergeCell ref="D196:D198"/>
    <mergeCell ref="E196:E198"/>
    <mergeCell ref="F196:F198"/>
    <mergeCell ref="G196:G198"/>
    <mergeCell ref="H196:H198"/>
    <mergeCell ref="I196:I198"/>
    <mergeCell ref="J196:J198"/>
    <mergeCell ref="J193:J195"/>
    <mergeCell ref="K193:K195"/>
    <mergeCell ref="L193:L195"/>
    <mergeCell ref="M193:M195"/>
    <mergeCell ref="N193:N195"/>
    <mergeCell ref="O193:O195"/>
    <mergeCell ref="O190:O192"/>
    <mergeCell ref="Q190:Q192"/>
    <mergeCell ref="A193:A195"/>
    <mergeCell ref="B193:B195"/>
    <mergeCell ref="D193:D195"/>
    <mergeCell ref="E193:E195"/>
    <mergeCell ref="F193:F195"/>
    <mergeCell ref="G193:G195"/>
    <mergeCell ref="H193:H195"/>
    <mergeCell ref="I193:I195"/>
    <mergeCell ref="I190:I192"/>
    <mergeCell ref="J190:J192"/>
    <mergeCell ref="K190:K192"/>
    <mergeCell ref="L190:L192"/>
    <mergeCell ref="M190:M192"/>
    <mergeCell ref="N190:N192"/>
    <mergeCell ref="N187:N189"/>
    <mergeCell ref="O187:O189"/>
    <mergeCell ref="Q187:Q189"/>
    <mergeCell ref="A190:A192"/>
    <mergeCell ref="B190:B192"/>
    <mergeCell ref="D190:D192"/>
    <mergeCell ref="E190:E192"/>
    <mergeCell ref="F190:F192"/>
    <mergeCell ref="G190:G192"/>
    <mergeCell ref="H190:H192"/>
    <mergeCell ref="H187:H189"/>
    <mergeCell ref="I187:I189"/>
    <mergeCell ref="J187:J189"/>
    <mergeCell ref="K187:K189"/>
    <mergeCell ref="L187:L189"/>
    <mergeCell ref="M187:M189"/>
    <mergeCell ref="A187:A189"/>
    <mergeCell ref="B187:B189"/>
    <mergeCell ref="D187:D189"/>
    <mergeCell ref="E187:E189"/>
    <mergeCell ref="F187:F189"/>
    <mergeCell ref="G187:G189"/>
    <mergeCell ref="K184:K186"/>
    <mergeCell ref="L184:L186"/>
    <mergeCell ref="M184:M186"/>
    <mergeCell ref="N184:N186"/>
    <mergeCell ref="O184:O186"/>
    <mergeCell ref="Q184:Q186"/>
    <mergeCell ref="Q181:Q183"/>
    <mergeCell ref="A184:A186"/>
    <mergeCell ref="B184:B186"/>
    <mergeCell ref="D184:D186"/>
    <mergeCell ref="E184:E186"/>
    <mergeCell ref="F184:F186"/>
    <mergeCell ref="G184:G186"/>
    <mergeCell ref="H184:H186"/>
    <mergeCell ref="I184:I186"/>
    <mergeCell ref="J184:J186"/>
    <mergeCell ref="J181:J183"/>
    <mergeCell ref="K181:K183"/>
    <mergeCell ref="L181:L183"/>
    <mergeCell ref="M181:M183"/>
    <mergeCell ref="N181:N183"/>
    <mergeCell ref="O181:O183"/>
    <mergeCell ref="Q177:Q179"/>
    <mergeCell ref="A180:Q180"/>
    <mergeCell ref="A181:A183"/>
    <mergeCell ref="B181:B183"/>
    <mergeCell ref="D181:D183"/>
    <mergeCell ref="E181:E183"/>
    <mergeCell ref="F181:F183"/>
    <mergeCell ref="G181:G183"/>
    <mergeCell ref="H181:H183"/>
    <mergeCell ref="I181:I183"/>
    <mergeCell ref="J177:J179"/>
    <mergeCell ref="K177:K179"/>
    <mergeCell ref="L177:L179"/>
    <mergeCell ref="M177:M179"/>
    <mergeCell ref="N177:N179"/>
    <mergeCell ref="O177:O179"/>
    <mergeCell ref="O174:O176"/>
    <mergeCell ref="Q174:Q176"/>
    <mergeCell ref="A177:A179"/>
    <mergeCell ref="B177:B179"/>
    <mergeCell ref="D177:D179"/>
    <mergeCell ref="E177:E179"/>
    <mergeCell ref="F177:F179"/>
    <mergeCell ref="G177:G179"/>
    <mergeCell ref="H177:H179"/>
    <mergeCell ref="I177:I179"/>
    <mergeCell ref="I174:I176"/>
    <mergeCell ref="J174:J176"/>
    <mergeCell ref="K174:K176"/>
    <mergeCell ref="L174:L176"/>
    <mergeCell ref="M174:M176"/>
    <mergeCell ref="N174:N176"/>
    <mergeCell ref="N171:N173"/>
    <mergeCell ref="O171:O173"/>
    <mergeCell ref="Q171:Q173"/>
    <mergeCell ref="A174:A176"/>
    <mergeCell ref="B174:B176"/>
    <mergeCell ref="D174:D176"/>
    <mergeCell ref="E174:E176"/>
    <mergeCell ref="F174:F176"/>
    <mergeCell ref="G174:G176"/>
    <mergeCell ref="H174:H176"/>
    <mergeCell ref="H171:H173"/>
    <mergeCell ref="I171:I173"/>
    <mergeCell ref="J171:J173"/>
    <mergeCell ref="K171:K173"/>
    <mergeCell ref="L171:L173"/>
    <mergeCell ref="M171:M173"/>
    <mergeCell ref="A171:A173"/>
    <mergeCell ref="B171:B173"/>
    <mergeCell ref="D171:D173"/>
    <mergeCell ref="E171:E173"/>
    <mergeCell ref="F171:F173"/>
    <mergeCell ref="G171:G173"/>
    <mergeCell ref="K168:K170"/>
    <mergeCell ref="L168:L170"/>
    <mergeCell ref="M168:M170"/>
    <mergeCell ref="N168:N170"/>
    <mergeCell ref="O168:O170"/>
    <mergeCell ref="Q168:Q170"/>
    <mergeCell ref="Q165:Q167"/>
    <mergeCell ref="A168:A170"/>
    <mergeCell ref="B168:B170"/>
    <mergeCell ref="D168:D170"/>
    <mergeCell ref="E168:E170"/>
    <mergeCell ref="F168:F170"/>
    <mergeCell ref="G168:G170"/>
    <mergeCell ref="H168:H170"/>
    <mergeCell ref="I168:I170"/>
    <mergeCell ref="J168:J170"/>
    <mergeCell ref="J165:J167"/>
    <mergeCell ref="K165:K167"/>
    <mergeCell ref="L165:L167"/>
    <mergeCell ref="M165:M167"/>
    <mergeCell ref="N165:N167"/>
    <mergeCell ref="O165:O167"/>
    <mergeCell ref="O162:O164"/>
    <mergeCell ref="Q162:Q164"/>
    <mergeCell ref="A165:A167"/>
    <mergeCell ref="B165:B167"/>
    <mergeCell ref="D165:D167"/>
    <mergeCell ref="E165:E167"/>
    <mergeCell ref="F165:F167"/>
    <mergeCell ref="G165:G167"/>
    <mergeCell ref="H165:H167"/>
    <mergeCell ref="I165:I167"/>
    <mergeCell ref="I162:I164"/>
    <mergeCell ref="J162:J164"/>
    <mergeCell ref="K162:K164"/>
    <mergeCell ref="L162:L164"/>
    <mergeCell ref="M162:M164"/>
    <mergeCell ref="N162:N164"/>
    <mergeCell ref="N159:N161"/>
    <mergeCell ref="O159:O161"/>
    <mergeCell ref="Q159:Q161"/>
    <mergeCell ref="A162:A164"/>
    <mergeCell ref="B162:B164"/>
    <mergeCell ref="D162:D164"/>
    <mergeCell ref="E162:E164"/>
    <mergeCell ref="F162:F164"/>
    <mergeCell ref="G162:G164"/>
    <mergeCell ref="H162:H164"/>
    <mergeCell ref="H159:H161"/>
    <mergeCell ref="I159:I161"/>
    <mergeCell ref="J159:J161"/>
    <mergeCell ref="K159:K161"/>
    <mergeCell ref="L159:L161"/>
    <mergeCell ref="M159:M161"/>
    <mergeCell ref="A159:A161"/>
    <mergeCell ref="B159:B161"/>
    <mergeCell ref="D159:D161"/>
    <mergeCell ref="E159:E161"/>
    <mergeCell ref="F159:F161"/>
    <mergeCell ref="G159:G161"/>
    <mergeCell ref="K156:K158"/>
    <mergeCell ref="L156:L158"/>
    <mergeCell ref="M156:M158"/>
    <mergeCell ref="N156:N158"/>
    <mergeCell ref="O156:O158"/>
    <mergeCell ref="Q156:Q158"/>
    <mergeCell ref="Q153:Q155"/>
    <mergeCell ref="A156:A158"/>
    <mergeCell ref="B156:B158"/>
    <mergeCell ref="D156:D158"/>
    <mergeCell ref="E156:E158"/>
    <mergeCell ref="F156:F158"/>
    <mergeCell ref="G156:G158"/>
    <mergeCell ref="H156:H158"/>
    <mergeCell ref="I156:I158"/>
    <mergeCell ref="J156:J158"/>
    <mergeCell ref="J153:J155"/>
    <mergeCell ref="K153:K155"/>
    <mergeCell ref="L153:L155"/>
    <mergeCell ref="M153:M155"/>
    <mergeCell ref="N153:N155"/>
    <mergeCell ref="O153:O155"/>
    <mergeCell ref="O150:O152"/>
    <mergeCell ref="Q150:Q152"/>
    <mergeCell ref="A153:A155"/>
    <mergeCell ref="B153:B155"/>
    <mergeCell ref="D153:D155"/>
    <mergeCell ref="E153:E155"/>
    <mergeCell ref="F153:F155"/>
    <mergeCell ref="G153:G155"/>
    <mergeCell ref="H153:H155"/>
    <mergeCell ref="I153:I155"/>
    <mergeCell ref="I150:I152"/>
    <mergeCell ref="J150:J152"/>
    <mergeCell ref="K150:K152"/>
    <mergeCell ref="L150:L152"/>
    <mergeCell ref="M150:M152"/>
    <mergeCell ref="N150:N152"/>
    <mergeCell ref="N147:N149"/>
    <mergeCell ref="O147:O149"/>
    <mergeCell ref="Q147:Q149"/>
    <mergeCell ref="A150:A152"/>
    <mergeCell ref="B150:B152"/>
    <mergeCell ref="D150:D152"/>
    <mergeCell ref="E150:E152"/>
    <mergeCell ref="F150:F152"/>
    <mergeCell ref="G150:G152"/>
    <mergeCell ref="H150:H152"/>
    <mergeCell ref="H147:H149"/>
    <mergeCell ref="I147:I149"/>
    <mergeCell ref="J147:J149"/>
    <mergeCell ref="K147:K149"/>
    <mergeCell ref="L147:L149"/>
    <mergeCell ref="M147:M149"/>
    <mergeCell ref="A147:A149"/>
    <mergeCell ref="B147:B149"/>
    <mergeCell ref="D147:D149"/>
    <mergeCell ref="E147:E149"/>
    <mergeCell ref="F147:F149"/>
    <mergeCell ref="G147:G149"/>
    <mergeCell ref="K144:K146"/>
    <mergeCell ref="L144:L146"/>
    <mergeCell ref="M144:M146"/>
    <mergeCell ref="N144:N146"/>
    <mergeCell ref="O144:O146"/>
    <mergeCell ref="Q144:Q146"/>
    <mergeCell ref="Q141:Q143"/>
    <mergeCell ref="A144:A146"/>
    <mergeCell ref="B144:B146"/>
    <mergeCell ref="D144:D146"/>
    <mergeCell ref="E144:E146"/>
    <mergeCell ref="F144:F146"/>
    <mergeCell ref="G144:G146"/>
    <mergeCell ref="H144:H146"/>
    <mergeCell ref="I144:I146"/>
    <mergeCell ref="J144:J146"/>
    <mergeCell ref="J141:J143"/>
    <mergeCell ref="K141:K143"/>
    <mergeCell ref="L141:L143"/>
    <mergeCell ref="M141:M143"/>
    <mergeCell ref="N141:N143"/>
    <mergeCell ref="O141:O143"/>
    <mergeCell ref="O138:O140"/>
    <mergeCell ref="Q138:Q140"/>
    <mergeCell ref="A141:A143"/>
    <mergeCell ref="B141:B143"/>
    <mergeCell ref="D141:D143"/>
    <mergeCell ref="E141:E143"/>
    <mergeCell ref="F141:F143"/>
    <mergeCell ref="G141:G143"/>
    <mergeCell ref="H141:H143"/>
    <mergeCell ref="I141:I143"/>
    <mergeCell ref="I138:I140"/>
    <mergeCell ref="J138:J140"/>
    <mergeCell ref="K138:K140"/>
    <mergeCell ref="L138:L140"/>
    <mergeCell ref="M138:M140"/>
    <mergeCell ref="N138:N140"/>
    <mergeCell ref="N135:N137"/>
    <mergeCell ref="O135:O137"/>
    <mergeCell ref="Q135:Q137"/>
    <mergeCell ref="A138:A140"/>
    <mergeCell ref="B138:B140"/>
    <mergeCell ref="D138:D140"/>
    <mergeCell ref="E138:E140"/>
    <mergeCell ref="F138:F140"/>
    <mergeCell ref="G138:G140"/>
    <mergeCell ref="H138:H140"/>
    <mergeCell ref="H135:H137"/>
    <mergeCell ref="I135:I137"/>
    <mergeCell ref="J135:J137"/>
    <mergeCell ref="K135:K137"/>
    <mergeCell ref="L135:L137"/>
    <mergeCell ref="M135:M137"/>
    <mergeCell ref="A135:A137"/>
    <mergeCell ref="B135:B137"/>
    <mergeCell ref="D135:D137"/>
    <mergeCell ref="E135:E137"/>
    <mergeCell ref="F135:F137"/>
    <mergeCell ref="G135:G137"/>
    <mergeCell ref="K132:K134"/>
    <mergeCell ref="L132:L134"/>
    <mergeCell ref="M132:M134"/>
    <mergeCell ref="N132:N134"/>
    <mergeCell ref="O132:O134"/>
    <mergeCell ref="Q132:Q134"/>
    <mergeCell ref="Q129:Q131"/>
    <mergeCell ref="A132:A134"/>
    <mergeCell ref="B132:B134"/>
    <mergeCell ref="D132:D134"/>
    <mergeCell ref="E132:E134"/>
    <mergeCell ref="F132:F134"/>
    <mergeCell ref="G132:G134"/>
    <mergeCell ref="H132:H134"/>
    <mergeCell ref="I132:I134"/>
    <mergeCell ref="J132:J134"/>
    <mergeCell ref="J129:J131"/>
    <mergeCell ref="K129:K131"/>
    <mergeCell ref="L129:L131"/>
    <mergeCell ref="M129:M131"/>
    <mergeCell ref="N129:N131"/>
    <mergeCell ref="O129:O131"/>
    <mergeCell ref="O126:O128"/>
    <mergeCell ref="Q126:Q128"/>
    <mergeCell ref="A129:A131"/>
    <mergeCell ref="B129:B131"/>
    <mergeCell ref="D129:D131"/>
    <mergeCell ref="E129:E131"/>
    <mergeCell ref="F129:F131"/>
    <mergeCell ref="G129:G131"/>
    <mergeCell ref="H129:H131"/>
    <mergeCell ref="I129:I131"/>
    <mergeCell ref="I126:I128"/>
    <mergeCell ref="J126:J128"/>
    <mergeCell ref="K126:K128"/>
    <mergeCell ref="L126:L128"/>
    <mergeCell ref="M126:M128"/>
    <mergeCell ref="N126:N128"/>
    <mergeCell ref="N123:N125"/>
    <mergeCell ref="O123:O125"/>
    <mergeCell ref="Q123:Q125"/>
    <mergeCell ref="A126:A128"/>
    <mergeCell ref="B126:B128"/>
    <mergeCell ref="D126:D128"/>
    <mergeCell ref="E126:E128"/>
    <mergeCell ref="F126:F128"/>
    <mergeCell ref="G126:G128"/>
    <mergeCell ref="H126:H128"/>
    <mergeCell ref="H123:H125"/>
    <mergeCell ref="I123:I125"/>
    <mergeCell ref="J123:J125"/>
    <mergeCell ref="K123:K125"/>
    <mergeCell ref="L123:L125"/>
    <mergeCell ref="M123:M125"/>
    <mergeCell ref="A123:A125"/>
    <mergeCell ref="B123:B125"/>
    <mergeCell ref="D123:D125"/>
    <mergeCell ref="E123:E125"/>
    <mergeCell ref="F123:F125"/>
    <mergeCell ref="G123:G125"/>
    <mergeCell ref="K120:K122"/>
    <mergeCell ref="L120:L122"/>
    <mergeCell ref="M120:M122"/>
    <mergeCell ref="N120:N122"/>
    <mergeCell ref="O120:O122"/>
    <mergeCell ref="Q120:Q122"/>
    <mergeCell ref="Q117:Q119"/>
    <mergeCell ref="A120:A122"/>
    <mergeCell ref="B120:B122"/>
    <mergeCell ref="D120:D122"/>
    <mergeCell ref="E120:E122"/>
    <mergeCell ref="F120:F122"/>
    <mergeCell ref="G120:G122"/>
    <mergeCell ref="H120:H122"/>
    <mergeCell ref="I120:I122"/>
    <mergeCell ref="J120:J122"/>
    <mergeCell ref="J117:J119"/>
    <mergeCell ref="K117:K119"/>
    <mergeCell ref="L117:L119"/>
    <mergeCell ref="M117:M119"/>
    <mergeCell ref="N117:N119"/>
    <mergeCell ref="O117:O119"/>
    <mergeCell ref="O114:O116"/>
    <mergeCell ref="Q114:Q116"/>
    <mergeCell ref="A117:A119"/>
    <mergeCell ref="B117:B119"/>
    <mergeCell ref="D117:D119"/>
    <mergeCell ref="E117:E119"/>
    <mergeCell ref="F117:F119"/>
    <mergeCell ref="G117:G119"/>
    <mergeCell ref="H117:H119"/>
    <mergeCell ref="I117:I119"/>
    <mergeCell ref="I114:I116"/>
    <mergeCell ref="J114:J116"/>
    <mergeCell ref="K114:K116"/>
    <mergeCell ref="L114:L116"/>
    <mergeCell ref="M114:M116"/>
    <mergeCell ref="N114:N116"/>
    <mergeCell ref="N111:N113"/>
    <mergeCell ref="O111:O113"/>
    <mergeCell ref="Q111:Q113"/>
    <mergeCell ref="A114:A116"/>
    <mergeCell ref="B114:B116"/>
    <mergeCell ref="D114:D116"/>
    <mergeCell ref="E114:E116"/>
    <mergeCell ref="F114:F116"/>
    <mergeCell ref="G114:G116"/>
    <mergeCell ref="H114:H116"/>
    <mergeCell ref="H111:H113"/>
    <mergeCell ref="I111:I113"/>
    <mergeCell ref="J111:J113"/>
    <mergeCell ref="K111:K113"/>
    <mergeCell ref="L111:L113"/>
    <mergeCell ref="M111:M113"/>
    <mergeCell ref="A111:A113"/>
    <mergeCell ref="B111:B113"/>
    <mergeCell ref="D111:D113"/>
    <mergeCell ref="E111:E113"/>
    <mergeCell ref="F111:F113"/>
    <mergeCell ref="G111:G113"/>
    <mergeCell ref="K108:K110"/>
    <mergeCell ref="L108:L110"/>
    <mergeCell ref="M108:M110"/>
    <mergeCell ref="N108:N110"/>
    <mergeCell ref="O108:O110"/>
    <mergeCell ref="Q108:Q110"/>
    <mergeCell ref="Q105:Q107"/>
    <mergeCell ref="A108:A110"/>
    <mergeCell ref="B108:B110"/>
    <mergeCell ref="D108:D110"/>
    <mergeCell ref="E108:E110"/>
    <mergeCell ref="F108:F110"/>
    <mergeCell ref="G108:G110"/>
    <mergeCell ref="H108:H110"/>
    <mergeCell ref="I108:I110"/>
    <mergeCell ref="J108:J110"/>
    <mergeCell ref="J105:J107"/>
    <mergeCell ref="K105:K107"/>
    <mergeCell ref="L105:L107"/>
    <mergeCell ref="M105:M107"/>
    <mergeCell ref="N105:N107"/>
    <mergeCell ref="O105:O107"/>
    <mergeCell ref="O102:O104"/>
    <mergeCell ref="Q102:Q104"/>
    <mergeCell ref="A105:A107"/>
    <mergeCell ref="B105:B107"/>
    <mergeCell ref="D105:D107"/>
    <mergeCell ref="E105:E107"/>
    <mergeCell ref="F105:F107"/>
    <mergeCell ref="G105:G107"/>
    <mergeCell ref="H105:H107"/>
    <mergeCell ref="I105:I107"/>
    <mergeCell ref="I102:I104"/>
    <mergeCell ref="J102:J104"/>
    <mergeCell ref="K102:K104"/>
    <mergeCell ref="L102:L104"/>
    <mergeCell ref="M102:M104"/>
    <mergeCell ref="N102:N104"/>
    <mergeCell ref="N99:N101"/>
    <mergeCell ref="O99:O101"/>
    <mergeCell ref="Q99:Q101"/>
    <mergeCell ref="A102:A104"/>
    <mergeCell ref="B102:B104"/>
    <mergeCell ref="D102:D104"/>
    <mergeCell ref="E102:E104"/>
    <mergeCell ref="F102:F104"/>
    <mergeCell ref="G102:G104"/>
    <mergeCell ref="H102:H104"/>
    <mergeCell ref="H99:H101"/>
    <mergeCell ref="I99:I101"/>
    <mergeCell ref="J99:J101"/>
    <mergeCell ref="K99:K101"/>
    <mergeCell ref="L99:L101"/>
    <mergeCell ref="M99:M101"/>
    <mergeCell ref="A99:A101"/>
    <mergeCell ref="B99:B101"/>
    <mergeCell ref="D99:D101"/>
    <mergeCell ref="E99:E101"/>
    <mergeCell ref="F99:F101"/>
    <mergeCell ref="G99:G101"/>
    <mergeCell ref="K96:K98"/>
    <mergeCell ref="L96:L98"/>
    <mergeCell ref="M96:M98"/>
    <mergeCell ref="N96:N98"/>
    <mergeCell ref="O96:O98"/>
    <mergeCell ref="Q96:Q98"/>
    <mergeCell ref="Q93:Q95"/>
    <mergeCell ref="A96:A98"/>
    <mergeCell ref="B96:B98"/>
    <mergeCell ref="D96:D98"/>
    <mergeCell ref="E96:E98"/>
    <mergeCell ref="F96:F98"/>
    <mergeCell ref="G96:G98"/>
    <mergeCell ref="H96:H98"/>
    <mergeCell ref="I96:I98"/>
    <mergeCell ref="J96:J98"/>
    <mergeCell ref="J93:J95"/>
    <mergeCell ref="K93:K95"/>
    <mergeCell ref="L93:L95"/>
    <mergeCell ref="M93:M95"/>
    <mergeCell ref="N93:N95"/>
    <mergeCell ref="O93:O95"/>
    <mergeCell ref="O90:O92"/>
    <mergeCell ref="Q90:Q92"/>
    <mergeCell ref="A93:A95"/>
    <mergeCell ref="B93:B95"/>
    <mergeCell ref="D93:D95"/>
    <mergeCell ref="E93:E95"/>
    <mergeCell ref="F93:F95"/>
    <mergeCell ref="G93:G95"/>
    <mergeCell ref="H93:H95"/>
    <mergeCell ref="I93:I95"/>
    <mergeCell ref="I90:I92"/>
    <mergeCell ref="J90:J92"/>
    <mergeCell ref="K90:K92"/>
    <mergeCell ref="L90:L92"/>
    <mergeCell ref="M90:M92"/>
    <mergeCell ref="N90:N92"/>
    <mergeCell ref="N87:N89"/>
    <mergeCell ref="O87:O89"/>
    <mergeCell ref="Q87:Q89"/>
    <mergeCell ref="A90:A92"/>
    <mergeCell ref="B90:B92"/>
    <mergeCell ref="D90:D92"/>
    <mergeCell ref="E90:E92"/>
    <mergeCell ref="F90:F92"/>
    <mergeCell ref="G90:G92"/>
    <mergeCell ref="H90:H92"/>
    <mergeCell ref="H87:H89"/>
    <mergeCell ref="I87:I89"/>
    <mergeCell ref="J87:J89"/>
    <mergeCell ref="K87:K89"/>
    <mergeCell ref="L87:L89"/>
    <mergeCell ref="M87:M89"/>
    <mergeCell ref="A87:A89"/>
    <mergeCell ref="B87:B89"/>
    <mergeCell ref="D87:D89"/>
    <mergeCell ref="E87:E89"/>
    <mergeCell ref="F87:F89"/>
    <mergeCell ref="G87:G89"/>
    <mergeCell ref="K84:K86"/>
    <mergeCell ref="L84:L86"/>
    <mergeCell ref="M84:M86"/>
    <mergeCell ref="N84:N86"/>
    <mergeCell ref="O84:O86"/>
    <mergeCell ref="Q84:Q86"/>
    <mergeCell ref="Q81:Q83"/>
    <mergeCell ref="A84:A86"/>
    <mergeCell ref="B84:B86"/>
    <mergeCell ref="D84:D86"/>
    <mergeCell ref="E84:E86"/>
    <mergeCell ref="F84:F86"/>
    <mergeCell ref="G84:G86"/>
    <mergeCell ref="H84:H86"/>
    <mergeCell ref="I84:I86"/>
    <mergeCell ref="J84:J86"/>
    <mergeCell ref="J81:J83"/>
    <mergeCell ref="K81:K83"/>
    <mergeCell ref="L81:L83"/>
    <mergeCell ref="M81:M83"/>
    <mergeCell ref="N81:N83"/>
    <mergeCell ref="O81:O83"/>
    <mergeCell ref="O78:O80"/>
    <mergeCell ref="Q78:Q80"/>
    <mergeCell ref="A81:A83"/>
    <mergeCell ref="B81:B83"/>
    <mergeCell ref="D81:D83"/>
    <mergeCell ref="E81:E83"/>
    <mergeCell ref="F81:F83"/>
    <mergeCell ref="G81:G83"/>
    <mergeCell ref="H81:H83"/>
    <mergeCell ref="I81:I83"/>
    <mergeCell ref="I78:I80"/>
    <mergeCell ref="J78:J80"/>
    <mergeCell ref="K78:K80"/>
    <mergeCell ref="L78:L80"/>
    <mergeCell ref="M78:M80"/>
    <mergeCell ref="N78:N80"/>
    <mergeCell ref="N75:N77"/>
    <mergeCell ref="O75:O77"/>
    <mergeCell ref="Q75:Q77"/>
    <mergeCell ref="A78:A80"/>
    <mergeCell ref="B78:B80"/>
    <mergeCell ref="D78:D80"/>
    <mergeCell ref="E78:E80"/>
    <mergeCell ref="F78:F80"/>
    <mergeCell ref="G78:G80"/>
    <mergeCell ref="H78:H80"/>
    <mergeCell ref="H75:H77"/>
    <mergeCell ref="I75:I77"/>
    <mergeCell ref="J75:J77"/>
    <mergeCell ref="K75:K77"/>
    <mergeCell ref="L75:L77"/>
    <mergeCell ref="M75:M77"/>
    <mergeCell ref="A75:A77"/>
    <mergeCell ref="B75:B77"/>
    <mergeCell ref="D75:D77"/>
    <mergeCell ref="E75:E77"/>
    <mergeCell ref="F75:F77"/>
    <mergeCell ref="G75:G77"/>
    <mergeCell ref="K72:K74"/>
    <mergeCell ref="L72:L74"/>
    <mergeCell ref="M72:M74"/>
    <mergeCell ref="N72:N74"/>
    <mergeCell ref="O72:O74"/>
    <mergeCell ref="Q72:Q74"/>
    <mergeCell ref="Q69:Q71"/>
    <mergeCell ref="A72:A74"/>
    <mergeCell ref="B72:B74"/>
    <mergeCell ref="D72:D74"/>
    <mergeCell ref="E72:E74"/>
    <mergeCell ref="F72:F74"/>
    <mergeCell ref="G72:G74"/>
    <mergeCell ref="H72:H74"/>
    <mergeCell ref="I72:I74"/>
    <mergeCell ref="J72:J74"/>
    <mergeCell ref="J69:J71"/>
    <mergeCell ref="K69:K71"/>
    <mergeCell ref="L69:L71"/>
    <mergeCell ref="M69:M71"/>
    <mergeCell ref="N69:N71"/>
    <mergeCell ref="O69:O71"/>
    <mergeCell ref="O66:O68"/>
    <mergeCell ref="Q66:Q68"/>
    <mergeCell ref="A69:A71"/>
    <mergeCell ref="B69:B71"/>
    <mergeCell ref="D69:D71"/>
    <mergeCell ref="E69:E71"/>
    <mergeCell ref="F69:F71"/>
    <mergeCell ref="G69:G71"/>
    <mergeCell ref="H69:H71"/>
    <mergeCell ref="I69:I71"/>
    <mergeCell ref="I66:I68"/>
    <mergeCell ref="J66:J68"/>
    <mergeCell ref="K66:K68"/>
    <mergeCell ref="L66:L68"/>
    <mergeCell ref="M66:M68"/>
    <mergeCell ref="N66:N68"/>
    <mergeCell ref="N63:N65"/>
    <mergeCell ref="O63:O65"/>
    <mergeCell ref="Q63:Q65"/>
    <mergeCell ref="A66:A68"/>
    <mergeCell ref="B66:B68"/>
    <mergeCell ref="D66:D68"/>
    <mergeCell ref="E66:E68"/>
    <mergeCell ref="F66:F68"/>
    <mergeCell ref="G66:G68"/>
    <mergeCell ref="H66:H68"/>
    <mergeCell ref="H63:H65"/>
    <mergeCell ref="I63:I65"/>
    <mergeCell ref="J63:J65"/>
    <mergeCell ref="K63:K65"/>
    <mergeCell ref="L63:L65"/>
    <mergeCell ref="M63:M65"/>
    <mergeCell ref="N59:N61"/>
    <mergeCell ref="O59:O61"/>
    <mergeCell ref="Q59:Q61"/>
    <mergeCell ref="A62:Q62"/>
    <mergeCell ref="A63:A65"/>
    <mergeCell ref="B63:B65"/>
    <mergeCell ref="D63:D65"/>
    <mergeCell ref="E63:E65"/>
    <mergeCell ref="F63:F65"/>
    <mergeCell ref="G63:G65"/>
    <mergeCell ref="H59:H61"/>
    <mergeCell ref="I59:I61"/>
    <mergeCell ref="J59:J61"/>
    <mergeCell ref="K59:K61"/>
    <mergeCell ref="L59:L61"/>
    <mergeCell ref="M59:M61"/>
    <mergeCell ref="A59:A61"/>
    <mergeCell ref="B59:B61"/>
    <mergeCell ref="D59:D61"/>
    <mergeCell ref="E59:E61"/>
    <mergeCell ref="F59:F61"/>
    <mergeCell ref="G59:G61"/>
    <mergeCell ref="K56:K58"/>
    <mergeCell ref="L56:L58"/>
    <mergeCell ref="M56:M58"/>
    <mergeCell ref="N56:N58"/>
    <mergeCell ref="O56:O58"/>
    <mergeCell ref="Q56:Q58"/>
    <mergeCell ref="Q53:Q55"/>
    <mergeCell ref="A56:A58"/>
    <mergeCell ref="B56:B58"/>
    <mergeCell ref="D56:D58"/>
    <mergeCell ref="E56:E58"/>
    <mergeCell ref="F56:F58"/>
    <mergeCell ref="G56:G58"/>
    <mergeCell ref="H56:H58"/>
    <mergeCell ref="I56:I58"/>
    <mergeCell ref="J56:J58"/>
    <mergeCell ref="J53:J55"/>
    <mergeCell ref="K53:K55"/>
    <mergeCell ref="L53:L55"/>
    <mergeCell ref="M53:M55"/>
    <mergeCell ref="N53:N55"/>
    <mergeCell ref="O53:O55"/>
    <mergeCell ref="O50:O52"/>
    <mergeCell ref="Q50:Q52"/>
    <mergeCell ref="A53:A55"/>
    <mergeCell ref="B53:B55"/>
    <mergeCell ref="D53:D55"/>
    <mergeCell ref="E53:E55"/>
    <mergeCell ref="F53:F55"/>
    <mergeCell ref="G53:G55"/>
    <mergeCell ref="H53:H55"/>
    <mergeCell ref="I53:I55"/>
    <mergeCell ref="I50:I52"/>
    <mergeCell ref="J50:J52"/>
    <mergeCell ref="K50:K52"/>
    <mergeCell ref="L50:L52"/>
    <mergeCell ref="M50:M52"/>
    <mergeCell ref="N50:N52"/>
    <mergeCell ref="N47:N49"/>
    <mergeCell ref="O47:O49"/>
    <mergeCell ref="Q47:Q49"/>
    <mergeCell ref="A50:A52"/>
    <mergeCell ref="B50:B52"/>
    <mergeCell ref="D50:D52"/>
    <mergeCell ref="E50:E52"/>
    <mergeCell ref="F50:F52"/>
    <mergeCell ref="G50:G52"/>
    <mergeCell ref="H50:H52"/>
    <mergeCell ref="H47:H49"/>
    <mergeCell ref="I47:I49"/>
    <mergeCell ref="J47:J49"/>
    <mergeCell ref="K47:K49"/>
    <mergeCell ref="L47:L49"/>
    <mergeCell ref="M47:M49"/>
    <mergeCell ref="A47:A49"/>
    <mergeCell ref="B47:B49"/>
    <mergeCell ref="D47:D49"/>
    <mergeCell ref="E47:E49"/>
    <mergeCell ref="F47:F49"/>
    <mergeCell ref="G47:G49"/>
    <mergeCell ref="K44:K46"/>
    <mergeCell ref="L44:L46"/>
    <mergeCell ref="M44:M46"/>
    <mergeCell ref="N44:N46"/>
    <mergeCell ref="O44:O46"/>
    <mergeCell ref="Q44:Q46"/>
    <mergeCell ref="Q41:Q43"/>
    <mergeCell ref="A44:A46"/>
    <mergeCell ref="B44:B46"/>
    <mergeCell ref="D44:D46"/>
    <mergeCell ref="E44:E46"/>
    <mergeCell ref="F44:F46"/>
    <mergeCell ref="G44:G46"/>
    <mergeCell ref="H44:H46"/>
    <mergeCell ref="I44:I46"/>
    <mergeCell ref="J44:J46"/>
    <mergeCell ref="J41:J43"/>
    <mergeCell ref="K41:K43"/>
    <mergeCell ref="L41:L43"/>
    <mergeCell ref="M41:M43"/>
    <mergeCell ref="N41:N43"/>
    <mergeCell ref="O41:O43"/>
    <mergeCell ref="Q37:Q39"/>
    <mergeCell ref="A40:Q40"/>
    <mergeCell ref="A41:A43"/>
    <mergeCell ref="B41:B43"/>
    <mergeCell ref="D41:D43"/>
    <mergeCell ref="E41:E43"/>
    <mergeCell ref="F41:F43"/>
    <mergeCell ref="G41:G43"/>
    <mergeCell ref="H41:H43"/>
    <mergeCell ref="I41:I43"/>
    <mergeCell ref="J37:J39"/>
    <mergeCell ref="K37:K39"/>
    <mergeCell ref="L37:L39"/>
    <mergeCell ref="M37:M39"/>
    <mergeCell ref="N37:N39"/>
    <mergeCell ref="O37:O39"/>
    <mergeCell ref="Q33:Q35"/>
    <mergeCell ref="A36:Q36"/>
    <mergeCell ref="A37:A39"/>
    <mergeCell ref="B37:B39"/>
    <mergeCell ref="D37:D39"/>
    <mergeCell ref="E37:E39"/>
    <mergeCell ref="F37:F39"/>
    <mergeCell ref="G37:G39"/>
    <mergeCell ref="H37:H39"/>
    <mergeCell ref="I37:I39"/>
    <mergeCell ref="J33:J35"/>
    <mergeCell ref="K33:K35"/>
    <mergeCell ref="L33:L35"/>
    <mergeCell ref="M33:M35"/>
    <mergeCell ref="N33:N35"/>
    <mergeCell ref="O33:O35"/>
    <mergeCell ref="O30:O32"/>
    <mergeCell ref="Q30:Q32"/>
    <mergeCell ref="A33:A35"/>
    <mergeCell ref="B33:B35"/>
    <mergeCell ref="D33:D35"/>
    <mergeCell ref="E33:E35"/>
    <mergeCell ref="F33:F35"/>
    <mergeCell ref="G33:G35"/>
    <mergeCell ref="H33:H35"/>
    <mergeCell ref="I33:I35"/>
    <mergeCell ref="I30:I32"/>
    <mergeCell ref="J30:J32"/>
    <mergeCell ref="K30:K32"/>
    <mergeCell ref="L30:L32"/>
    <mergeCell ref="M30:M32"/>
    <mergeCell ref="N30:N32"/>
    <mergeCell ref="N27:N29"/>
    <mergeCell ref="O27:O29"/>
    <mergeCell ref="Q27:Q29"/>
    <mergeCell ref="A30:A32"/>
    <mergeCell ref="B30:B32"/>
    <mergeCell ref="D30:D32"/>
    <mergeCell ref="E30:E32"/>
    <mergeCell ref="F30:F32"/>
    <mergeCell ref="G30:G32"/>
    <mergeCell ref="H30:H32"/>
    <mergeCell ref="H27:H29"/>
    <mergeCell ref="I27:I29"/>
    <mergeCell ref="J27:J29"/>
    <mergeCell ref="K27:K29"/>
    <mergeCell ref="L27:L29"/>
    <mergeCell ref="M27:M29"/>
    <mergeCell ref="A27:A29"/>
    <mergeCell ref="B27:B29"/>
    <mergeCell ref="D27:D29"/>
    <mergeCell ref="E27:E29"/>
    <mergeCell ref="F27:F29"/>
    <mergeCell ref="G27:G29"/>
    <mergeCell ref="K24:K26"/>
    <mergeCell ref="L24:L26"/>
    <mergeCell ref="M24:M26"/>
    <mergeCell ref="N24:N26"/>
    <mergeCell ref="O24:O26"/>
    <mergeCell ref="Q24:Q26"/>
    <mergeCell ref="Q21:Q23"/>
    <mergeCell ref="A24:A26"/>
    <mergeCell ref="B24:B26"/>
    <mergeCell ref="D24:D26"/>
    <mergeCell ref="E24:E26"/>
    <mergeCell ref="F24:F26"/>
    <mergeCell ref="G24:G26"/>
    <mergeCell ref="H24:H26"/>
    <mergeCell ref="I24:I26"/>
    <mergeCell ref="J24:J26"/>
    <mergeCell ref="J21:J23"/>
    <mergeCell ref="K21:K23"/>
    <mergeCell ref="L21:L23"/>
    <mergeCell ref="M21:M23"/>
    <mergeCell ref="N21:N23"/>
    <mergeCell ref="O21:O23"/>
    <mergeCell ref="O18:O20"/>
    <mergeCell ref="Q18:Q20"/>
    <mergeCell ref="A21:A23"/>
    <mergeCell ref="B21:B23"/>
    <mergeCell ref="D21:D23"/>
    <mergeCell ref="E21:E23"/>
    <mergeCell ref="F21:F23"/>
    <mergeCell ref="G21:G23"/>
    <mergeCell ref="H21:H23"/>
    <mergeCell ref="I21:I23"/>
    <mergeCell ref="I18:I20"/>
    <mergeCell ref="J18:J20"/>
    <mergeCell ref="K18:K20"/>
    <mergeCell ref="L18:L20"/>
    <mergeCell ref="M18:M20"/>
    <mergeCell ref="N18:N20"/>
    <mergeCell ref="O14:O16"/>
    <mergeCell ref="Q14:Q16"/>
    <mergeCell ref="A17:Q17"/>
    <mergeCell ref="A18:A20"/>
    <mergeCell ref="B18:B20"/>
    <mergeCell ref="D18:D20"/>
    <mergeCell ref="E18:E20"/>
    <mergeCell ref="F18:F20"/>
    <mergeCell ref="G18:G20"/>
    <mergeCell ref="H18:H20"/>
    <mergeCell ref="I14:I16"/>
    <mergeCell ref="J14:J16"/>
    <mergeCell ref="K14:K16"/>
    <mergeCell ref="L14:L16"/>
    <mergeCell ref="M14:M16"/>
    <mergeCell ref="N14:N16"/>
    <mergeCell ref="N11:N13"/>
    <mergeCell ref="O11:O13"/>
    <mergeCell ref="Q11:Q13"/>
    <mergeCell ref="A14:A16"/>
    <mergeCell ref="B14:B16"/>
    <mergeCell ref="D14:D16"/>
    <mergeCell ref="E14:E16"/>
    <mergeCell ref="F14:F16"/>
    <mergeCell ref="G14:G16"/>
    <mergeCell ref="H14:H16"/>
    <mergeCell ref="H11:H13"/>
    <mergeCell ref="I11:I13"/>
    <mergeCell ref="J11:J13"/>
    <mergeCell ref="K11:K13"/>
    <mergeCell ref="L11:L13"/>
    <mergeCell ref="M11:M13"/>
    <mergeCell ref="N7:N9"/>
    <mergeCell ref="O7:O9"/>
    <mergeCell ref="Q7:Q9"/>
    <mergeCell ref="A10:Q10"/>
    <mergeCell ref="A11:A13"/>
    <mergeCell ref="B11:B13"/>
    <mergeCell ref="D11:D13"/>
    <mergeCell ref="E11:E13"/>
    <mergeCell ref="F11:F13"/>
    <mergeCell ref="G11:G13"/>
    <mergeCell ref="H7:H9"/>
    <mergeCell ref="I7:I9"/>
    <mergeCell ref="J7:J9"/>
    <mergeCell ref="K7:K9"/>
    <mergeCell ref="L7:L9"/>
    <mergeCell ref="M7:M9"/>
    <mergeCell ref="A7:A9"/>
    <mergeCell ref="B7:B9"/>
    <mergeCell ref="D7:D9"/>
    <mergeCell ref="E7:E9"/>
    <mergeCell ref="F7:F9"/>
    <mergeCell ref="G7:G9"/>
    <mergeCell ref="K4:K6"/>
    <mergeCell ref="L4:L6"/>
    <mergeCell ref="M4:M6"/>
    <mergeCell ref="N4:N6"/>
    <mergeCell ref="O4:O6"/>
    <mergeCell ref="Q4:Q6"/>
    <mergeCell ref="A3:Q3"/>
    <mergeCell ref="A4:A6"/>
    <mergeCell ref="B4:B6"/>
    <mergeCell ref="D4:D6"/>
    <mergeCell ref="E4:E6"/>
    <mergeCell ref="F4:F6"/>
    <mergeCell ref="G4:G6"/>
    <mergeCell ref="H4:H6"/>
    <mergeCell ref="I4:I6"/>
    <mergeCell ref="J4:J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Спецификация (общая)</vt:lpstr>
      <vt:lpstr>СПОТ (выделена из общей)</vt:lpstr>
      <vt:lpstr>Легенда</vt:lpstr>
      <vt:lpstr>Чертежи по проходкам</vt:lpstr>
      <vt:lpstr>Лист2</vt:lpstr>
      <vt:lpstr>'Спецификация (общая)'!OLE_LINK1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Харитонов А.С.</dc:creator>
  <cp:lastModifiedBy>topol</cp:lastModifiedBy>
  <cp:lastPrinted>2020-10-09T06:21:38Z</cp:lastPrinted>
  <dcterms:created xsi:type="dcterms:W3CDTF">2020-07-22T10:31:49Z</dcterms:created>
  <dcterms:modified xsi:type="dcterms:W3CDTF">2023-05-20T20:01:35Z</dcterms:modified>
</cp:coreProperties>
</file>